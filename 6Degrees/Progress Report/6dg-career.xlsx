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rimell/Dev/uptimereadouts/6Degrees/Progress Report/"/>
    </mc:Choice>
  </mc:AlternateContent>
  <xr:revisionPtr revIDLastSave="0" documentId="13_ncr:1_{8692205E-0DDA-D945-AE7A-23223FDCF4B5}" xr6:coauthVersionLast="47" xr6:coauthVersionMax="47" xr10:uidLastSave="{00000000-0000-0000-0000-000000000000}"/>
  <bookViews>
    <workbookView xWindow="0" yWindow="780" windowWidth="34200" windowHeight="21460" xr2:uid="{0AB6D9AC-473E-694F-93D6-A9B3AB8A90A9}"/>
  </bookViews>
  <sheets>
    <sheet name="pivot" sheetId="3" r:id="rId1"/>
    <sheet name="6dg-career" sheetId="1" r:id="rId2"/>
    <sheet name="teams" sheetId="2" r:id="rId3"/>
  </sheet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A33" i="2"/>
  <c r="A31" i="2"/>
  <c r="A23" i="2"/>
  <c r="A15" i="2"/>
  <c r="A13" i="2"/>
  <c r="A7" i="2"/>
  <c r="H2" i="1"/>
  <c r="A3" i="2"/>
  <c r="A4" i="2"/>
  <c r="A6" i="2"/>
  <c r="A8" i="2"/>
  <c r="A9" i="2"/>
  <c r="A10" i="2"/>
  <c r="A11" i="2"/>
  <c r="A12" i="2"/>
  <c r="A14" i="2"/>
  <c r="A16" i="2"/>
  <c r="A17" i="2"/>
  <c r="A18" i="2"/>
  <c r="A19" i="2"/>
  <c r="A20" i="2"/>
  <c r="A22" i="2"/>
  <c r="A24" i="2"/>
  <c r="A25" i="2"/>
  <c r="A26" i="2"/>
  <c r="A27" i="2"/>
  <c r="A28" i="2"/>
  <c r="A30" i="2"/>
  <c r="A32" i="2"/>
  <c r="A34" i="2"/>
  <c r="A35" i="2"/>
  <c r="A36" i="2"/>
  <c r="A2" i="2"/>
  <c r="A29" i="2" l="1"/>
  <c r="A21" i="2"/>
  <c r="A5" i="2"/>
</calcChain>
</file>

<file path=xl/sharedStrings.xml><?xml version="1.0" encoding="utf-8"?>
<sst xmlns="http://schemas.openxmlformats.org/spreadsheetml/2006/main" count="1893" uniqueCount="306">
  <si>
    <t>session_start</t>
  </si>
  <si>
    <t>day_of_week</t>
  </si>
  <si>
    <t>duration</t>
  </si>
  <si>
    <t>level</t>
  </si>
  <si>
    <t>name</t>
  </si>
  <si>
    <t>player</t>
  </si>
  <si>
    <t>completion_status</t>
  </si>
  <si>
    <t>identify_scope</t>
  </si>
  <si>
    <t>incident_mechanics</t>
  </si>
  <si>
    <t>external_comms</t>
  </si>
  <si>
    <t>internal_comms</t>
  </si>
  <si>
    <t>commanding_the_incident</t>
  </si>
  <si>
    <t>Complexity: Ambiguous cues (multiple alternatives)</t>
  </si>
  <si>
    <t>Complexity: Attention Demands</t>
  </si>
  <si>
    <t>Complexity: Conflicting Advice</t>
  </si>
  <si>
    <t>Complexity: Decreased access to team members</t>
  </si>
  <si>
    <t>Complexity: Distributed information across individuals/organiza</t>
  </si>
  <si>
    <t>Complexity: Doublebind situations (dilemmas)</t>
  </si>
  <si>
    <t>Complexity: False prime explanations (garden path)</t>
  </si>
  <si>
    <t>Complexity: Hidden coupling (effects at a distance; cascading e</t>
  </si>
  <si>
    <t>Complexity: Implied relationship (red herring)</t>
  </si>
  <si>
    <t>Complexity: Interdependencies amongst roles (someone needs some</t>
  </si>
  <si>
    <t>Complexity: Lack of predefined plan</t>
  </si>
  <si>
    <t>Complexity: Misleading indicators (low predictive value)</t>
  </si>
  <si>
    <t>Complexity: Mismatch between prede fined plans or procedures an</t>
  </si>
  <si>
    <t>Complexity: Missing Information</t>
  </si>
  <si>
    <t>Complexity: Multi Party Dilema</t>
  </si>
  <si>
    <t>Complexity: Multiple simultaneous influences (more than one exp</t>
  </si>
  <si>
    <t>Complexity: Multiple simultaneous influences (multiple explanat</t>
  </si>
  <si>
    <t>Complexity: Saturation</t>
  </si>
  <si>
    <t>Complexity: Simultaneous seperate issues</t>
  </si>
  <si>
    <t>Complexity: Stakeholder Interference</t>
  </si>
  <si>
    <t>Complexity: Stereotype violations (not the usual suspect)</t>
  </si>
  <si>
    <t>Complexity: Stress or fatigue</t>
  </si>
  <si>
    <t>Complexity: Uncertain information (unreliable data)</t>
  </si>
  <si>
    <t>Complexity: Unintended effects (managing side effects)</t>
  </si>
  <si>
    <t>Complexity: Absence of strong signals (no alarms, no threshold</t>
  </si>
  <si>
    <t>max</t>
  </si>
  <si>
    <t>Category: Detecting</t>
  </si>
  <si>
    <t>Category: Sensemaking</t>
  </si>
  <si>
    <t>Category: Planning</t>
  </si>
  <si>
    <t>Category: Deciding</t>
  </si>
  <si>
    <t>Category: Coordination</t>
  </si>
  <si>
    <t>Category: Executing</t>
  </si>
  <si>
    <t>2024-02-22 00:00:00.000 +0000</t>
  </si>
  <si>
    <t xml:space="preserve">Thursday </t>
  </si>
  <si>
    <t>The Big Investor</t>
  </si>
  <si>
    <t>qamar.jamil</t>
  </si>
  <si>
    <t>OUT_OF_TIME</t>
  </si>
  <si>
    <t>-</t>
  </si>
  <si>
    <t>2024-02-26 00:00:00.000 +0000</t>
  </si>
  <si>
    <t xml:space="preserve">Monday   </t>
  </si>
  <si>
    <t>zishan.sohail</t>
  </si>
  <si>
    <t>2024-11-07 00:00:00.000 +0000</t>
  </si>
  <si>
    <t>Too Good To Be True</t>
  </si>
  <si>
    <t>nikhil.nandikolmath</t>
  </si>
  <si>
    <t>COMPLETED</t>
  </si>
  <si>
    <t>2024-11-14 00:00:00.000 +0000</t>
  </si>
  <si>
    <t>2024-11-20 00:00:00.000 +0000</t>
  </si>
  <si>
    <t>Wednesday</t>
  </si>
  <si>
    <t>richard.gillett</t>
  </si>
  <si>
    <t>2024-11-21 00:00:00.000 +0000</t>
  </si>
  <si>
    <t>warren.gillett</t>
  </si>
  <si>
    <t>Bezs Beatles Day!</t>
  </si>
  <si>
    <t>2024-11-27 00:00:00.000 +0000</t>
  </si>
  <si>
    <t>2024-11-28 00:00:00.000 +0000</t>
  </si>
  <si>
    <t>Rumours</t>
  </si>
  <si>
    <t>2024-12-04 00:00:00.000 +0000</t>
  </si>
  <si>
    <t>umesh.mishra</t>
  </si>
  <si>
    <t>2024-12-05 00:00:00.000 +0000</t>
  </si>
  <si>
    <t>2024-12-11 00:00:00.000 +0000</t>
  </si>
  <si>
    <t>2024-12-12 00:00:00.000 +0000</t>
  </si>
  <si>
    <t>Missing Delivery</t>
  </si>
  <si>
    <t>2024-12-18 00:00:00.000 +0000</t>
  </si>
  <si>
    <t>2024-12-19 00:00:00.000 +0000</t>
  </si>
  <si>
    <t>Radio Silence</t>
  </si>
  <si>
    <t>2025-01-07 00:00:00.000 +0000</t>
  </si>
  <si>
    <t xml:space="preserve">Tuesday  </t>
  </si>
  <si>
    <t>asmaa.gangat</t>
  </si>
  <si>
    <t>2025-01-08 00:00:00.000 +0000</t>
  </si>
  <si>
    <t>sunil.kumar</t>
  </si>
  <si>
    <t>2025-01-09 00:00:00.000 +0000</t>
  </si>
  <si>
    <t>Roblox</t>
  </si>
  <si>
    <t>2025-01-13 00:00:00.000 +0000</t>
  </si>
  <si>
    <t>2025-01-15 00:00:00.000 +0000</t>
  </si>
  <si>
    <t>2025-01-16 00:00:00.000 +0000</t>
  </si>
  <si>
    <t>2025-01-21 00:00:00.000 +0000</t>
  </si>
  <si>
    <t>2025-01-22 00:00:00.000 +0000</t>
  </si>
  <si>
    <t>2025-01-23 00:00:00.000 +0000</t>
  </si>
  <si>
    <t>The Chain</t>
  </si>
  <si>
    <t>2025-01-24 00:00:00.000 +0000</t>
  </si>
  <si>
    <t xml:space="preserve">Friday   </t>
  </si>
  <si>
    <t>navachethan.bhandari</t>
  </si>
  <si>
    <t>2025-01-29 00:00:00.000 +0000</t>
  </si>
  <si>
    <t>2025-01-30 00:00:00.000 +0000</t>
  </si>
  <si>
    <t>gopal.narasinghrao</t>
  </si>
  <si>
    <t>2025-01-31 00:00:00.000 +0000</t>
  </si>
  <si>
    <t>ryan.allen</t>
  </si>
  <si>
    <t>2025-02-03 00:00:00.000 +0000</t>
  </si>
  <si>
    <t>naveed.khan</t>
  </si>
  <si>
    <t>2025-02-04 00:00:00.000 +0000</t>
  </si>
  <si>
    <t>2025-02-05 00:00:00.000 +0000</t>
  </si>
  <si>
    <t>2025-02-06 00:00:00.000 +0000</t>
  </si>
  <si>
    <t>michael.ward</t>
  </si>
  <si>
    <t>2025-02-07 00:00:00.000 +0000</t>
  </si>
  <si>
    <t>2025-02-10 00:00:00.000 +0000</t>
  </si>
  <si>
    <t>kwame.yeboah</t>
  </si>
  <si>
    <t>2025-02-11 00:00:00.000 +0000</t>
  </si>
  <si>
    <t>2025-02-12 00:00:00.000 +0000</t>
  </si>
  <si>
    <t>2025-02-13 00:00:00.000 +0000</t>
  </si>
  <si>
    <t>2025-02-17 00:00:00.000 +0000</t>
  </si>
  <si>
    <t>2025-02-18 00:00:00.000 +0000</t>
  </si>
  <si>
    <t>2025-02-19 00:00:00.000 +0000</t>
  </si>
  <si>
    <t>2025-02-20 00:00:00.000 +0000</t>
  </si>
  <si>
    <t>2025-02-21 00:00:00.000 +0000</t>
  </si>
  <si>
    <t>2025-02-24 00:00:00.000 +0000</t>
  </si>
  <si>
    <t>2025-02-25 00:00:00.000 +0000</t>
  </si>
  <si>
    <t>2025-02-26 00:00:00.000 +0000</t>
  </si>
  <si>
    <t>Discount Disaster</t>
  </si>
  <si>
    <t>2025-02-27 00:00:00.000 +0000</t>
  </si>
  <si>
    <t>2025-02-28 00:00:00.000 +0000</t>
  </si>
  <si>
    <t>2025-03-03 00:00:00.000 +0000</t>
  </si>
  <si>
    <t>2025-03-04 00:00:00.000 +0000</t>
  </si>
  <si>
    <t>First day blues</t>
  </si>
  <si>
    <t>2025-03-05 00:00:00.000 +0000</t>
  </si>
  <si>
    <t>2025-03-06 00:00:00.000 +0000</t>
  </si>
  <si>
    <t>2025-03-07 00:00:00.000 +0000</t>
  </si>
  <si>
    <t>2025-03-10 00:00:00.000 +0000</t>
  </si>
  <si>
    <t>2025-03-18 00:00:00.000 +0000</t>
  </si>
  <si>
    <t>r.enchill-balogun</t>
  </si>
  <si>
    <t>matt.warwick</t>
  </si>
  <si>
    <t>2025-03-19 00:00:00.000 +0000</t>
  </si>
  <si>
    <t>naeem.khan</t>
  </si>
  <si>
    <t>2025-03-20 00:00:00.000 +0000</t>
  </si>
  <si>
    <t>2025-03-25 00:00:00.000 +0000</t>
  </si>
  <si>
    <t>2025-03-27 00:00:00.000 +0000</t>
  </si>
  <si>
    <t>2025-03-28 00:00:00.000 +0000</t>
  </si>
  <si>
    <t>2025-04-01 01:00:00.000 +0100</t>
  </si>
  <si>
    <t>2025-04-03 01:00:00.000 +0100</t>
  </si>
  <si>
    <t>omokova.otaru</t>
  </si>
  <si>
    <t>2025-04-08 01:00:00.000 +0100</t>
  </si>
  <si>
    <t>2025-04-10 01:00:00.000 +0100</t>
  </si>
  <si>
    <t>2025-04-14 01:00:00.000 +0100</t>
  </si>
  <si>
    <t>manikanta.suru</t>
  </si>
  <si>
    <t>2025-04-15 01:00:00.000 +0100</t>
  </si>
  <si>
    <t>2025-04-16 01:00:00.000 +0100</t>
  </si>
  <si>
    <t>2025-04-17 01:00:00.000 +0100</t>
  </si>
  <si>
    <t>baljit.chima</t>
  </si>
  <si>
    <t>2025-04-22 01:00:00.000 +0100</t>
  </si>
  <si>
    <t>2025-04-23 01:00:00.000 +0100</t>
  </si>
  <si>
    <t>pragnapad.sarangi</t>
  </si>
  <si>
    <t>2025-04-24 01:00:00.000 +0100</t>
  </si>
  <si>
    <t>2025-04-28 01:00:00.000 +0100</t>
  </si>
  <si>
    <t>2025-04-29 01:00:00.000 +0100</t>
  </si>
  <si>
    <t>2025-04-30 01:00:00.000 +0100</t>
  </si>
  <si>
    <t>2025-05-06 01:00:00.000 +0100</t>
  </si>
  <si>
    <t>abdulkadir.hussein</t>
  </si>
  <si>
    <t>2025-05-07 01:00:00.000 +0100</t>
  </si>
  <si>
    <t>2025-05-12 01:00:00.000 +0100</t>
  </si>
  <si>
    <t>2025-05-16 01:00:00.000 +0100</t>
  </si>
  <si>
    <t>2025-05-19 01:00:00.000 +0100</t>
  </si>
  <si>
    <t>2025-05-20 01:00:00.000 +0100</t>
  </si>
  <si>
    <t>2025-05-21 01:00:00.000 +0100</t>
  </si>
  <si>
    <t>umar.farooque</t>
  </si>
  <si>
    <t>2025-05-22 01:00:00.000 +0100</t>
  </si>
  <si>
    <t>imran.qureshi</t>
  </si>
  <si>
    <t>2025-05-27 01:00:00.000 +0100</t>
  </si>
  <si>
    <t>2025-06-02 01:00:00.000 +0100</t>
  </si>
  <si>
    <t>hussain.farooq</t>
  </si>
  <si>
    <t>2025-06-03 01:00:00.000 +0100</t>
  </si>
  <si>
    <t>The Switch</t>
  </si>
  <si>
    <t>2025-06-04 01:00:00.000 +0100</t>
  </si>
  <si>
    <t>2025-06-05 01:00:00.000 +0100</t>
  </si>
  <si>
    <t>2025-06-10 01:00:00.000 +0100</t>
  </si>
  <si>
    <t>2025-06-11 01:00:00.000 +0100</t>
  </si>
  <si>
    <t>2025-06-17 01:00:00.000 +0100</t>
  </si>
  <si>
    <t>2025-06-18 01:00:00.000 +0100</t>
  </si>
  <si>
    <t>2025-06-19 01:00:00.000 +0100</t>
  </si>
  <si>
    <t>2025-06-23 01:00:00.000 +0100</t>
  </si>
  <si>
    <t>2025-06-25 01:00:00.000 +0100</t>
  </si>
  <si>
    <t>2025-06-26 01:00:00.000 +0100</t>
  </si>
  <si>
    <t>2025-06-30 01:00:00.000 +0100</t>
  </si>
  <si>
    <t>subhaan.ahmed</t>
  </si>
  <si>
    <t>2025-07-01 01:00:00.000 +0100</t>
  </si>
  <si>
    <t>Version confusion</t>
  </si>
  <si>
    <t>owen.watson</t>
  </si>
  <si>
    <t>2025-07-03 01:00:00.000 +0100</t>
  </si>
  <si>
    <t>Memory Lane</t>
  </si>
  <si>
    <t>2025-07-04 01:00:00.000 +0100</t>
  </si>
  <si>
    <t>2025-07-07 01:00:00.000 +0100</t>
  </si>
  <si>
    <t>2025-07-08 01:00:00.000 +0100</t>
  </si>
  <si>
    <t>2025-07-09 01:00:00.000 +0100</t>
  </si>
  <si>
    <t>2025-07-11 01:00:00.000 +0100</t>
  </si>
  <si>
    <t>qasim.altaf</t>
  </si>
  <si>
    <t>2025-07-14 01:00:00.000 +0100</t>
  </si>
  <si>
    <t>2025-07-15 01:00:00.000 +0100</t>
  </si>
  <si>
    <t>2025-07-16 01:00:00.000 +0100</t>
  </si>
  <si>
    <t>Too Good To Be True V2</t>
  </si>
  <si>
    <t>divagar.durai</t>
  </si>
  <si>
    <t>2025-07-17 01:00:00.000 +0100</t>
  </si>
  <si>
    <t>2025-07-21 01:00:00.000 +0100</t>
  </si>
  <si>
    <t>suhas.y</t>
  </si>
  <si>
    <t>2025-07-22 01:00:00.000 +0100</t>
  </si>
  <si>
    <t>2025-07-28 01:00:00.000 +0100</t>
  </si>
  <si>
    <t>2025-07-29 01:00:00.000 +0100</t>
  </si>
  <si>
    <t>2025-07-30 01:00:00.000 +0100</t>
  </si>
  <si>
    <t>2025-07-31 01:00:00.000 +0100</t>
  </si>
  <si>
    <t>Cart-astrophe</t>
  </si>
  <si>
    <t>2025-08-01 01:00:00.000 +0100</t>
  </si>
  <si>
    <t>2025-08-04 01:00:00.000 +0100</t>
  </si>
  <si>
    <t>2025-08-05 01:00:00.000 +0100</t>
  </si>
  <si>
    <t>darren.martin</t>
  </si>
  <si>
    <t>2025-08-06 01:00:00.000 +0100</t>
  </si>
  <si>
    <t>2025-08-08 01:00:00.000 +0100</t>
  </si>
  <si>
    <t>peter.mwenya</t>
  </si>
  <si>
    <t>2025-08-11 01:00:00.000 +0100</t>
  </si>
  <si>
    <t>2025-08-12 01:00:00.000 +0100</t>
  </si>
  <si>
    <t>koustav.chatterjee</t>
  </si>
  <si>
    <t>2025-08-13 01:00:00.000 +0100</t>
  </si>
  <si>
    <t>Details Matter</t>
  </si>
  <si>
    <t>2025-08-14 01:00:00.000 +0100</t>
  </si>
  <si>
    <t>2025-08-18 01:00:00.000 +0100</t>
  </si>
  <si>
    <t>2025-08-19 01:00:00.000 +0100</t>
  </si>
  <si>
    <t>2025-08-20 01:00:00.000 +0100</t>
  </si>
  <si>
    <t>2025-08-22 01:00:00.000 +0100</t>
  </si>
  <si>
    <t>2025-08-27 01:00:00.000 +0100</t>
  </si>
  <si>
    <t>2025-08-29 01:00:00.000 +0100</t>
  </si>
  <si>
    <t>2025-09-01 01:00:00.000 +0100</t>
  </si>
  <si>
    <t>2025-09-02 01:00:00.000 +0100</t>
  </si>
  <si>
    <t>2025-09-03 01:00:00.000 +0100</t>
  </si>
  <si>
    <t>2025-09-05 01:00:00.000 +0100</t>
  </si>
  <si>
    <t>2025-09-08 01:00:00.000 +0100</t>
  </si>
  <si>
    <t>2025-09-09 01:00:00.000 +0100</t>
  </si>
  <si>
    <t>2025-09-10 01:00:00.000 +0100</t>
  </si>
  <si>
    <t>The Disappearing Act</t>
  </si>
  <si>
    <t>2025-09-16 01:00:00.000 +0100</t>
  </si>
  <si>
    <t>2025-09-19 01:00:00.000 +0100</t>
  </si>
  <si>
    <t>2025-09-23 01:00:00.000 +0100</t>
  </si>
  <si>
    <t>2025-09-25 01:00:00.000 +0100</t>
  </si>
  <si>
    <t>2025-09-29 01:00:00.000 +0100</t>
  </si>
  <si>
    <t>2025-09-30 01:00:00.000 +0100</t>
  </si>
  <si>
    <t>DEFCON 1</t>
  </si>
  <si>
    <t>2025-10-03 01:00:00.000 +0100</t>
  </si>
  <si>
    <t>2025-10-06 01:00:00.000 +0100</t>
  </si>
  <si>
    <t>2025-10-07 01:00:00.000 +0100</t>
  </si>
  <si>
    <t>2025-10-08 01:00:00.000 +0100</t>
  </si>
  <si>
    <t>2025-10-10 01:00:00.000 +0100</t>
  </si>
  <si>
    <t>2025-10-13 01:00:00.000 +0100</t>
  </si>
  <si>
    <t>2025-10-14 01:00:00.000 +0100</t>
  </si>
  <si>
    <t>2025-10-15 01:00:00.000 +0100</t>
  </si>
  <si>
    <t>2025-10-17 01:00:00.000 +0100</t>
  </si>
  <si>
    <t>2025-10-22 01:00:00.000 +0100</t>
  </si>
  <si>
    <t>2025-10-23 01:00:00.000 +0100</t>
  </si>
  <si>
    <t>2025-11-04 00:00:00.000 +0000</t>
  </si>
  <si>
    <t>2025-11-05 00:00:00.000 +0000</t>
  </si>
  <si>
    <t>2025-11-10 00:00:00.000 +0000</t>
  </si>
  <si>
    <t>2025-11-11 00:00:00.000 +0000</t>
  </si>
  <si>
    <t>2025-11-13 00:00:00.000 +0000</t>
  </si>
  <si>
    <t>Missing Delivery V2</t>
  </si>
  <si>
    <t>Breaking Bez</t>
  </si>
  <si>
    <t>2025-11-17 00:00:00.000 +0000</t>
  </si>
  <si>
    <t>The Big Investor V2</t>
  </si>
  <si>
    <t>2025-11-18 00:00:00.000 +0000</t>
  </si>
  <si>
    <t>2025-11-19 00:00:00.000 +0000</t>
  </si>
  <si>
    <t>2025-11-20 00:00:00.000 +0000</t>
  </si>
  <si>
    <t>2025-11-25 00:00:00.000 +0000</t>
  </si>
  <si>
    <t>2025-11-26 00:00:00.000 +0000</t>
  </si>
  <si>
    <t>2025-11-28 00:00:00.000 +0000</t>
  </si>
  <si>
    <t>2025-12-01 00:00:00.000 +0000</t>
  </si>
  <si>
    <t>2025-12-08 00:00:00.000 +0000</t>
  </si>
  <si>
    <t>2025-12-09 00:00:00.000 +0000</t>
  </si>
  <si>
    <t>2025-12-10 00:00:00.000 +0000</t>
  </si>
  <si>
    <t>2025-12-11 00:00:00.000 +0000</t>
  </si>
  <si>
    <t>2025-12-15 00:00:00.000 +0000</t>
  </si>
  <si>
    <t>2025-12-19 00:00:00.000 +0000</t>
  </si>
  <si>
    <t>2026-01-05 00:00:00.000 +0000</t>
  </si>
  <si>
    <t>2026-01-12 00:00:00.000 +0000</t>
  </si>
  <si>
    <t>2026-01-13 00:00:00.000 +0000</t>
  </si>
  <si>
    <t>The Unknown Unknown</t>
  </si>
  <si>
    <t>2026-01-14 00:00:00.000 +0000</t>
  </si>
  <si>
    <t>2026-01-20 00:00:00.000 +0000</t>
  </si>
  <si>
    <t>2026-01-22 00:00:00.000 +0000</t>
  </si>
  <si>
    <t>2026-01-26 00:00:00.000 +0000</t>
  </si>
  <si>
    <t>2026-01-27 00:00:00.000 +0000</t>
  </si>
  <si>
    <t>2026-01-29 00:00:00.000 +0000</t>
  </si>
  <si>
    <t>2026-02-03 00:00:00.000 +0000</t>
  </si>
  <si>
    <t>Bezs Beatles Day! V2</t>
  </si>
  <si>
    <t>2026-02-10 00:00:00.000 +0000</t>
  </si>
  <si>
    <t>2026-02-12 00:00:00.000 +0000</t>
  </si>
  <si>
    <t>2026-02-13 00:00:00.000 +0000</t>
  </si>
  <si>
    <t>2026-02-16 00:00:00.000 +0000</t>
  </si>
  <si>
    <t>2026-02-19 00:00:00.000 +0000</t>
  </si>
  <si>
    <t>2026-02-23 00:00:00.000 +0000</t>
  </si>
  <si>
    <t>2026-02-24 00:00:00.000 +0000</t>
  </si>
  <si>
    <t>Team</t>
  </si>
  <si>
    <t>24/7</t>
  </si>
  <si>
    <t>Service Desk</t>
  </si>
  <si>
    <t>Tech</t>
  </si>
  <si>
    <t>unidentified</t>
  </si>
  <si>
    <t>testuser</t>
  </si>
  <si>
    <t>ravi.rajanna</t>
  </si>
  <si>
    <t>month</t>
  </si>
  <si>
    <t>Row Labels</t>
  </si>
  <si>
    <t>Grand Total</t>
  </si>
  <si>
    <t>Column Labels</t>
  </si>
  <si>
    <t>Count of session_start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</si>
</sst>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1" fontId="0" fillId="0" borderId="0" xfId="0" applyNumberFormat="1"/>
    <xf numFmtId="0" fontId="18" fillId="0" borderId="0" xfId="0" applyFont="1"/>
    <xf numFmtId="0" fontId="0" fillId="33" borderId="10" xfId="0" applyFill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art rimell" refreshedDate="46078.894407523148" createdVersion="8" refreshedVersion="8" minRefreshableVersion="3" recordCount="294" xr:uid="{0FECCF5E-588B-4843-9C85-2E382A83BEC2}">
  <cacheSource type="worksheet">
    <worksheetSource ref="A1:AT1048576" sheet="6dg-career"/>
  </cacheSource>
  <cacheFields count="46">
    <cacheField name="session_start" numFmtId="0">
      <sharedItems containsBlank="1"/>
    </cacheField>
    <cacheField name="month" numFmtId="0">
      <sharedItems containsNonDate="0" containsDate="1" containsString="0" containsBlank="1" minDate="2024-02-01T00:00:00" maxDate="2026-02-02T00:00:00" count="18">
        <d v="2024-02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m/>
      </sharedItems>
    </cacheField>
    <cacheField name="day_of_week" numFmtId="0">
      <sharedItems containsBlank="1"/>
    </cacheField>
    <cacheField name="duration" numFmtId="0">
      <sharedItems containsNonDate="0" containsDate="1" containsString="0" containsBlank="1" minDate="1899-12-30T00:08:28" maxDate="1899-12-30T00:40:08"/>
    </cacheField>
    <cacheField name="level" numFmtId="0">
      <sharedItems containsString="0" containsBlank="1" containsNumber="1" containsInteger="1" minValue="3" maxValue="34"/>
    </cacheField>
    <cacheField name="name" numFmtId="0">
      <sharedItems containsBlank="1" count="24">
        <s v="The Big Investor"/>
        <s v="Too Good To Be True"/>
        <s v="Bezs Beatles Day!"/>
        <s v="Rumours"/>
        <s v="Missing Delivery"/>
        <s v="Radio Silence"/>
        <s v="Roblox"/>
        <s v="The Chain"/>
        <s v="Discount Disaster"/>
        <s v="First day blues"/>
        <s v="The Switch"/>
        <s v="Version confusion"/>
        <s v="Memory Lane"/>
        <s v="Too Good To Be True V2"/>
        <s v="Cart-astrophe"/>
        <s v="Details Matter"/>
        <s v="The Disappearing Act"/>
        <s v="DEFCON 1"/>
        <s v="Missing Delivery V2"/>
        <s v="Breaking Bez"/>
        <s v="The Big Investor V2"/>
        <s v="The Unknown Unknown"/>
        <s v="Bezs Beatles Day! V2"/>
        <m/>
      </sharedItems>
    </cacheField>
    <cacheField name="player" numFmtId="0">
      <sharedItems containsBlank="1"/>
    </cacheField>
    <cacheField name="Team" numFmtId="0">
      <sharedItems containsBlank="1"/>
    </cacheField>
    <cacheField name="completion_status" numFmtId="0">
      <sharedItems containsBlank="1"/>
    </cacheField>
    <cacheField name="identify_scope" numFmtId="0">
      <sharedItems containsString="0" containsBlank="1" containsNumber="1" minValue="0.11111111111111099" maxValue="1.1111111111111101"/>
    </cacheField>
    <cacheField name="incident_mechanics" numFmtId="0">
      <sharedItems containsString="0" containsBlank="1" containsNumber="1" minValue="0" maxValue="2"/>
    </cacheField>
    <cacheField name="external_comms" numFmtId="0">
      <sharedItems containsString="0" containsBlank="1" containsNumber="1" minValue="0" maxValue="1.1666666666666601"/>
    </cacheField>
    <cacheField name="internal_comms" numFmtId="0">
      <sharedItems containsString="0" containsBlank="1" containsNumber="1" minValue="6.6666666666666596E-2" maxValue="0.93333333333333302"/>
    </cacheField>
    <cacheField name="commanding_the_incident" numFmtId="0">
      <sharedItems containsString="0" containsBlank="1" containsNumber="1" minValue="0" maxValue="0.81818181818181801"/>
    </cacheField>
    <cacheField name="Complexity: Ambiguous cues (multiple alternatives)" numFmtId="0">
      <sharedItems containsString="0" containsBlank="1" containsNumber="1" containsInteger="1" minValue="0" maxValue="1"/>
    </cacheField>
    <cacheField name="Complexity: Attention Demands" numFmtId="0">
      <sharedItems containsString="0" containsBlank="1" containsNumber="1" containsInteger="1" minValue="0" maxValue="1"/>
    </cacheField>
    <cacheField name="Complexity: Conflicting Advice" numFmtId="0">
      <sharedItems containsString="0" containsBlank="1" containsNumber="1" containsInteger="1" minValue="0" maxValue="1"/>
    </cacheField>
    <cacheField name="Complexity: Decreased access to team members" numFmtId="0">
      <sharedItems containsString="0" containsBlank="1" containsNumber="1" containsInteger="1" minValue="0" maxValue="1"/>
    </cacheField>
    <cacheField name="Complexity: Distributed information across individuals/organiza" numFmtId="0">
      <sharedItems containsString="0" containsBlank="1" containsNumber="1" containsInteger="1" minValue="0" maxValue="1"/>
    </cacheField>
    <cacheField name="Complexity: Doublebind situations (dilemmas)" numFmtId="0">
      <sharedItems containsString="0" containsBlank="1" containsNumber="1" containsInteger="1" minValue="0" maxValue="1"/>
    </cacheField>
    <cacheField name="Complexity: False prime explanations (garden path)" numFmtId="0">
      <sharedItems containsString="0" containsBlank="1" containsNumber="1" containsInteger="1" minValue="0" maxValue="1"/>
    </cacheField>
    <cacheField name="Complexity: Hidden coupling (effects at a distance; cascading e" numFmtId="0">
      <sharedItems containsString="0" containsBlank="1" containsNumber="1" containsInteger="1" minValue="0" maxValue="1"/>
    </cacheField>
    <cacheField name="Complexity: Implied relationship (red herring)" numFmtId="0">
      <sharedItems containsString="0" containsBlank="1" containsNumber="1" containsInteger="1" minValue="0" maxValue="1"/>
    </cacheField>
    <cacheField name="Complexity: Interdependencies amongst roles (someone needs some" numFmtId="0">
      <sharedItems containsString="0" containsBlank="1" containsNumber="1" containsInteger="1" minValue="0" maxValue="1"/>
    </cacheField>
    <cacheField name="Complexity: Lack of predefined plan" numFmtId="0">
      <sharedItems containsString="0" containsBlank="1" containsNumber="1" containsInteger="1" minValue="0" maxValue="1"/>
    </cacheField>
    <cacheField name="Complexity: Misleading indicators (low predictive value)" numFmtId="0">
      <sharedItems containsString="0" containsBlank="1" containsNumber="1" containsInteger="1" minValue="0" maxValue="1"/>
    </cacheField>
    <cacheField name="Complexity: Mismatch between prede fined plans or procedures an" numFmtId="0">
      <sharedItems containsString="0" containsBlank="1" containsNumber="1" containsInteger="1" minValue="0" maxValue="1"/>
    </cacheField>
    <cacheField name="Complexity: Missing Information" numFmtId="0">
      <sharedItems containsString="0" containsBlank="1" containsNumber="1" containsInteger="1" minValue="0" maxValue="1"/>
    </cacheField>
    <cacheField name="Complexity: Multi Party Dilema" numFmtId="0">
      <sharedItems containsString="0" containsBlank="1" containsNumber="1" containsInteger="1" minValue="0" maxValue="1"/>
    </cacheField>
    <cacheField name="Complexity: Multiple simultaneous influences (more than one exp" numFmtId="0">
      <sharedItems containsString="0" containsBlank="1" containsNumber="1" containsInteger="1" minValue="0" maxValue="1"/>
    </cacheField>
    <cacheField name="Complexity: Multiple simultaneous influences (multiple explanat" numFmtId="0">
      <sharedItems containsString="0" containsBlank="1" containsNumber="1" containsInteger="1" minValue="0" maxValue="1"/>
    </cacheField>
    <cacheField name="Complexity: Saturation" numFmtId="0">
      <sharedItems containsString="0" containsBlank="1" containsNumber="1" containsInteger="1" minValue="0" maxValue="1"/>
    </cacheField>
    <cacheField name="Complexity: Simultaneous seperate issues" numFmtId="0">
      <sharedItems containsString="0" containsBlank="1" containsNumber="1" containsInteger="1" minValue="0" maxValue="1"/>
    </cacheField>
    <cacheField name="Complexity: Stakeholder Interference" numFmtId="0">
      <sharedItems containsString="0" containsBlank="1" containsNumber="1" containsInteger="1" minValue="0" maxValue="1"/>
    </cacheField>
    <cacheField name="Complexity: Stereotype violations (not the usual suspect)" numFmtId="0">
      <sharedItems containsString="0" containsBlank="1" containsNumber="1" containsInteger="1" minValue="0" maxValue="1"/>
    </cacheField>
    <cacheField name="Complexity: Stress or fatigue" numFmtId="0">
      <sharedItems containsString="0" containsBlank="1" containsNumber="1" containsInteger="1" minValue="0" maxValue="1"/>
    </cacheField>
    <cacheField name="Complexity: Uncertain information (unreliable data)" numFmtId="0">
      <sharedItems containsString="0" containsBlank="1" containsNumber="1" containsInteger="1" minValue="0" maxValue="1"/>
    </cacheField>
    <cacheField name="Complexity: Unintended effects (managing side effects)" numFmtId="0">
      <sharedItems containsString="0" containsBlank="1" containsNumber="1" containsInteger="1" minValue="0" maxValue="1"/>
    </cacheField>
    <cacheField name="Complexity: Absence of strong signals (no alarms, no threshold" numFmtId="0">
      <sharedItems containsString="0" containsBlank="1" containsNumber="1" containsInteger="1" minValue="0" maxValue="1"/>
    </cacheField>
    <cacheField name="max" numFmtId="0">
      <sharedItems containsBlank="1"/>
    </cacheField>
    <cacheField name="Category: Detecting" numFmtId="0">
      <sharedItems containsString="0" containsBlank="1" containsNumber="1" containsInteger="1" minValue="0" maxValue="1"/>
    </cacheField>
    <cacheField name="Category: Sensemaking" numFmtId="0">
      <sharedItems containsString="0" containsBlank="1" containsNumber="1" containsInteger="1" minValue="0" maxValue="4"/>
    </cacheField>
    <cacheField name="Category: Planning" numFmtId="0">
      <sharedItems containsString="0" containsBlank="1" containsNumber="1" containsInteger="1" minValue="0" maxValue="2"/>
    </cacheField>
    <cacheField name="Category: Deciding" numFmtId="0">
      <sharedItems containsString="0" containsBlank="1" containsNumber="1" containsInteger="1" minValue="0" maxValue="2"/>
    </cacheField>
    <cacheField name="Category: Coordination" numFmtId="0">
      <sharedItems containsString="0" containsBlank="1" containsNumber="1" containsInteger="1" minValue="0" maxValue="3"/>
    </cacheField>
    <cacheField name="Category: Executin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s v="2024-02-22 00:00:00.000 +0000"/>
    <x v="0"/>
    <s v="Thursday "/>
    <d v="1899-12-30T00:20:01"/>
    <n v="6"/>
    <x v="0"/>
    <s v="qamar.jamil"/>
    <s v="unidentified"/>
    <s v="OUT_OF_TIME"/>
    <n v="0.88888888888888795"/>
    <n v="1.5"/>
    <n v="0.83333333333333304"/>
    <n v="0.53333333333333299"/>
    <n v="0.454545454545453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4-02-26 00:00:00.000 +0000"/>
    <x v="0"/>
    <s v="Monday   "/>
    <d v="1899-12-30T00:20:02"/>
    <n v="6"/>
    <x v="0"/>
    <s v="zishan.sohail"/>
    <s v="Service Desk"/>
    <s v="OUT_OF_TIME"/>
    <n v="0.55555555555555503"/>
    <n v="1"/>
    <n v="0.83333333333333304"/>
    <n v="0.53333333333333299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4-11-07 00:00:00.000 +0000"/>
    <x v="1"/>
    <s v="Thursday "/>
    <d v="1899-12-30T00:22:30"/>
    <n v="3"/>
    <x v="1"/>
    <s v="nikhil.nandikolmath"/>
    <s v="unidentified"/>
    <s v="COMPLETED"/>
    <n v="0.22222222222222199"/>
    <n v="1"/>
    <n v="0.66666666666666596"/>
    <n v="0.33333333333333298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4-11-14 00:00:00.000 +0000"/>
    <x v="1"/>
    <s v="Thursday "/>
    <d v="1899-12-30T00:14:09"/>
    <n v="3"/>
    <x v="1"/>
    <s v="nikhil.nandikolmath"/>
    <s v="unidentified"/>
    <s v="COMPLETED"/>
    <n v="0.66666666666666596"/>
    <n v="1"/>
    <n v="1"/>
    <n v="0.46666666666666601"/>
    <n v="0.3636363636363629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4-11-20 00:00:00.000 +0000"/>
    <x v="1"/>
    <s v="Wednesday"/>
    <d v="1899-12-30T00:17:57"/>
    <n v="3"/>
    <x v="1"/>
    <s v="richard.gillett"/>
    <s v="Service Desk"/>
    <s v="COMPLETED"/>
    <n v="0.55555555555555503"/>
    <n v="1"/>
    <n v="0.66666666666666596"/>
    <n v="0.46666666666666601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4-11-21 00:00:00.000 +0000"/>
    <x v="1"/>
    <s v="Thursday "/>
    <d v="1899-12-30T00:20:01"/>
    <n v="3"/>
    <x v="1"/>
    <s v="warren.gillett"/>
    <s v="Service Desk"/>
    <s v="OUT_OF_TIME"/>
    <n v="0.33333333333333298"/>
    <n v="0.5"/>
    <n v="0.83333333333333304"/>
    <n v="0.6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4-11-21 00:00:00.000 +0000"/>
    <x v="1"/>
    <s v="Thursday "/>
    <d v="1899-12-30T00:20:01"/>
    <n v="5"/>
    <x v="2"/>
    <s v="nikhil.nandikolmath"/>
    <s v="unidentified"/>
    <s v="OUT_OF_TIME"/>
    <n v="0.33333333333333298"/>
    <n v="1"/>
    <n v="0.66666666666666596"/>
    <n v="0.46666666666666601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4-11-27 00:00:00.000 +0000"/>
    <x v="1"/>
    <s v="Wednesday"/>
    <d v="1899-12-30T00:20:01"/>
    <n v="5"/>
    <x v="2"/>
    <s v="richard.gillett"/>
    <s v="Service Desk"/>
    <s v="OUT_OF_TIME"/>
    <n v="0.55555555555555503"/>
    <n v="1.5"/>
    <n v="0.66666666666666596"/>
    <n v="0.133333333333333"/>
    <n v="9.0909090909090898E-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4-11-28 00:00:00.000 +0000"/>
    <x v="1"/>
    <s v="Thursday "/>
    <d v="1899-12-30T00:18:25"/>
    <n v="7"/>
    <x v="3"/>
    <s v="warren.gillett"/>
    <s v="Service Desk"/>
    <s v="COMPLETED"/>
    <n v="0.44444444444444398"/>
    <n v="1.5"/>
    <n v="0.5"/>
    <n v="6.6666666666666596E-2"/>
    <n v="9.0909090909090898E-2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4-11-28 00:00:00.000 +0000"/>
    <x v="1"/>
    <s v="Thursday "/>
    <d v="1899-12-30T00:20:01"/>
    <n v="7"/>
    <x v="3"/>
    <s v="nikhil.nandikolmath"/>
    <s v="unidentified"/>
    <s v="OUT_OF_TIME"/>
    <n v="0.44444444444444398"/>
    <n v="1"/>
    <n v="0.33333333333333298"/>
    <n v="0.266666666666666"/>
    <n v="0.272727272727271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4-12-04 00:00:00.000 +0000"/>
    <x v="2"/>
    <s v="Wednesday"/>
    <d v="1899-12-30T00:19:23"/>
    <n v="3"/>
    <x v="1"/>
    <s v="umesh.mishra"/>
    <s v="unidentified"/>
    <s v="COMPLETED"/>
    <n v="0.33333333333333298"/>
    <n v="1"/>
    <n v="0.5"/>
    <n v="0.13333333333333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4-12-04 00:00:00.000 +0000"/>
    <x v="2"/>
    <s v="Wednesday"/>
    <d v="1899-12-30T00:20:01"/>
    <n v="5"/>
    <x v="2"/>
    <s v="richard.gillett"/>
    <s v="Service Desk"/>
    <s v="OUT_OF_TIME"/>
    <n v="0.44444444444444398"/>
    <n v="1"/>
    <n v="0.5"/>
    <n v="0.53333333333333299"/>
    <n v="0.454545454545453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4-12-05 00:00:00.000 +0000"/>
    <x v="2"/>
    <s v="Thursday "/>
    <d v="1899-12-30T00:17:43"/>
    <n v="3"/>
    <x v="1"/>
    <s v="warren.gillett"/>
    <s v="Service Desk"/>
    <s v="COMPLETED"/>
    <n v="0.44444444444444398"/>
    <n v="1"/>
    <n v="0.5"/>
    <n v="0.46666666666666601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4-12-05 00:00:00.000 +0000"/>
    <x v="2"/>
    <s v="Thursday "/>
    <d v="1899-12-30T00:20:01"/>
    <n v="6"/>
    <x v="0"/>
    <s v="nikhil.nandikolmath"/>
    <s v="unidentified"/>
    <s v="OUT_OF_TIME"/>
    <n v="0.66666666666666596"/>
    <n v="1"/>
    <n v="0.83333333333333304"/>
    <n v="0.6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4-12-11 00:00:00.000 +0000"/>
    <x v="2"/>
    <s v="Wednesday"/>
    <d v="1899-12-30T00:20:01"/>
    <n v="5"/>
    <x v="2"/>
    <s v="umesh.mishra"/>
    <s v="unidentified"/>
    <s v="OUT_OF_TIME"/>
    <n v="0.44444444444444398"/>
    <n v="1.5"/>
    <n v="0.83333333333333304"/>
    <n v="0.266666666666666"/>
    <n v="0.272727272727271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4-12-12 00:00:00.000 +0000"/>
    <x v="2"/>
    <s v="Thursday "/>
    <d v="1899-12-30T00:19:45"/>
    <n v="14"/>
    <x v="4"/>
    <s v="nikhil.nandikolmath"/>
    <s v="unidentified"/>
    <s v="COMPLETED"/>
    <n v="0.22222222222222199"/>
    <n v="1"/>
    <n v="0.66666666666666596"/>
    <n v="0.53333333333333299"/>
    <n v="0.363636363636362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4-12-18 00:00:00.000 +0000"/>
    <x v="2"/>
    <s v="Wednesday"/>
    <d v="1899-12-30T00:20:02"/>
    <n v="7"/>
    <x v="3"/>
    <s v="umesh.mishra"/>
    <s v="unidentified"/>
    <s v="OUT_OF_TIME"/>
    <n v="0.77777777777777701"/>
    <n v="1"/>
    <n v="0.33333333333333298"/>
    <n v="0.46666666666666601"/>
    <n v="0.54545454545454497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4-12-19 00:00:00.000 +0000"/>
    <x v="2"/>
    <s v="Thursday "/>
    <d v="1899-12-30T00:20:02"/>
    <n v="16"/>
    <x v="5"/>
    <s v="nikhil.nandikolmath"/>
    <s v="unidentified"/>
    <s v="OUT_OF_TIME"/>
    <n v="0.33333333333333298"/>
    <n v="1"/>
    <n v="1"/>
    <n v="0.53333333333333299"/>
    <n v="0.54545454545454497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1-07 00:00:00.000 +0000"/>
    <x v="3"/>
    <s v="Tuesday  "/>
    <d v="1899-12-30T00:16:52"/>
    <n v="3"/>
    <x v="1"/>
    <s v="asmaa.gangat"/>
    <s v="Service Desk"/>
    <s v="COMPLETED"/>
    <n v="0.33333333333333298"/>
    <n v="1.5"/>
    <n v="0.83333333333333304"/>
    <n v="0.4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1-08 00:00:00.000 +0000"/>
    <x v="3"/>
    <s v="Wednesday"/>
    <d v="1899-12-30T00:18:32"/>
    <n v="3"/>
    <x v="1"/>
    <s v="sunil.kumar"/>
    <s v="unidentified"/>
    <s v="COMPLETED"/>
    <n v="0.66666666666666596"/>
    <n v="1"/>
    <n v="0.66666666666666596"/>
    <n v="0.33333333333333298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1-09 00:00:00.000 +0000"/>
    <x v="3"/>
    <s v="Thursday "/>
    <d v="1899-12-30T00:20:12"/>
    <n v="4"/>
    <x v="6"/>
    <s v="nikhil.nandikolmath"/>
    <s v="unidentified"/>
    <s v="COMPLETED"/>
    <n v="0.33333333333333298"/>
    <n v="1"/>
    <n v="1"/>
    <n v="0.6"/>
    <n v="0.36363636363636298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1-13 00:00:00.000 +0000"/>
    <x v="3"/>
    <s v="Monday   "/>
    <d v="1899-12-30T00:15:38"/>
    <n v="7"/>
    <x v="3"/>
    <s v="richard.gillett"/>
    <s v="Service Desk"/>
    <s v="COMPLETED"/>
    <n v="0.66666666666666596"/>
    <n v="1.5"/>
    <n v="0.66666666666666596"/>
    <n v="6.6666666666666596E-2"/>
    <n v="0.181818181818180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1-15 00:00:00.000 +0000"/>
    <x v="3"/>
    <s v="Wednesday"/>
    <d v="1899-12-30T00:20:01"/>
    <n v="6"/>
    <x v="0"/>
    <s v="umesh.mishra"/>
    <s v="unidentified"/>
    <s v="OUT_OF_TIME"/>
    <n v="0.55555555555555503"/>
    <n v="1"/>
    <n v="0.83333333333333304"/>
    <n v="0.53333333333333299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1-15 00:00:00.000 +0000"/>
    <x v="3"/>
    <s v="Wednesday"/>
    <d v="1899-12-30T00:20:01"/>
    <n v="6"/>
    <x v="0"/>
    <s v="richard.gillett"/>
    <s v="Service Desk"/>
    <s v="OUT_OF_TIME"/>
    <n v="0.33333333333333298"/>
    <n v="1"/>
    <n v="0.83333333333333304"/>
    <n v="0.6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1-16 00:00:00.000 +0000"/>
    <x v="3"/>
    <s v="Thursday "/>
    <d v="1899-12-30T00:17:53"/>
    <n v="5"/>
    <x v="2"/>
    <s v="warren.gillett"/>
    <s v="Service Desk"/>
    <s v="COMPLETED"/>
    <n v="0.44444444444444398"/>
    <n v="1.5"/>
    <n v="1"/>
    <n v="0.46666666666666601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1-21 00:00:00.000 +0000"/>
    <x v="3"/>
    <s v="Tuesday  "/>
    <d v="1899-12-30T00:20:01"/>
    <n v="5"/>
    <x v="2"/>
    <s v="asmaa.gangat"/>
    <s v="Service Desk"/>
    <s v="OUT_OF_TIME"/>
    <n v="0.55555555555555503"/>
    <n v="1"/>
    <n v="0.66666666666666596"/>
    <n v="0.53333333333333299"/>
    <n v="0.272727272727271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1-22 00:00:00.000 +0000"/>
    <x v="3"/>
    <s v="Wednesday"/>
    <d v="1899-12-30T00:20:08"/>
    <n v="14"/>
    <x v="4"/>
    <s v="umesh.mishra"/>
    <s v="unidentified"/>
    <s v="COMPLETED"/>
    <n v="0.33333333333333298"/>
    <n v="0.5"/>
    <n v="0.5"/>
    <n v="0.46666666666666601"/>
    <n v="0.27272727272727199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1-23 00:00:00.000 +0000"/>
    <x v="3"/>
    <s v="Thursday "/>
    <d v="1899-12-30T00:20:01"/>
    <n v="6"/>
    <x v="0"/>
    <s v="warren.gillett"/>
    <s v="Service Desk"/>
    <s v="OUT_OF_TIME"/>
    <n v="0.44444444444444398"/>
    <n v="1"/>
    <n v="0.5"/>
    <n v="0.4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1-23 00:00:00.000 +0000"/>
    <x v="3"/>
    <s v="Thursday "/>
    <d v="1899-12-30T00:25:02"/>
    <n v="8"/>
    <x v="7"/>
    <s v="nikhil.nandikolmath"/>
    <s v="unidentified"/>
    <s v="OUT_OF_TIME"/>
    <n v="0.55555555555555503"/>
    <n v="1"/>
    <n v="1"/>
    <n v="0.53333333333333299"/>
    <n v="0.54545454545454497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1-24 00:00:00.000 +0000"/>
    <x v="3"/>
    <s v="Friday   "/>
    <d v="1899-12-30T00:16:13"/>
    <n v="3"/>
    <x v="1"/>
    <s v="navachethan.bhandari"/>
    <s v="unidentified"/>
    <s v="COMPLETED"/>
    <n v="0.44444444444444398"/>
    <n v="1"/>
    <n v="0.66666666666666596"/>
    <n v="0.53333333333333299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1-29 00:00:00.000 +0000"/>
    <x v="3"/>
    <s v="Wednesday"/>
    <d v="1899-12-30T00:11:07"/>
    <n v="7"/>
    <x v="3"/>
    <s v="asmaa.gangat"/>
    <s v="Service Desk"/>
    <s v="COMPLETED"/>
    <n v="0.77777777777777701"/>
    <n v="1.5"/>
    <n v="0.66666666666666596"/>
    <n v="0.266666666666666"/>
    <n v="0.272727272727271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1-29 00:00:00.000 +0000"/>
    <x v="3"/>
    <s v="Wednesday"/>
    <d v="1899-12-30T00:20:01"/>
    <n v="5"/>
    <x v="2"/>
    <s v="sunil.kumar"/>
    <s v="unidentified"/>
    <s v="OUT_OF_TIME"/>
    <n v="0.55555555555555503"/>
    <n v="1"/>
    <n v="0.5"/>
    <n v="0.266666666666666"/>
    <n v="0.454545454545453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1-30 00:00:00.000 +0000"/>
    <x v="3"/>
    <s v="Thursday "/>
    <d v="1899-12-30T00:18:10"/>
    <n v="3"/>
    <x v="1"/>
    <s v="gopal.narasinghrao"/>
    <s v="unidentified"/>
    <s v="COMPLETED"/>
    <n v="0.55555555555555503"/>
    <n v="1"/>
    <n v="0.66666666666666596"/>
    <n v="0.33333333333333298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1-31 00:00:00.000 +0000"/>
    <x v="3"/>
    <s v="Friday   "/>
    <d v="1899-12-30T00:15:08"/>
    <n v="3"/>
    <x v="1"/>
    <s v="ryan.allen"/>
    <s v="Tech"/>
    <s v="COMPLETED"/>
    <n v="0.44444444444444398"/>
    <n v="1.5"/>
    <n v="0.83333333333333304"/>
    <n v="0.53333333333333299"/>
    <n v="0.3636363636363629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1-31 00:00:00.000 +0000"/>
    <x v="3"/>
    <s v="Friday   "/>
    <d v="1899-12-30T00:15:31"/>
    <n v="5"/>
    <x v="2"/>
    <s v="navachethan.bhandari"/>
    <s v="unidentified"/>
    <s v="COMPLETED"/>
    <n v="0.66666666666666596"/>
    <n v="1"/>
    <n v="0.83333333333333304"/>
    <n v="0.53333333333333299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2-03 00:00:00.000 +0000"/>
    <x v="4"/>
    <s v="Monday   "/>
    <d v="1899-12-30T00:15:08"/>
    <n v="3"/>
    <x v="1"/>
    <s v="naveed.khan"/>
    <s v="Service Desk"/>
    <s v="COMPLETED"/>
    <n v="0.33333333333333298"/>
    <n v="1"/>
    <n v="0.83333333333333304"/>
    <n v="0.33333333333333298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2-04 00:00:00.000 +0000"/>
    <x v="4"/>
    <s v="Tuesday  "/>
    <d v="1899-12-30T00:19:46"/>
    <n v="5"/>
    <x v="2"/>
    <s v="ryan.allen"/>
    <s v="Tech"/>
    <s v="COMPLETED"/>
    <n v="0.66666666666666596"/>
    <n v="1"/>
    <n v="0.5"/>
    <n v="0.6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2-05 00:00:00.000 +0000"/>
    <x v="4"/>
    <s v="Wednesday"/>
    <d v="1899-12-30T00:20:02"/>
    <n v="7"/>
    <x v="3"/>
    <s v="sunil.kumar"/>
    <s v="unidentified"/>
    <s v="OUT_OF_TIME"/>
    <n v="0.88888888888888795"/>
    <n v="0.5"/>
    <n v="0.33333333333333298"/>
    <n v="0.2"/>
    <n v="0.181818181818180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2-06 00:00:00.000 +0000"/>
    <x v="4"/>
    <s v="Thursday "/>
    <d v="1899-12-30T00:14:41"/>
    <n v="3"/>
    <x v="1"/>
    <s v="michael.ward"/>
    <s v="Tech"/>
    <s v="COMPLETED"/>
    <n v="0.88888888888888795"/>
    <n v="0.5"/>
    <n v="1"/>
    <n v="0.53333333333333299"/>
    <n v="0.3636363636363629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2-07 00:00:00.000 +0000"/>
    <x v="4"/>
    <s v="Friday   "/>
    <d v="1899-12-30T00:11:50"/>
    <n v="7"/>
    <x v="3"/>
    <s v="navachethan.bhandari"/>
    <s v="unidentified"/>
    <s v="COMPLETED"/>
    <n v="0.55555555555555503"/>
    <n v="1"/>
    <n v="0.83333333333333304"/>
    <n v="0.33333333333333298"/>
    <n v="0.36363636363636298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2-10 00:00:00.000 +0000"/>
    <x v="4"/>
    <s v="Monday   "/>
    <d v="1899-12-30T00:20:02"/>
    <n v="3"/>
    <x v="1"/>
    <s v="kwame.yeboah"/>
    <s v="Service Desk"/>
    <s v="OUT_OF_TIME"/>
    <n v="0.55555555555555503"/>
    <n v="1.5"/>
    <n v="0.5"/>
    <n v="0.266666666666666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2-11 00:00:00.000 +0000"/>
    <x v="4"/>
    <s v="Tuesday  "/>
    <d v="1899-12-30T00:19:57"/>
    <n v="6"/>
    <x v="0"/>
    <s v="ryan.allen"/>
    <s v="Tech"/>
    <s v="COMPLETED"/>
    <n v="0.66666666666666596"/>
    <n v="1"/>
    <n v="0.66666666666666596"/>
    <n v="0.6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2-12 00:00:00.000 +0000"/>
    <x v="4"/>
    <s v="Wednesday"/>
    <d v="1899-12-30T00:20:01"/>
    <n v="6"/>
    <x v="0"/>
    <s v="sunil.kumar"/>
    <s v="unidentified"/>
    <s v="OUT_OF_TIME"/>
    <n v="0.66666666666666596"/>
    <n v="1"/>
    <n v="0.66666666666666596"/>
    <n v="0.4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2-12 00:00:00.000 +0000"/>
    <x v="4"/>
    <s v="Wednesday"/>
    <d v="1899-12-30T00:20:02"/>
    <n v="16"/>
    <x v="5"/>
    <s v="richard.gillett"/>
    <s v="Service Desk"/>
    <s v="OUT_OF_TIME"/>
    <n v="0.44444444444444398"/>
    <n v="1.5"/>
    <n v="0.83333333333333304"/>
    <n v="0.4"/>
    <n v="0.454545454545453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2-13 00:00:00.000 +0000"/>
    <x v="4"/>
    <s v="Thursday "/>
    <d v="1899-12-30T00:10:20"/>
    <n v="7"/>
    <x v="3"/>
    <s v="gopal.narasinghrao"/>
    <s v="unidentified"/>
    <s v="COMPLETED"/>
    <n v="0.33333333333333298"/>
    <n v="0.5"/>
    <n v="0.5"/>
    <n v="0.2"/>
    <n v="9.0909090909090898E-2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2-13 00:00:00.000 +0000"/>
    <x v="4"/>
    <s v="Thursday "/>
    <d v="1899-12-30T00:20:02"/>
    <n v="14"/>
    <x v="4"/>
    <s v="warren.gillett"/>
    <s v="Service Desk"/>
    <s v="OUT_OF_TIME"/>
    <n v="0.33333333333333298"/>
    <n v="1"/>
    <n v="0.66666666666666596"/>
    <n v="0.6"/>
    <n v="0.27272727272727199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2-13 00:00:00.000 +0000"/>
    <x v="4"/>
    <s v="Thursday "/>
    <d v="1899-12-30T00:18:42"/>
    <n v="5"/>
    <x v="2"/>
    <s v="michael.ward"/>
    <s v="Tech"/>
    <s v="COMPLETED"/>
    <n v="0.55555555555555503"/>
    <n v="1"/>
    <n v="0.66666666666666596"/>
    <n v="0.46666666666666601"/>
    <n v="0.272727272727271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2-17 00:00:00.000 +0000"/>
    <x v="4"/>
    <s v="Monday   "/>
    <d v="1899-12-30T00:20:02"/>
    <n v="5"/>
    <x v="2"/>
    <s v="kwame.yeboah"/>
    <s v="Service Desk"/>
    <s v="OUT_OF_TIME"/>
    <n v="0.33333333333333298"/>
    <n v="1.5"/>
    <n v="0.5"/>
    <n v="0.266666666666666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2-18 00:00:00.000 +0000"/>
    <x v="4"/>
    <s v="Tuesday  "/>
    <d v="1899-12-30T00:17:19"/>
    <n v="7"/>
    <x v="3"/>
    <s v="ryan.allen"/>
    <s v="Tech"/>
    <s v="COMPLETED"/>
    <n v="0.55555555555555503"/>
    <n v="1.5"/>
    <n v="0.83333333333333304"/>
    <n v="0.266666666666666"/>
    <n v="0.272727272727271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2-18 00:00:00.000 +0000"/>
    <x v="4"/>
    <s v="Tuesday  "/>
    <d v="1899-12-30T00:20:03"/>
    <n v="6"/>
    <x v="0"/>
    <s v="asmaa.gangat"/>
    <s v="Service Desk"/>
    <s v="OUT_OF_TIME"/>
    <n v="0.55555555555555503"/>
    <n v="1"/>
    <n v="0.66666666666666596"/>
    <n v="0.4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2-18 00:00:00.000 +0000"/>
    <x v="4"/>
    <s v="Tuesday  "/>
    <d v="1899-12-30T00:18:52"/>
    <n v="5"/>
    <x v="2"/>
    <s v="naveed.khan"/>
    <s v="Service Desk"/>
    <s v="COMPLETED"/>
    <n v="0.55555555555555503"/>
    <n v="1.5"/>
    <n v="0.83333333333333304"/>
    <n v="0.4"/>
    <n v="0.272727272727271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2-19 00:00:00.000 +0000"/>
    <x v="4"/>
    <s v="Wednesday"/>
    <d v="1899-12-30T00:20:01"/>
    <n v="14"/>
    <x v="4"/>
    <s v="sunil.kumar"/>
    <s v="unidentified"/>
    <s v="OUT_OF_TIME"/>
    <n v="0.44444444444444398"/>
    <n v="1.5"/>
    <n v="0.66666666666666596"/>
    <n v="0.46666666666666601"/>
    <n v="0.27272727272727199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2-20 00:00:00.000 +0000"/>
    <x v="4"/>
    <s v="Thursday "/>
    <d v="1899-12-30T00:19:35"/>
    <n v="5"/>
    <x v="2"/>
    <s v="gopal.narasinghrao"/>
    <s v="unidentified"/>
    <s v="COMPLETED"/>
    <n v="0.44444444444444398"/>
    <n v="1.5"/>
    <n v="1"/>
    <n v="0.46666666666666601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2-20 00:00:00.000 +0000"/>
    <x v="4"/>
    <s v="Thursday "/>
    <d v="1899-12-30T00:15:15"/>
    <n v="6"/>
    <x v="0"/>
    <s v="michael.ward"/>
    <s v="Tech"/>
    <s v="COMPLETED"/>
    <n v="0.77777777777777701"/>
    <n v="1"/>
    <n v="0.66666666666666596"/>
    <n v="0.6"/>
    <n v="0.454545454545453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2-21 00:00:00.000 +0000"/>
    <x v="4"/>
    <s v="Friday   "/>
    <d v="1899-12-30T00:20:28"/>
    <n v="6"/>
    <x v="0"/>
    <s v="navachethan.bhandari"/>
    <s v="unidentified"/>
    <s v="COMPLETED"/>
    <n v="0.11111111111111099"/>
    <n v="0.5"/>
    <n v="0.83333333333333304"/>
    <n v="0.4"/>
    <n v="0.454545454545453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2-24 00:00:00.000 +0000"/>
    <x v="4"/>
    <s v="Monday   "/>
    <d v="1899-12-30T00:20:02"/>
    <n v="6"/>
    <x v="0"/>
    <s v="kwame.yeboah"/>
    <s v="Service Desk"/>
    <s v="OUT_OF_TIME"/>
    <n v="0.44444444444444398"/>
    <n v="1"/>
    <n v="0.5"/>
    <n v="0.133333333333333"/>
    <n v="0.1818181818181809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2-25 00:00:00.000 +0000"/>
    <x v="4"/>
    <s v="Tuesday  "/>
    <d v="1899-12-30T00:20:11"/>
    <n v="14"/>
    <x v="4"/>
    <s v="asmaa.gangat"/>
    <s v="Service Desk"/>
    <s v="OUT_OF_TIME"/>
    <n v="0.55555555555555503"/>
    <n v="1.5"/>
    <n v="0.33333333333333298"/>
    <n v="0.266666666666666"/>
    <n v="9.0909090909090898E-2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2-26 00:00:00.000 +0000"/>
    <x v="4"/>
    <s v="Wednesday"/>
    <d v="1899-12-30T00:20:01"/>
    <n v="16"/>
    <x v="5"/>
    <s v="sunil.kumar"/>
    <s v="unidentified"/>
    <s v="OUT_OF_TIME"/>
    <n v="0.33333333333333298"/>
    <n v="1"/>
    <n v="0.83333333333333304"/>
    <n v="0.4"/>
    <n v="0.363636363636362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2-26 00:00:00.000 +0000"/>
    <x v="4"/>
    <s v="Wednesday"/>
    <d v="1899-12-30T00:30:02"/>
    <n v="26"/>
    <x v="8"/>
    <s v="richard.gillett"/>
    <s v="Service Desk"/>
    <s v="OUT_OF_TIME"/>
    <n v="0.55555555555555503"/>
    <n v="1"/>
    <n v="0.66666666666666596"/>
    <n v="0.4"/>
    <n v="0.181818181818180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2-27 00:00:00.000 +0000"/>
    <x v="4"/>
    <s v="Thursday "/>
    <d v="1899-12-30T00:20:15"/>
    <n v="16"/>
    <x v="5"/>
    <s v="gopal.narasinghrao"/>
    <s v="unidentified"/>
    <s v="COMPLETED"/>
    <n v="0.66666666666666596"/>
    <n v="2"/>
    <n v="1"/>
    <n v="0.4"/>
    <n v="0.18181818181818099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2-27 00:00:00.000 +0000"/>
    <x v="4"/>
    <s v="Thursday "/>
    <d v="1899-12-30T00:27:14"/>
    <n v="26"/>
    <x v="8"/>
    <s v="warren.gillett"/>
    <s v="Service Desk"/>
    <s v="COMPLETED"/>
    <n v="0.66666666666666596"/>
    <n v="1"/>
    <n v="0.5"/>
    <n v="0.66666666666666596"/>
    <n v="0.36363636363636298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2-27 00:00:00.000 +0000"/>
    <x v="4"/>
    <s v="Thursday "/>
    <d v="1899-12-30T00:17:10"/>
    <n v="14"/>
    <x v="4"/>
    <s v="michael.ward"/>
    <s v="Tech"/>
    <s v="COMPLETED"/>
    <n v="0.88888888888888795"/>
    <n v="1"/>
    <n v="0.66666666666666596"/>
    <n v="0.73333333333333295"/>
    <n v="0.63636363636363602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2-28 00:00:00.000 +0000"/>
    <x v="4"/>
    <s v="Friday   "/>
    <d v="1899-12-30T00:20:01"/>
    <n v="14"/>
    <x v="4"/>
    <s v="navachethan.bhandari"/>
    <s v="unidentified"/>
    <s v="OUT_OF_TIME"/>
    <n v="0.44444444444444398"/>
    <n v="1"/>
    <n v="1"/>
    <n v="0.4"/>
    <n v="0.363636363636362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3-03 00:00:00.000 +0000"/>
    <x v="5"/>
    <s v="Monday   "/>
    <d v="1899-12-30T00:20:01"/>
    <n v="14"/>
    <x v="4"/>
    <s v="kwame.yeboah"/>
    <s v="Service Desk"/>
    <s v="OUT_OF_TIME"/>
    <n v="0.33333333333333298"/>
    <n v="1"/>
    <n v="0.5"/>
    <n v="0.53333333333333299"/>
    <n v="0.454545454545453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3-04 00:00:00.000 +0000"/>
    <x v="5"/>
    <s v="Tuesday  "/>
    <d v="1899-12-30T00:23:07"/>
    <n v="26"/>
    <x v="8"/>
    <s v="ryan.allen"/>
    <s v="Tech"/>
    <s v="COMPLETED"/>
    <n v="0.77777777777777701"/>
    <n v="1"/>
    <n v="0.83333333333333304"/>
    <n v="0.6"/>
    <n v="0.36363636363636298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3-04 00:00:00.000 +0000"/>
    <x v="5"/>
    <s v="Tuesday  "/>
    <d v="1899-12-30T00:22:01"/>
    <n v="26"/>
    <x v="8"/>
    <s v="asmaa.gangat"/>
    <s v="Service Desk"/>
    <s v="COMPLETED"/>
    <n v="0.55555555555555503"/>
    <n v="1"/>
    <n v="0.66666666666666596"/>
    <n v="0.6"/>
    <n v="0.54545454545454497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3-04 00:00:00.000 +0000"/>
    <x v="5"/>
    <s v="Tuesday  "/>
    <d v="1899-12-30T00:09:41"/>
    <n v="27"/>
    <x v="9"/>
    <s v="zishan.sohail"/>
    <s v="Service Desk"/>
    <s v="COMPLETED"/>
    <n v="0.33333333333333298"/>
    <n v="1"/>
    <n v="0.5"/>
    <n v="0.2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1"/>
    <n v="0"/>
    <n v="0"/>
    <n v="0"/>
  </r>
  <r>
    <s v="2025-03-05 00:00:00.000 +0000"/>
    <x v="5"/>
    <s v="Wednesday"/>
    <d v="1899-12-30T00:27:05"/>
    <n v="26"/>
    <x v="8"/>
    <s v="sunil.kumar"/>
    <s v="unidentified"/>
    <s v="COMPLETED"/>
    <n v="0.55555555555555503"/>
    <n v="1"/>
    <n v="0.66666666666666596"/>
    <n v="0.4"/>
    <n v="0.181818181818180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3-06 00:00:00.000 +0000"/>
    <x v="5"/>
    <s v="Thursday "/>
    <d v="1899-12-30T00:20:01"/>
    <n v="6"/>
    <x v="0"/>
    <s v="naveed.khan"/>
    <s v="Service Desk"/>
    <s v="OUT_OF_TIME"/>
    <n v="0.55555555555555503"/>
    <n v="1"/>
    <n v="0.83333333333333304"/>
    <n v="0.33333333333333298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3-06 00:00:00.000 +0000"/>
    <x v="5"/>
    <s v="Thursday "/>
    <d v="1899-12-30T00:20:01"/>
    <n v="6"/>
    <x v="0"/>
    <s v="gopal.narasinghrao"/>
    <s v="unidentified"/>
    <s v="OUT_OF_TIME"/>
    <n v="0.33333333333333298"/>
    <n v="1"/>
    <n v="0.83333333333333304"/>
    <n v="0.33333333333333298"/>
    <n v="0.1818181818181809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3-06 00:00:00.000 +0000"/>
    <x v="5"/>
    <s v="Thursday "/>
    <d v="1899-12-30T00:18:50"/>
    <n v="26"/>
    <x v="8"/>
    <s v="michael.ward"/>
    <s v="Tech"/>
    <s v="COMPLETED"/>
    <n v="0.88888888888888795"/>
    <n v="1"/>
    <n v="1"/>
    <n v="0.66666666666666596"/>
    <n v="0.54545454545454497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3-06 00:00:00.000 +0000"/>
    <x v="5"/>
    <s v="Thursday "/>
    <d v="1899-12-30T00:22:02"/>
    <n v="26"/>
    <x v="8"/>
    <s v="nikhil.nandikolmath"/>
    <s v="unidentified"/>
    <s v="COMPLETED"/>
    <n v="0.66666666666666596"/>
    <n v="1"/>
    <n v="0.66666666666666596"/>
    <n v="0.66666666666666596"/>
    <n v="0.54545454545454497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3-07 00:00:00.000 +0000"/>
    <x v="5"/>
    <s v="Friday   "/>
    <d v="1899-12-30T00:23:40"/>
    <n v="26"/>
    <x v="8"/>
    <s v="navachethan.bhandari"/>
    <s v="unidentified"/>
    <s v="COMPLETED"/>
    <n v="0.66666666666666596"/>
    <n v="1"/>
    <n v="0.5"/>
    <n v="0.46666666666666601"/>
    <n v="0.45454545454545398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03-10 00:00:00.000 +0000"/>
    <x v="5"/>
    <s v="Monday   "/>
    <d v="1899-12-30T00:18:48"/>
    <n v="7"/>
    <x v="3"/>
    <s v="kwame.yeboah"/>
    <s v="Service Desk"/>
    <s v="COMPLETED"/>
    <n v="0.66666666666666596"/>
    <n v="1"/>
    <n v="0.16666666666666599"/>
    <n v="6.6666666666666596E-2"/>
    <n v="0.272727272727271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3-18 00:00:00.000 +0000"/>
    <x v="5"/>
    <s v="Tuesday  "/>
    <d v="1899-12-30T00:20:05"/>
    <n v="5"/>
    <x v="2"/>
    <s v="zishan.sohail"/>
    <s v="Service Desk"/>
    <s v="COMPLETED"/>
    <n v="0.77777777777777701"/>
    <n v="1"/>
    <n v="0.5"/>
    <n v="0.46666666666666601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3-18 00:00:00.000 +0000"/>
    <x v="5"/>
    <s v="Tuesday  "/>
    <d v="1899-12-30T00:20:04"/>
    <n v="3"/>
    <x v="1"/>
    <s v="r.enchill-balogun"/>
    <s v="Tech"/>
    <s v="COMPLETED"/>
    <n v="0.44444444444444398"/>
    <n v="1"/>
    <n v="0.66666666666666596"/>
    <n v="0.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3-18 00:00:00.000 +0000"/>
    <x v="5"/>
    <s v="Tuesday  "/>
    <d v="1899-12-30T00:17:53"/>
    <n v="3"/>
    <x v="1"/>
    <s v="matt.warwick"/>
    <s v="24/7"/>
    <s v="COMPLETED"/>
    <n v="0.33333333333333298"/>
    <n v="1"/>
    <n v="0.5"/>
    <n v="0.2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3-19 00:00:00.000 +0000"/>
    <x v="5"/>
    <s v="Wednesday"/>
    <d v="1899-12-30T00:10:01"/>
    <n v="27"/>
    <x v="9"/>
    <s v="naeem.khan"/>
    <s v="24/7"/>
    <s v="OUT_OF_TIME"/>
    <n v="0.33333333333333298"/>
    <n v="0"/>
    <n v="0"/>
    <n v="0.13333333333333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1"/>
    <n v="0"/>
    <n v="0"/>
    <n v="0"/>
  </r>
  <r>
    <s v="2025-03-19 00:00:00.000 +0000"/>
    <x v="5"/>
    <s v="Wednesday"/>
    <d v="1899-12-30T00:15:16"/>
    <n v="3"/>
    <x v="1"/>
    <s v="naeem.khan"/>
    <s v="24/7"/>
    <s v="COMPLETED"/>
    <n v="0.55555555555555503"/>
    <n v="1"/>
    <n v="0.66666666666666596"/>
    <n v="0.33333333333333298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3-20 00:00:00.000 +0000"/>
    <x v="5"/>
    <s v="Thursday "/>
    <d v="1899-12-30T00:20:02"/>
    <n v="7"/>
    <x v="3"/>
    <s v="naveed.khan"/>
    <s v="Service Desk"/>
    <s v="OUT_OF_TIME"/>
    <n v="0.66666666666666596"/>
    <n v="1.5"/>
    <n v="0.83333333333333304"/>
    <n v="6.6666666666666596E-2"/>
    <n v="9.0909090909090898E-2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3-25 00:00:00.000 +0000"/>
    <x v="5"/>
    <s v="Tuesday  "/>
    <d v="1899-12-30T00:20:01"/>
    <n v="14"/>
    <x v="4"/>
    <s v="ryan.allen"/>
    <s v="Tech"/>
    <s v="COMPLETED"/>
    <n v="0.44444444444444398"/>
    <n v="1"/>
    <n v="0.83333333333333304"/>
    <n v="0.53333333333333299"/>
    <n v="0.363636363636362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3-25 00:00:00.000 +0000"/>
    <x v="5"/>
    <s v="Tuesday  "/>
    <d v="1899-12-30T00:20:01"/>
    <n v="6"/>
    <x v="0"/>
    <s v="zishan.sohail"/>
    <s v="Service Desk"/>
    <s v="OUT_OF_TIME"/>
    <n v="0.33333333333333298"/>
    <n v="1"/>
    <n v="0.5"/>
    <n v="0.46666666666666601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3-25 00:00:00.000 +0000"/>
    <x v="5"/>
    <s v="Tuesday  "/>
    <d v="1899-12-30T00:17:37"/>
    <n v="16"/>
    <x v="5"/>
    <s v="asmaa.gangat"/>
    <s v="Service Desk"/>
    <s v="COMPLETED"/>
    <n v="0.44444444444444398"/>
    <n v="1"/>
    <n v="0.83333333333333304"/>
    <n v="0.46666666666666601"/>
    <n v="9.0909090909090898E-2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3-25 00:00:00.000 +0000"/>
    <x v="5"/>
    <s v="Tuesday  "/>
    <d v="1899-12-30T00:18:31"/>
    <n v="5"/>
    <x v="2"/>
    <s v="r.enchill-balogun"/>
    <s v="Tech"/>
    <s v="COMPLETED"/>
    <n v="0.33333333333333298"/>
    <n v="1"/>
    <n v="0.5"/>
    <n v="0.4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3-25 00:00:00.000 +0000"/>
    <x v="5"/>
    <s v="Tuesday  "/>
    <d v="1899-12-30T00:20:01"/>
    <n v="16"/>
    <x v="5"/>
    <s v="kwame.yeboah"/>
    <s v="Service Desk"/>
    <s v="OUT_OF_TIME"/>
    <n v="0.55555555555555503"/>
    <n v="1"/>
    <n v="0.5"/>
    <n v="0.6"/>
    <n v="0.54545454545454497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3-25 00:00:00.000 +0000"/>
    <x v="5"/>
    <s v="Tuesday  "/>
    <d v="1899-12-30T00:18:37"/>
    <n v="5"/>
    <x v="2"/>
    <s v="naeem.khan"/>
    <s v="24/7"/>
    <s v="COMPLETED"/>
    <n v="0.55555555555555503"/>
    <n v="1"/>
    <n v="0.83333333333333304"/>
    <n v="0.33333333333333298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3-27 00:00:00.000 +0000"/>
    <x v="5"/>
    <s v="Thursday "/>
    <d v="1899-12-30T00:20:01"/>
    <n v="14"/>
    <x v="4"/>
    <s v="naveed.khan"/>
    <s v="Service Desk"/>
    <s v="OUT_OF_TIME"/>
    <n v="0.44444444444444398"/>
    <n v="1"/>
    <n v="0.5"/>
    <n v="0.4"/>
    <n v="0.363636363636362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3-28 00:00:00.000 +0000"/>
    <x v="5"/>
    <s v="Friday   "/>
    <d v="1899-12-30T00:20:01"/>
    <n v="5"/>
    <x v="2"/>
    <s v="matt.warwick"/>
    <s v="24/7"/>
    <s v="OUT_OF_TIME"/>
    <n v="0.66666666666666596"/>
    <n v="1"/>
    <n v="0.66666666666666596"/>
    <n v="0.266666666666666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4-01 01:00:00.000 +0100"/>
    <x v="6"/>
    <s v="Tuesday  "/>
    <d v="1899-12-30T00:19:54"/>
    <n v="7"/>
    <x v="3"/>
    <s v="zishan.sohail"/>
    <s v="Service Desk"/>
    <s v="COMPLETED"/>
    <n v="0.55555555555555503"/>
    <n v="1"/>
    <n v="0.66666666666666596"/>
    <n v="0.33333333333333298"/>
    <n v="0.36363636363636298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4-01 01:00:00.000 +0100"/>
    <x v="6"/>
    <s v="Tuesday  "/>
    <d v="1899-12-30T00:20:02"/>
    <n v="7"/>
    <x v="3"/>
    <s v="r.enchill-balogun"/>
    <s v="Tech"/>
    <s v="OUT_OF_TIME"/>
    <n v="0.55555555555555503"/>
    <n v="1.5"/>
    <n v="0.83333333333333304"/>
    <n v="0.266666666666666"/>
    <n v="0.54545454545454497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4-03 01:00:00.000 +0100"/>
    <x v="6"/>
    <s v="Thursday "/>
    <d v="1899-12-30T00:17:02"/>
    <n v="16"/>
    <x v="5"/>
    <s v="naveed.khan"/>
    <s v="Service Desk"/>
    <s v="COMPLETED"/>
    <n v="0.55555555555555503"/>
    <n v="1"/>
    <n v="0.83333333333333304"/>
    <n v="0.6"/>
    <n v="0.363636363636362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4-03 01:00:00.000 +0100"/>
    <x v="6"/>
    <s v="Thursday "/>
    <d v="1899-12-30T00:19:55"/>
    <n v="3"/>
    <x v="1"/>
    <s v="omokova.otaru"/>
    <s v="24/7"/>
    <s v="COMPLETED"/>
    <n v="0.88888888888888795"/>
    <n v="1"/>
    <n v="1"/>
    <n v="0.53333333333333299"/>
    <n v="0.181818181818180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4-08 01:00:00.000 +0100"/>
    <x v="6"/>
    <s v="Tuesday  "/>
    <d v="1899-12-30T00:19:43"/>
    <n v="14"/>
    <x v="4"/>
    <s v="zishan.sohail"/>
    <s v="Service Desk"/>
    <s v="COMPLETED"/>
    <n v="0.33333333333333298"/>
    <n v="1"/>
    <n v="0.66666666666666596"/>
    <n v="0.46666666666666601"/>
    <n v="0.454545454545453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4-08 01:00:00.000 +0100"/>
    <x v="6"/>
    <s v="Tuesday  "/>
    <d v="1899-12-30T00:18:05"/>
    <n v="6"/>
    <x v="0"/>
    <s v="r.enchill-balogun"/>
    <s v="Tech"/>
    <s v="COMPLETED"/>
    <n v="0.44444444444444398"/>
    <n v="1"/>
    <n v="0.66666666666666596"/>
    <n v="0.46666666666666601"/>
    <n v="0.1818181818181809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4-08 01:00:00.000 +0100"/>
    <x v="6"/>
    <s v="Tuesday  "/>
    <d v="1899-12-30T00:18:12"/>
    <n v="5"/>
    <x v="2"/>
    <s v="omokova.otaru"/>
    <s v="24/7"/>
    <s v="COMPLETED"/>
    <n v="0.55555555555555503"/>
    <n v="1"/>
    <n v="1"/>
    <n v="0.53333333333333299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4-10 01:00:00.000 +0100"/>
    <x v="6"/>
    <s v="Thursday "/>
    <d v="1899-12-30T00:20:01"/>
    <n v="16"/>
    <x v="5"/>
    <s v="warren.gillett"/>
    <s v="Service Desk"/>
    <s v="OUT_OF_TIME"/>
    <n v="1"/>
    <n v="1.5"/>
    <n v="0.66666666666666596"/>
    <n v="0.46666666666666601"/>
    <n v="0.454545454545453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4-10 01:00:00.000 +0100"/>
    <x v="6"/>
    <s v="Thursday "/>
    <d v="1899-12-30T00:20:02"/>
    <n v="16"/>
    <x v="5"/>
    <s v="matt.warwick"/>
    <s v="24/7"/>
    <s v="OUT_OF_TIME"/>
    <n v="0.22222222222222199"/>
    <n v="0.5"/>
    <n v="0.33333333333333298"/>
    <n v="0.133333333333333"/>
    <n v="0.18181818181818099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4-10 01:00:00.000 +0100"/>
    <x v="6"/>
    <s v="Thursday "/>
    <d v="1899-12-30T00:16:51"/>
    <n v="16"/>
    <x v="5"/>
    <s v="michael.ward"/>
    <s v="Tech"/>
    <s v="COMPLETED"/>
    <n v="0.77777777777777701"/>
    <n v="1"/>
    <n v="0.66666666666666596"/>
    <n v="0.8"/>
    <n v="0.454545454545453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4-14 01:00:00.000 +0100"/>
    <x v="6"/>
    <s v="Monday   "/>
    <d v="1899-12-30T00:20:01"/>
    <n v="3"/>
    <x v="1"/>
    <s v="manikanta.suru"/>
    <s v="unidentified"/>
    <s v="OUT_OF_TIME"/>
    <n v="0.55555555555555503"/>
    <n v="1.5"/>
    <n v="0.83333333333333304"/>
    <n v="0.4"/>
    <n v="0.181818181818180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4-15 01:00:00.000 +0100"/>
    <x v="6"/>
    <s v="Tuesday  "/>
    <d v="1899-12-30T00:20:01"/>
    <n v="6"/>
    <x v="0"/>
    <s v="naeem.khan"/>
    <s v="24/7"/>
    <s v="OUT_OF_TIME"/>
    <n v="0.66666666666666596"/>
    <n v="1"/>
    <n v="0.5"/>
    <n v="0.46666666666666601"/>
    <n v="0.1818181818181809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4-16 01:00:00.000 +0100"/>
    <x v="6"/>
    <s v="Wednesday"/>
    <d v="1899-12-30T00:17:28"/>
    <n v="16"/>
    <x v="5"/>
    <s v="ryan.allen"/>
    <s v="Tech"/>
    <s v="COMPLETED"/>
    <n v="0.33333333333333298"/>
    <n v="1"/>
    <n v="0.83333333333333304"/>
    <n v="0.46666666666666601"/>
    <n v="0.18181818181818099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4-17 01:00:00.000 +0100"/>
    <x v="6"/>
    <s v="Thursday "/>
    <d v="1899-12-30T00:18:40"/>
    <n v="3"/>
    <x v="1"/>
    <s v="baljit.chima"/>
    <s v="24/7"/>
    <s v="COMPLETED"/>
    <n v="0.55555555555555503"/>
    <n v="1.5"/>
    <n v="0.83333333333333304"/>
    <n v="0.66666666666666596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4-22 01:00:00.000 +0100"/>
    <x v="6"/>
    <s v="Tuesday  "/>
    <d v="1899-12-30T00:18:15"/>
    <n v="5"/>
    <x v="2"/>
    <s v="asmaa.gangat"/>
    <s v="Service Desk"/>
    <s v="COMPLETED"/>
    <n v="0.77777777777777701"/>
    <n v="1"/>
    <n v="0.83333333333333304"/>
    <n v="0.53333333333333299"/>
    <n v="0.272727272727271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4-22 01:00:00.000 +0100"/>
    <x v="6"/>
    <s v="Tuesday  "/>
    <d v="1899-12-30T00:19:54"/>
    <n v="16"/>
    <x v="5"/>
    <s v="r.enchill-balogun"/>
    <s v="Tech"/>
    <s v="COMPLETED"/>
    <n v="0.44444444444444398"/>
    <n v="1"/>
    <n v="0.83333333333333304"/>
    <n v="0.53333333333333299"/>
    <n v="0.27272727272727199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4-22 01:00:00.000 +0100"/>
    <x v="6"/>
    <s v="Tuesday  "/>
    <d v="1899-12-30T00:20:02"/>
    <n v="6"/>
    <x v="0"/>
    <s v="omokova.otaru"/>
    <s v="24/7"/>
    <s v="OUT_OF_TIME"/>
    <n v="0.55555555555555503"/>
    <n v="1"/>
    <n v="0.5"/>
    <n v="0.46666666666666601"/>
    <n v="0.454545454545453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4-22 01:00:00.000 +0100"/>
    <x v="6"/>
    <s v="Tuesday  "/>
    <d v="1899-12-30T00:20:08"/>
    <n v="14"/>
    <x v="4"/>
    <s v="naeem.khan"/>
    <s v="24/7"/>
    <s v="COMPLETED"/>
    <n v="0.66666666666666596"/>
    <n v="1"/>
    <n v="1"/>
    <n v="0.66666666666666596"/>
    <n v="0.72727272727272696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4-23 01:00:00.000 +0100"/>
    <x v="6"/>
    <s v="Wednesday"/>
    <d v="1899-12-30T00:20:01"/>
    <n v="14"/>
    <x v="4"/>
    <s v="richard.gillett"/>
    <s v="Service Desk"/>
    <s v="OUT_OF_TIME"/>
    <n v="0.44444444444444398"/>
    <n v="1"/>
    <n v="0.5"/>
    <n v="0.6"/>
    <n v="0.363636363636362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4-23 01:00:00.000 +0100"/>
    <x v="6"/>
    <s v="Wednesday"/>
    <d v="1899-12-30T00:20:01"/>
    <n v="3"/>
    <x v="1"/>
    <s v="pragnapad.sarangi"/>
    <s v="24/7"/>
    <s v="OUT_OF_TIME"/>
    <n v="0.33333333333333298"/>
    <n v="0.5"/>
    <n v="0.33333333333333298"/>
    <n v="0.2"/>
    <n v="0.181818181818180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4-24 01:00:00.000 +0100"/>
    <x v="6"/>
    <s v="Thursday "/>
    <d v="1899-12-30T00:17:56"/>
    <n v="4"/>
    <x v="6"/>
    <s v="warren.gillett"/>
    <s v="Service Desk"/>
    <s v="COMPLETED"/>
    <n v="0.77777777777777701"/>
    <n v="1"/>
    <n v="0.66666666666666596"/>
    <n v="0.46666666666666601"/>
    <n v="0.18181818181818099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4-24 01:00:00.000 +0100"/>
    <x v="6"/>
    <s v="Thursday "/>
    <d v="1899-12-30T00:18:32"/>
    <n v="8"/>
    <x v="7"/>
    <s v="michael.ward"/>
    <s v="Tech"/>
    <s v="COMPLETED"/>
    <n v="0.66666666666666596"/>
    <n v="1"/>
    <n v="0.83333333333333304"/>
    <n v="0.53333333333333299"/>
    <n v="0.45454545454545398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4-28 01:00:00.000 +0100"/>
    <x v="6"/>
    <s v="Monday   "/>
    <d v="1899-12-30T00:20:02"/>
    <n v="4"/>
    <x v="6"/>
    <s v="kwame.yeboah"/>
    <s v="Service Desk"/>
    <s v="OUT_OF_TIME"/>
    <n v="0.55555555555555503"/>
    <n v="1"/>
    <n v="1"/>
    <n v="0.4"/>
    <n v="0.18181818181818099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4-29 01:00:00.000 +0100"/>
    <x v="6"/>
    <s v="Tuesday  "/>
    <d v="1899-12-30T00:20:02"/>
    <n v="14"/>
    <x v="4"/>
    <s v="r.enchill-balogun"/>
    <s v="Tech"/>
    <s v="OUT_OF_TIME"/>
    <n v="0.55555555555555503"/>
    <n v="1"/>
    <n v="0.33333333333333298"/>
    <n v="0.46666666666666601"/>
    <n v="0.54545454545454497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4-29 01:00:00.000 +0100"/>
    <x v="6"/>
    <s v="Tuesday  "/>
    <d v="1899-12-30T00:20:01"/>
    <n v="6"/>
    <x v="0"/>
    <s v="matt.warwick"/>
    <s v="24/7"/>
    <s v="OUT_OF_TIME"/>
    <n v="0.55555555555555503"/>
    <n v="1"/>
    <n v="0.33333333333333298"/>
    <n v="0.266666666666666"/>
    <n v="0.454545454545453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4-29 01:00:00.000 +0100"/>
    <x v="6"/>
    <s v="Tuesday  "/>
    <d v="1899-12-30T00:08:57"/>
    <n v="7"/>
    <x v="3"/>
    <s v="naeem.khan"/>
    <s v="24/7"/>
    <s v="COMPLETED"/>
    <n v="0.66666666666666596"/>
    <n v="1.5"/>
    <n v="0.66666666666666596"/>
    <n v="0.33333333333333298"/>
    <n v="0.36363636363636298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4-30 01:00:00.000 +0100"/>
    <x v="6"/>
    <s v="Wednesday"/>
    <d v="1899-12-30T00:19:14"/>
    <n v="5"/>
    <x v="2"/>
    <s v="manikanta.suru"/>
    <s v="unidentified"/>
    <s v="COMPLETED"/>
    <n v="0.77777777777777701"/>
    <n v="1"/>
    <n v="0.83333333333333304"/>
    <n v="0.73333333333333295"/>
    <n v="0.454545454545453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5-06 01:00:00.000 +0100"/>
    <x v="7"/>
    <s v="Tuesday  "/>
    <d v="1899-12-30T00:19:44"/>
    <n v="4"/>
    <x v="6"/>
    <s v="ryan.allen"/>
    <s v="Tech"/>
    <s v="COMPLETED"/>
    <n v="0.88888888888888795"/>
    <n v="1"/>
    <n v="0.83333333333333304"/>
    <n v="0.86666666666666603"/>
    <n v="0.81818181818181801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5-06 01:00:00.000 +0100"/>
    <x v="7"/>
    <s v="Tuesday  "/>
    <d v="1899-12-30T00:14:00"/>
    <n v="4"/>
    <x v="6"/>
    <s v="asmaa.gangat"/>
    <s v="Service Desk"/>
    <s v="COMPLETED"/>
    <n v="0.44444444444444398"/>
    <n v="1"/>
    <n v="0.83333333333333304"/>
    <n v="0.53333333333333299"/>
    <n v="0.27272727272727199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5-06 01:00:00.000 +0100"/>
    <x v="7"/>
    <s v="Tuesday  "/>
    <d v="1899-12-30T00:20:01"/>
    <n v="16"/>
    <x v="5"/>
    <s v="zishan.sohail"/>
    <s v="Service Desk"/>
    <s v="OUT_OF_TIME"/>
    <n v="0.77777777777777701"/>
    <n v="1"/>
    <n v="0.83333333333333304"/>
    <n v="0.53333333333333299"/>
    <n v="0.363636363636362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5-06 01:00:00.000 +0100"/>
    <x v="7"/>
    <s v="Tuesday  "/>
    <d v="1899-12-30T00:14:38"/>
    <n v="3"/>
    <x v="1"/>
    <s v="abdulkadir.hussein"/>
    <s v="24/7"/>
    <s v="COMPLETED"/>
    <n v="0.33333333333333298"/>
    <n v="1"/>
    <n v="0.83333333333333304"/>
    <n v="0.4"/>
    <n v="0.181818181818180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5-06 01:00:00.000 +0100"/>
    <x v="7"/>
    <s v="Tuesday  "/>
    <d v="1899-12-30T00:20:02"/>
    <n v="4"/>
    <x v="6"/>
    <s v="r.enchill-balogun"/>
    <s v="Tech"/>
    <s v="OUT_OF_TIME"/>
    <n v="0.33333333333333298"/>
    <n v="1"/>
    <n v="0.66666666666666596"/>
    <n v="0.4"/>
    <n v="0.27272727272727199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5-07 01:00:00.000 +0100"/>
    <x v="7"/>
    <s v="Wednesday"/>
    <d v="1899-12-30T00:19:31"/>
    <n v="4"/>
    <x v="6"/>
    <s v="richard.gillett"/>
    <s v="Service Desk"/>
    <s v="COMPLETED"/>
    <n v="0.55555555555555503"/>
    <n v="1.5"/>
    <n v="0.66666666666666596"/>
    <n v="0.6"/>
    <n v="0.45454545454545398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5-12 01:00:00.000 +0100"/>
    <x v="7"/>
    <s v="Monday   "/>
    <d v="1899-12-30T00:20:02"/>
    <n v="14"/>
    <x v="4"/>
    <s v="michael.ward"/>
    <s v="Tech"/>
    <s v="OUT_OF_TIME"/>
    <n v="0.11111111111111099"/>
    <n v="0.5"/>
    <n v="0.66666666666666596"/>
    <n v="0.46666666666666601"/>
    <n v="0.18181818181818099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5-12 01:00:00.000 +0100"/>
    <x v="7"/>
    <s v="Monday   "/>
    <d v="1899-12-30T00:25:02"/>
    <n v="8"/>
    <x v="7"/>
    <s v="kwame.yeboah"/>
    <s v="Service Desk"/>
    <s v="OUT_OF_TIME"/>
    <n v="0.77777777777777701"/>
    <n v="1"/>
    <n v="0.83333333333333304"/>
    <n v="0.73333333333333295"/>
    <n v="0.54545454545454497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5-16 01:00:00.000 +0100"/>
    <x v="7"/>
    <s v="Friday   "/>
    <d v="1899-12-30T00:20:01"/>
    <n v="5"/>
    <x v="2"/>
    <s v="baljit.chima"/>
    <s v="24/7"/>
    <s v="OUT_OF_TIME"/>
    <n v="0.77777777777777701"/>
    <n v="1.5"/>
    <n v="0.5"/>
    <n v="0.33333333333333298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5-19 01:00:00.000 +0100"/>
    <x v="7"/>
    <s v="Monday   "/>
    <d v="1899-12-30T00:20:02"/>
    <n v="6"/>
    <x v="0"/>
    <s v="baljit.chima"/>
    <s v="24/7"/>
    <s v="OUT_OF_TIME"/>
    <n v="1"/>
    <n v="1"/>
    <n v="0.5"/>
    <n v="0.53333333333333299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5-20 01:00:00.000 +0100"/>
    <x v="7"/>
    <s v="Tuesday  "/>
    <d v="1899-12-30T00:24:43"/>
    <n v="8"/>
    <x v="7"/>
    <s v="ryan.allen"/>
    <s v="Tech"/>
    <s v="COMPLETED"/>
    <n v="0.55555555555555503"/>
    <n v="1"/>
    <n v="0.83333333333333304"/>
    <n v="0.6"/>
    <n v="0.36363636363636298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5-20 01:00:00.000 +0100"/>
    <x v="7"/>
    <s v="Tuesday  "/>
    <d v="1899-12-30T00:21:09"/>
    <n v="8"/>
    <x v="7"/>
    <s v="asmaa.gangat"/>
    <s v="Service Desk"/>
    <s v="COMPLETED"/>
    <n v="0.55555555555555503"/>
    <n v="1"/>
    <n v="0.66666666666666596"/>
    <n v="0.53333333333333299"/>
    <n v="0.36363636363636298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5-20 01:00:00.000 +0100"/>
    <x v="7"/>
    <s v="Tuesday  "/>
    <d v="1899-12-30T00:19:57"/>
    <n v="5"/>
    <x v="2"/>
    <s v="abdulkadir.hussein"/>
    <s v="24/7"/>
    <s v="COMPLETED"/>
    <n v="0.66666666666666596"/>
    <n v="1"/>
    <n v="0.66666666666666596"/>
    <n v="0.6"/>
    <n v="0.454545454545453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5-21 01:00:00.000 +0100"/>
    <x v="7"/>
    <s v="Wednesday"/>
    <d v="1899-12-30T00:17:47"/>
    <n v="3"/>
    <x v="1"/>
    <s v="umar.farooque"/>
    <s v="24/7"/>
    <s v="COMPLETED"/>
    <n v="0.66666666666666596"/>
    <n v="1"/>
    <n v="0.83333333333333304"/>
    <n v="0.33333333333333298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5-22 01:00:00.000 +0100"/>
    <x v="7"/>
    <s v="Thursday "/>
    <d v="1899-12-30T00:20:01"/>
    <n v="4"/>
    <x v="6"/>
    <s v="naveed.khan"/>
    <s v="Service Desk"/>
    <s v="OUT_OF_TIME"/>
    <n v="0.33333333333333298"/>
    <n v="1.5"/>
    <n v="0.5"/>
    <n v="0.33333333333333298"/>
    <n v="0.27272727272727199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5-22 01:00:00.000 +0100"/>
    <x v="7"/>
    <s v="Thursday "/>
    <d v="1899-12-30T00:25:01"/>
    <n v="8"/>
    <x v="7"/>
    <s v="warren.gillett"/>
    <s v="Service Desk"/>
    <s v="OUT_OF_TIME"/>
    <n v="0.55555555555555503"/>
    <n v="1"/>
    <n v="1"/>
    <n v="0.73333333333333295"/>
    <n v="0.36363636363636298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5-22 01:00:00.000 +0100"/>
    <x v="7"/>
    <s v="Thursday "/>
    <d v="1899-12-30T00:20:01"/>
    <n v="3"/>
    <x v="1"/>
    <s v="imran.qureshi"/>
    <s v="Tech"/>
    <s v="OUT_OF_TIME"/>
    <n v="0.55555555555555503"/>
    <n v="1.5"/>
    <n v="1"/>
    <n v="0.33333333333333298"/>
    <n v="0.181818181818180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5-22 01:00:00.000 +0100"/>
    <x v="7"/>
    <s v="Thursday "/>
    <d v="1899-12-30T00:18:49"/>
    <n v="4"/>
    <x v="6"/>
    <s v="michael.ward"/>
    <s v="Tech"/>
    <s v="COMPLETED"/>
    <n v="0.44444444444444398"/>
    <n v="1"/>
    <n v="0.83333333333333304"/>
    <n v="0.53333333333333299"/>
    <n v="0.36363636363636298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5-27 01:00:00.000 +0100"/>
    <x v="7"/>
    <s v="Tuesday  "/>
    <d v="1899-12-30T00:19:53"/>
    <n v="8"/>
    <x v="7"/>
    <s v="r.enchill-balogun"/>
    <s v="Tech"/>
    <s v="COMPLETED"/>
    <n v="0.44444444444444398"/>
    <n v="1"/>
    <n v="1"/>
    <n v="0.53333333333333299"/>
    <n v="0.45454545454545398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5-27 01:00:00.000 +0100"/>
    <x v="7"/>
    <s v="Tuesday  "/>
    <d v="1899-12-30T00:20:02"/>
    <n v="7"/>
    <x v="3"/>
    <s v="omokova.otaru"/>
    <s v="24/7"/>
    <s v="OUT_OF_TIME"/>
    <n v="0.66666666666666596"/>
    <n v="1"/>
    <n v="0.83333333333333304"/>
    <n v="0.4"/>
    <n v="0.45454545454545398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5-27 01:00:00.000 +0100"/>
    <x v="7"/>
    <s v="Tuesday  "/>
    <d v="1899-12-30T00:19:23"/>
    <n v="5"/>
    <x v="2"/>
    <s v="pragnapad.sarangi"/>
    <s v="24/7"/>
    <s v="COMPLETED"/>
    <n v="0.44444444444444398"/>
    <n v="1"/>
    <n v="1"/>
    <n v="0.53333333333333299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6-02 01:00:00.000 +0100"/>
    <x v="8"/>
    <s v="Monday   "/>
    <d v="1899-12-30T00:20:01"/>
    <n v="5"/>
    <x v="2"/>
    <s v="imran.qureshi"/>
    <s v="Tech"/>
    <s v="OUT_OF_TIME"/>
    <n v="0.66666666666666596"/>
    <n v="0.5"/>
    <n v="0.16666666666666599"/>
    <n v="0.33333333333333298"/>
    <n v="9.0909090909090898E-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6-02 01:00:00.000 +0100"/>
    <x v="8"/>
    <s v="Monday   "/>
    <d v="1899-12-30T00:20:01"/>
    <n v="3"/>
    <x v="1"/>
    <s v="hussain.farooq"/>
    <s v="24/7"/>
    <s v="OUT_OF_TIME"/>
    <n v="0.55555555555555503"/>
    <n v="1.5"/>
    <n v="1"/>
    <n v="0.46666666666666601"/>
    <n v="0.181818181818180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6-03 01:00:00.000 +0100"/>
    <x v="8"/>
    <s v="Tuesday  "/>
    <d v="1899-12-30T00:23:21"/>
    <n v="18"/>
    <x v="10"/>
    <s v="ryan.allen"/>
    <s v="Tech"/>
    <s v="COMPLETED"/>
    <n v="0.77777777777777701"/>
    <n v="1.5"/>
    <n v="1"/>
    <n v="0.8"/>
    <n v="0.63636363636363602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06-03 01:00:00.000 +0100"/>
    <x v="8"/>
    <s v="Tuesday  "/>
    <d v="1899-12-30T00:21:23"/>
    <n v="18"/>
    <x v="10"/>
    <s v="asmaa.gangat"/>
    <s v="Service Desk"/>
    <s v="COMPLETED"/>
    <n v="0.66666666666666596"/>
    <n v="1"/>
    <n v="0.83333333333333304"/>
    <n v="0.266666666666666"/>
    <n v="0.27272727272727199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06-04 01:00:00.000 +0100"/>
    <x v="8"/>
    <s v="Wednesday"/>
    <d v="1899-12-30T00:25:02"/>
    <n v="8"/>
    <x v="7"/>
    <s v="richard.gillett"/>
    <s v="Service Desk"/>
    <s v="OUT_OF_TIME"/>
    <n v="0.55555555555555503"/>
    <n v="1.5"/>
    <n v="0.83333333333333304"/>
    <n v="0.46666666666666601"/>
    <n v="0.36363636363636298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6-05 01:00:00.000 +0100"/>
    <x v="8"/>
    <s v="Thursday "/>
    <d v="1899-12-30T00:20:02"/>
    <n v="6"/>
    <x v="0"/>
    <s v="imran.qureshi"/>
    <s v="Tech"/>
    <s v="OUT_OF_TIME"/>
    <n v="0.55555555555555503"/>
    <n v="1"/>
    <n v="1"/>
    <n v="0.66666666666666596"/>
    <n v="0.454545454545453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6-05 01:00:00.000 +0100"/>
    <x v="8"/>
    <s v="Thursday "/>
    <d v="1899-12-30T00:20:01"/>
    <n v="6"/>
    <x v="0"/>
    <s v="abdulkadir.hussein"/>
    <s v="24/7"/>
    <s v="OUT_OF_TIME"/>
    <n v="0.55555555555555503"/>
    <n v="1"/>
    <n v="0.66666666666666596"/>
    <n v="0.46666666666666601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6-05 01:00:00.000 +0100"/>
    <x v="8"/>
    <s v="Thursday "/>
    <d v="1899-12-30T00:18:21"/>
    <n v="18"/>
    <x v="10"/>
    <s v="michael.ward"/>
    <s v="Tech"/>
    <s v="COMPLETED"/>
    <n v="0.66666666666666596"/>
    <n v="1"/>
    <n v="1"/>
    <n v="0.66666666666666596"/>
    <n v="0.45454545454545398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06-10 01:00:00.000 +0100"/>
    <x v="8"/>
    <s v="Tuesday  "/>
    <d v="1899-12-30T00:23:35"/>
    <n v="18"/>
    <x v="10"/>
    <s v="r.enchill-balogun"/>
    <s v="Tech"/>
    <s v="COMPLETED"/>
    <n v="0.44444444444444398"/>
    <n v="1"/>
    <n v="1"/>
    <n v="0.46666666666666601"/>
    <n v="0.45454545454545398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06-11 01:00:00.000 +0100"/>
    <x v="8"/>
    <s v="Wednesday"/>
    <d v="1899-12-30T00:20:02"/>
    <n v="6"/>
    <x v="0"/>
    <s v="pragnapad.sarangi"/>
    <s v="24/7"/>
    <s v="OUT_OF_TIME"/>
    <n v="0.44444444444444398"/>
    <n v="1.5"/>
    <n v="1"/>
    <n v="0.33333333333333298"/>
    <n v="0.2727272727272719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6-17 01:00:00.000 +0100"/>
    <x v="8"/>
    <s v="Tuesday  "/>
    <d v="1899-12-30T00:19:52"/>
    <n v="5"/>
    <x v="2"/>
    <s v="hussain.farooq"/>
    <s v="24/7"/>
    <s v="COMPLETED"/>
    <n v="0.66666666666666596"/>
    <n v="1.5"/>
    <n v="0.83333333333333304"/>
    <n v="0.53333333333333299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6-18 01:00:00.000 +0100"/>
    <x v="8"/>
    <s v="Wednesday"/>
    <d v="1899-12-30T00:25:01"/>
    <n v="18"/>
    <x v="10"/>
    <s v="richard.gillett"/>
    <s v="Service Desk"/>
    <s v="OUT_OF_TIME"/>
    <n v="0.55555555555555503"/>
    <n v="1.5"/>
    <n v="1"/>
    <n v="0.66666666666666596"/>
    <n v="0.45454545454545398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06-19 01:00:00.000 +0100"/>
    <x v="8"/>
    <s v="Thursday "/>
    <d v="1899-12-30T00:22:38"/>
    <n v="18"/>
    <x v="10"/>
    <s v="warren.gillett"/>
    <s v="Service Desk"/>
    <s v="COMPLETED"/>
    <n v="0.44444444444444398"/>
    <n v="1.5"/>
    <n v="1"/>
    <n v="0.66666666666666596"/>
    <n v="0.45454545454545398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06-19 01:00:00.000 +0100"/>
    <x v="8"/>
    <s v="Thursday "/>
    <d v="1899-12-30T00:18:19"/>
    <n v="7"/>
    <x v="3"/>
    <s v="imran.qureshi"/>
    <s v="Tech"/>
    <s v="COMPLETED"/>
    <n v="0.55555555555555503"/>
    <n v="1"/>
    <n v="0.16666666666666599"/>
    <n v="6.6666666666666596E-2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6-23 01:00:00.000 +0100"/>
    <x v="8"/>
    <s v="Monday   "/>
    <d v="1899-12-30T00:19:46"/>
    <n v="4"/>
    <x v="6"/>
    <s v="abdulkadir.hussein"/>
    <s v="24/7"/>
    <s v="COMPLETED"/>
    <n v="0.66666666666666596"/>
    <n v="1"/>
    <n v="0.83333333333333304"/>
    <n v="0.46666666666666601"/>
    <n v="0.45454545454545398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6-25 01:00:00.000 +0100"/>
    <x v="8"/>
    <s v="Wednesday"/>
    <d v="1899-12-30T00:16:44"/>
    <n v="7"/>
    <x v="3"/>
    <s v="pragnapad.sarangi"/>
    <s v="24/7"/>
    <s v="COMPLETED"/>
    <n v="0.55555555555555503"/>
    <n v="1"/>
    <n v="0.5"/>
    <n v="0.33333333333333298"/>
    <n v="0.36363636363636298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6-26 01:00:00.000 +0100"/>
    <x v="8"/>
    <s v="Thursday "/>
    <d v="1899-12-30T00:20:01"/>
    <n v="14"/>
    <x v="4"/>
    <s v="imran.qureshi"/>
    <s v="Tech"/>
    <s v="OUT_OF_TIME"/>
    <n v="0.44444444444444398"/>
    <n v="1.5"/>
    <n v="0.83333333333333304"/>
    <n v="0.33333333333333298"/>
    <n v="0.363636363636362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6-30 01:00:00.000 +0100"/>
    <x v="8"/>
    <s v="Monday   "/>
    <d v="1899-12-30T00:16:39"/>
    <n v="3"/>
    <x v="1"/>
    <s v="subhaan.ahmed"/>
    <s v="Service Desk"/>
    <s v="COMPLETED"/>
    <n v="0.33333333333333298"/>
    <n v="1.5"/>
    <n v="1"/>
    <n v="0.46666666666666601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7-01 01:00:00.000 +0100"/>
    <x v="9"/>
    <s v="Tuesday  "/>
    <d v="1899-12-30T00:20:05"/>
    <n v="17"/>
    <x v="11"/>
    <s v="ryan.allen"/>
    <s v="Tech"/>
    <s v="COMPLETED"/>
    <n v="0.66666666666666596"/>
    <n v="1"/>
    <n v="0.83333333333333304"/>
    <n v="0.73333333333333295"/>
    <n v="0.45454545454545398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5-07-01 01:00:00.000 +0100"/>
    <x v="9"/>
    <s v="Tuesday  "/>
    <d v="1899-12-30T00:20:18"/>
    <n v="17"/>
    <x v="11"/>
    <s v="asmaa.gangat"/>
    <s v="Service Desk"/>
    <s v="COMPLETED"/>
    <n v="0.33333333333333298"/>
    <n v="1"/>
    <n v="0.5"/>
    <n v="0.33333333333333298"/>
    <n v="0.36363636363636298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5-07-01 01:00:00.000 +0100"/>
    <x v="9"/>
    <s v="Tuesday  "/>
    <d v="1899-12-30T00:20:01"/>
    <n v="3"/>
    <x v="1"/>
    <s v="owen.watson"/>
    <s v="Tech"/>
    <s v="OUT_OF_TIME"/>
    <n v="0.33333333333333298"/>
    <n v="1"/>
    <n v="0.5"/>
    <n v="0.133333333333333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7-01 01:00:00.000 +0100"/>
    <x v="9"/>
    <s v="Tuesday  "/>
    <d v="1899-12-30T00:16:37"/>
    <n v="16"/>
    <x v="5"/>
    <s v="naeem.khan"/>
    <s v="24/7"/>
    <s v="COMPLETED"/>
    <n v="0.11111111111111099"/>
    <n v="0.5"/>
    <n v="0.83333333333333304"/>
    <n v="0.53333333333333299"/>
    <n v="0.27272727272727199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7-03 01:00:00.000 +0100"/>
    <x v="9"/>
    <s v="Thursday "/>
    <d v="1899-12-30T00:27:55"/>
    <n v="28"/>
    <x v="12"/>
    <s v="michael.ward"/>
    <s v="Tech"/>
    <s v="COMPLETED"/>
    <n v="0.44444444444444398"/>
    <n v="1"/>
    <n v="0.66666666666666596"/>
    <n v="0.46666666666666601"/>
    <n v="0.45454545454545398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5-07-03 01:00:00.000 +0100"/>
    <x v="9"/>
    <s v="Thursday "/>
    <d v="1899-12-30T00:16:26"/>
    <n v="7"/>
    <x v="3"/>
    <s v="baljit.chima"/>
    <s v="24/7"/>
    <s v="COMPLETED"/>
    <n v="0.66666666666666596"/>
    <n v="1"/>
    <n v="0.5"/>
    <n v="0.4"/>
    <n v="0.272727272727271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7-04 01:00:00.000 +0100"/>
    <x v="9"/>
    <s v="Friday   "/>
    <d v="1899-12-30T00:08:28"/>
    <n v="7"/>
    <x v="3"/>
    <s v="hussain.farooq"/>
    <s v="24/7"/>
    <s v="COMPLETED"/>
    <n v="0.44444444444444398"/>
    <n v="1"/>
    <n v="0.5"/>
    <n v="0.266666666666666"/>
    <n v="0.272727272727271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7-07 01:00:00.000 +0100"/>
    <x v="9"/>
    <s v="Monday   "/>
    <d v="1899-12-30T00:14:37"/>
    <n v="7"/>
    <x v="3"/>
    <s v="abdulkadir.hussein"/>
    <s v="24/7"/>
    <s v="COMPLETED"/>
    <n v="0.55555555555555503"/>
    <n v="1"/>
    <n v="0.66666666666666596"/>
    <n v="0.46666666666666601"/>
    <n v="0.272727272727271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7-07 01:00:00.000 +0100"/>
    <x v="9"/>
    <s v="Monday   "/>
    <d v="1899-12-30T00:18:13"/>
    <n v="5"/>
    <x v="2"/>
    <s v="subhaan.ahmed"/>
    <s v="Service Desk"/>
    <s v="COMPLETED"/>
    <n v="0.55555555555555503"/>
    <n v="1"/>
    <n v="0.83333333333333304"/>
    <n v="0.53333333333333299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7-08 01:00:00.000 +0100"/>
    <x v="9"/>
    <s v="Tuesday  "/>
    <d v="1899-12-30T00:20:01"/>
    <n v="5"/>
    <x v="2"/>
    <s v="owen.watson"/>
    <s v="Tech"/>
    <s v="OUT_OF_TIME"/>
    <n v="0.33333333333333298"/>
    <n v="1"/>
    <n v="0.5"/>
    <n v="0.266666666666666"/>
    <n v="0.272727272727271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7-09 01:00:00.000 +0100"/>
    <x v="9"/>
    <s v="Wednesday"/>
    <d v="1899-12-30T00:20:04"/>
    <n v="5"/>
    <x v="2"/>
    <s v="umar.farooque"/>
    <s v="24/7"/>
    <s v="COMPLETED"/>
    <n v="0.44444444444444398"/>
    <n v="1"/>
    <n v="0.83333333333333304"/>
    <n v="0.66666666666666596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7-11 01:00:00.000 +0100"/>
    <x v="9"/>
    <s v="Friday   "/>
    <d v="1899-12-30T00:20:01"/>
    <n v="16"/>
    <x v="5"/>
    <s v="imran.qureshi"/>
    <s v="Tech"/>
    <s v="OUT_OF_TIME"/>
    <n v="0.55555555555555503"/>
    <n v="1"/>
    <n v="0.66666666666666596"/>
    <n v="0.53333333333333299"/>
    <n v="0.454545454545453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7-11 01:00:00.000 +0100"/>
    <x v="9"/>
    <s v="Friday   "/>
    <d v="1899-12-30T00:20:01"/>
    <n v="5"/>
    <x v="2"/>
    <s v="qasim.altaf"/>
    <s v="24/7"/>
    <s v="OUT_OF_TIME"/>
    <n v="0.66666666666666596"/>
    <n v="1"/>
    <n v="0.66666666666666596"/>
    <n v="0.53333333333333299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7-14 01:00:00.000 +0100"/>
    <x v="9"/>
    <s v="Monday   "/>
    <d v="1899-12-30T00:20:01"/>
    <n v="14"/>
    <x v="4"/>
    <s v="omokova.otaru"/>
    <s v="24/7"/>
    <s v="OUT_OF_TIME"/>
    <n v="0.55555555555555503"/>
    <n v="1"/>
    <n v="0.83333333333333304"/>
    <n v="0.133333333333333"/>
    <n v="0.18181818181818099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7-14 01:00:00.000 +0100"/>
    <x v="9"/>
    <s v="Monday   "/>
    <d v="1899-12-30T00:17:20"/>
    <n v="6"/>
    <x v="0"/>
    <s v="subhaan.ahmed"/>
    <s v="Service Desk"/>
    <s v="COMPLETED"/>
    <n v="0.66666666666666596"/>
    <n v="1"/>
    <n v="0.83333333333333304"/>
    <n v="0.53333333333333299"/>
    <n v="0.454545454545453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7-14 01:00:00.000 +0100"/>
    <x v="9"/>
    <s v="Monday   "/>
    <d v="1899-12-30T00:20:01"/>
    <n v="14"/>
    <x v="4"/>
    <s v="pragnapad.sarangi"/>
    <s v="24/7"/>
    <s v="OUT_OF_TIME"/>
    <n v="0.55555555555555503"/>
    <n v="1.5"/>
    <n v="0.66666666666666596"/>
    <n v="0.33333333333333298"/>
    <n v="0.18181818181818099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7-15 01:00:00.000 +0100"/>
    <x v="9"/>
    <s v="Tuesday  "/>
    <d v="1899-12-30T00:24:55"/>
    <n v="28"/>
    <x v="12"/>
    <s v="ryan.allen"/>
    <s v="Tech"/>
    <s v="COMPLETED"/>
    <n v="0.77777777777777701"/>
    <n v="1.5"/>
    <n v="1.1666666666666601"/>
    <n v="0.6"/>
    <n v="0.6363636363636360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5-07-15 01:00:00.000 +0100"/>
    <x v="9"/>
    <s v="Tuesday  "/>
    <d v="1899-12-30T00:20:19"/>
    <n v="6"/>
    <x v="0"/>
    <s v="owen.watson"/>
    <s v="Tech"/>
    <s v="COMPLETED"/>
    <n v="0.66666666666666596"/>
    <n v="1"/>
    <n v="1"/>
    <n v="0.53333333333333299"/>
    <n v="0.2727272727272719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7-15 01:00:00.000 +0100"/>
    <x v="9"/>
    <s v="Tuesday  "/>
    <d v="1899-12-30T00:19:57"/>
    <n v="4"/>
    <x v="6"/>
    <s v="naeem.khan"/>
    <s v="24/7"/>
    <s v="COMPLETED"/>
    <n v="0.66666666666666596"/>
    <n v="1"/>
    <n v="0.83333333333333304"/>
    <n v="0.33333333333333298"/>
    <n v="0.27272727272727199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7-16 01:00:00.000 +0100"/>
    <x v="9"/>
    <s v="Wednesday"/>
    <d v="1899-12-30T00:17:41"/>
    <n v="14"/>
    <x v="4"/>
    <s v="matt.warwick"/>
    <s v="24/7"/>
    <s v="COMPLETED"/>
    <n v="0.77777777777777701"/>
    <n v="1"/>
    <n v="0.5"/>
    <n v="0.66666666666666596"/>
    <n v="0.63636363636363602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7-16 01:00:00.000 +0100"/>
    <x v="9"/>
    <s v="Wednesday"/>
    <d v="1899-12-30T00:20:15"/>
    <n v="29"/>
    <x v="13"/>
    <s v="divagar.durai"/>
    <s v="24/7"/>
    <s v="COMPLETED"/>
    <n v="0.55555555555555503"/>
    <n v="1.5"/>
    <n v="0.83333333333333304"/>
    <n v="0.266666666666666"/>
    <n v="0.181818181818180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7-17 01:00:00.000 +0100"/>
    <x v="9"/>
    <s v="Thursday "/>
    <d v="1899-12-30T00:24:07"/>
    <n v="8"/>
    <x v="7"/>
    <s v="naveed.khan"/>
    <s v="Service Desk"/>
    <s v="COMPLETED"/>
    <n v="1"/>
    <n v="1.5"/>
    <n v="0.66666666666666596"/>
    <n v="0.73333333333333295"/>
    <n v="0.45454545454545398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7-17 01:00:00.000 +0100"/>
    <x v="9"/>
    <s v="Thursday "/>
    <d v="1899-12-30T00:30:02"/>
    <n v="28"/>
    <x v="12"/>
    <s v="richard.gillett"/>
    <s v="Service Desk"/>
    <s v="OUT_OF_TIME"/>
    <n v="0.55555555555555503"/>
    <n v="1"/>
    <n v="1"/>
    <n v="0.53333333333333299"/>
    <n v="0.36363636363636298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5-07-21 01:00:00.000 +0100"/>
    <x v="9"/>
    <s v="Monday   "/>
    <d v="1899-12-30T00:18:24"/>
    <n v="29"/>
    <x v="13"/>
    <s v="suhas.y"/>
    <s v="24/7"/>
    <s v="COMPLETED"/>
    <n v="0.33333333333333298"/>
    <n v="1"/>
    <n v="0.66666666666666596"/>
    <n v="0.33333333333333298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7-22 01:00:00.000 +0100"/>
    <x v="9"/>
    <s v="Tuesday  "/>
    <d v="1899-12-30T00:17:36"/>
    <n v="14"/>
    <x v="4"/>
    <s v="baljit.chima"/>
    <s v="24/7"/>
    <s v="COMPLETED"/>
    <n v="0.88888888888888795"/>
    <n v="1"/>
    <n v="0.66666666666666596"/>
    <n v="0.46666666666666601"/>
    <n v="0.454545454545453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7-28 01:00:00.000 +0100"/>
    <x v="9"/>
    <s v="Monday   "/>
    <d v="1899-12-30T00:12:34"/>
    <n v="14"/>
    <x v="4"/>
    <s v="subhaan.ahmed"/>
    <s v="Service Desk"/>
    <s v="COMPLETED"/>
    <n v="0.44444444444444398"/>
    <n v="1"/>
    <n v="0.83333333333333304"/>
    <n v="0.33333333333333298"/>
    <n v="0.363636363636362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7-29 01:00:00.000 +0100"/>
    <x v="9"/>
    <s v="Tuesday  "/>
    <d v="1899-12-30T00:25:31"/>
    <n v="28"/>
    <x v="12"/>
    <s v="asmaa.gangat"/>
    <s v="Service Desk"/>
    <s v="COMPLETED"/>
    <n v="0.55555555555555503"/>
    <n v="1"/>
    <n v="1"/>
    <n v="0.66666666666666596"/>
    <n v="0.54545454545454497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5-07-29 01:00:00.000 +0100"/>
    <x v="9"/>
    <s v="Tuesday  "/>
    <d v="1899-12-30T00:20:01"/>
    <n v="16"/>
    <x v="5"/>
    <s v="omokova.otaru"/>
    <s v="24/7"/>
    <s v="OUT_OF_TIME"/>
    <n v="0.66666666666666596"/>
    <n v="1"/>
    <n v="0.33333333333333298"/>
    <n v="0.4"/>
    <n v="0.454545454545453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7-30 01:00:00.000 +0100"/>
    <x v="9"/>
    <s v="Wednesday"/>
    <d v="1899-12-30T00:17:54"/>
    <n v="16"/>
    <x v="5"/>
    <s v="pragnapad.sarangi"/>
    <s v="24/7"/>
    <s v="COMPLETED"/>
    <n v="0.55555555555555503"/>
    <n v="1"/>
    <n v="1"/>
    <n v="0.46666666666666601"/>
    <n v="0.27272727272727199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7-31 01:00:00.000 +0100"/>
    <x v="9"/>
    <s v="Thursday "/>
    <d v="1899-12-30T00:26:59"/>
    <n v="28"/>
    <x v="12"/>
    <s v="naveed.khan"/>
    <s v="Service Desk"/>
    <s v="COMPLETED"/>
    <n v="0.44444444444444398"/>
    <n v="1"/>
    <n v="0.83333333333333304"/>
    <n v="0.66666666666666596"/>
    <n v="0.45454545454545398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5-07-31 01:00:00.000 +0100"/>
    <x v="9"/>
    <s v="Thursday "/>
    <d v="1899-12-30T00:20:01"/>
    <n v="5"/>
    <x v="2"/>
    <s v="divagar.durai"/>
    <s v="24/7"/>
    <s v="OUT_OF_TIME"/>
    <n v="0.66666666666666596"/>
    <n v="1"/>
    <n v="0.5"/>
    <n v="0.4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7-31 01:00:00.000 +0100"/>
    <x v="9"/>
    <s v="Thursday "/>
    <d v="1899-12-30T00:16:57"/>
    <n v="7"/>
    <x v="3"/>
    <s v="matt.warwick"/>
    <s v="24/7"/>
    <s v="COMPLETED"/>
    <n v="0.33333333333333298"/>
    <n v="1"/>
    <n v="0.66666666666666596"/>
    <n v="0.133333333333333"/>
    <n v="9.0909090909090898E-2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7-31 01:00:00.000 +0100"/>
    <x v="9"/>
    <s v="Thursday "/>
    <d v="1899-12-30T00:20:02"/>
    <n v="9"/>
    <x v="14"/>
    <s v="michael.ward"/>
    <s v="Tech"/>
    <s v="OUT_OF_TIME"/>
    <n v="0.77777777777777701"/>
    <n v="1"/>
    <n v="0.66666666666666596"/>
    <n v="0.53333333333333299"/>
    <n v="0.454545454545453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0"/>
    <n v="0"/>
    <n v="0"/>
    <n v="0"/>
  </r>
  <r>
    <s v="2025-08-01 01:00:00.000 +0100"/>
    <x v="10"/>
    <s v="Friday   "/>
    <d v="1899-12-30T00:20:02"/>
    <n v="5"/>
    <x v="2"/>
    <s v="owen.watson"/>
    <s v="Tech"/>
    <s v="OUT_OF_TIME"/>
    <n v="0.55555555555555503"/>
    <n v="1"/>
    <n v="0.66666666666666596"/>
    <n v="0.33333333333333298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8-04 01:00:00.000 +0100"/>
    <x v="10"/>
    <s v="Monday   "/>
    <d v="1899-12-30T00:19:58"/>
    <n v="5"/>
    <x v="2"/>
    <s v="suhas.y"/>
    <s v="24/7"/>
    <s v="COMPLETED"/>
    <n v="0.33333333333333298"/>
    <n v="0.5"/>
    <n v="0.83333333333333304"/>
    <n v="0.4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8-04 01:00:00.000 +0100"/>
    <x v="10"/>
    <s v="Monday   "/>
    <d v="1899-12-30T00:13:00"/>
    <n v="7"/>
    <x v="3"/>
    <s v="subhaan.ahmed"/>
    <s v="Service Desk"/>
    <s v="COMPLETED"/>
    <n v="0.88888888888888795"/>
    <n v="1"/>
    <n v="0.33333333333333298"/>
    <n v="0.4"/>
    <n v="0.45454545454545398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8-05 01:00:00.000 +0100"/>
    <x v="10"/>
    <s v="Tuesday  "/>
    <d v="1899-12-30T00:30:03"/>
    <n v="28"/>
    <x v="12"/>
    <s v="darren.martin"/>
    <s v="Service Desk"/>
    <s v="OUT_OF_TIME"/>
    <n v="0.44444444444444398"/>
    <n v="0.5"/>
    <n v="0.33333333333333298"/>
    <n v="0.266666666666666"/>
    <n v="9.0909090909090898E-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5-08-05 01:00:00.000 +0100"/>
    <x v="10"/>
    <s v="Tuesday  "/>
    <d v="1899-12-30T00:27:47"/>
    <n v="28"/>
    <x v="12"/>
    <s v="r.enchill-balogun"/>
    <s v="Tech"/>
    <s v="COMPLETED"/>
    <n v="0.66666666666666596"/>
    <n v="1"/>
    <n v="0.5"/>
    <n v="0.53333333333333299"/>
    <n v="0.45454545454545398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5-08-05 01:00:00.000 +0100"/>
    <x v="10"/>
    <s v="Tuesday  "/>
    <d v="1899-12-30T00:17:21"/>
    <n v="7"/>
    <x v="3"/>
    <s v="owen.watson"/>
    <s v="Tech"/>
    <s v="COMPLETED"/>
    <n v="0.44444444444444398"/>
    <n v="1.5"/>
    <n v="0.66666666666666596"/>
    <n v="0.133333333333333"/>
    <n v="0.27272727272727199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8-06 01:00:00.000 +0100"/>
    <x v="10"/>
    <s v="Wednesday"/>
    <d v="1899-12-30T00:20:01"/>
    <n v="16"/>
    <x v="5"/>
    <s v="baljit.chima"/>
    <s v="24/7"/>
    <s v="OUT_OF_TIME"/>
    <n v="0.33333333333333298"/>
    <n v="1.5"/>
    <n v="0.5"/>
    <n v="0.2"/>
    <n v="9.0909090909090898E-2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8-08 01:00:00.000 +0100"/>
    <x v="10"/>
    <s v="Friday   "/>
    <d v="1899-12-30T00:18:20"/>
    <n v="29"/>
    <x v="13"/>
    <s v="peter.mwenya"/>
    <s v="24/7"/>
    <s v="COMPLETED"/>
    <n v="0.66666666666666596"/>
    <n v="1"/>
    <n v="0.66666666666666596"/>
    <n v="0.53333333333333299"/>
    <n v="0.3636363636363629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8-08 01:00:00.000 +0100"/>
    <x v="10"/>
    <s v="Friday   "/>
    <d v="1899-12-30T00:18:26"/>
    <n v="14"/>
    <x v="4"/>
    <s v="abdulkadir.hussein"/>
    <s v="24/7"/>
    <s v="COMPLETED"/>
    <n v="0.55555555555555503"/>
    <n v="1"/>
    <n v="0.66666666666666596"/>
    <n v="0.46666666666666601"/>
    <n v="0.363636363636362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8-08 01:00:00.000 +0100"/>
    <x v="10"/>
    <s v="Friday   "/>
    <d v="1899-12-30T00:18:31"/>
    <n v="6"/>
    <x v="0"/>
    <s v="umar.farooque"/>
    <s v="24/7"/>
    <s v="COMPLETED"/>
    <n v="0.44444444444444398"/>
    <n v="1.5"/>
    <n v="0.83333333333333304"/>
    <n v="0.4"/>
    <n v="0.363636363636362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8-11 01:00:00.000 +0100"/>
    <x v="10"/>
    <s v="Monday   "/>
    <d v="1899-12-30T00:20:02"/>
    <n v="5"/>
    <x v="2"/>
    <s v="peter.mwenya"/>
    <s v="24/7"/>
    <s v="OUT_OF_TIME"/>
    <n v="0.88888888888888795"/>
    <n v="1.5"/>
    <n v="0.16666666666666599"/>
    <n v="0.53333333333333299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5-08-12 01:00:00.000 +0100"/>
    <x v="10"/>
    <s v="Tuesday  "/>
    <d v="1899-12-30T00:17:36"/>
    <n v="29"/>
    <x v="13"/>
    <s v="koustav.chatterjee"/>
    <s v="24/7"/>
    <s v="COMPLETED"/>
    <n v="0.88888888888888795"/>
    <n v="1.5"/>
    <n v="0.83333333333333304"/>
    <n v="0.46666666666666601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5-08-13 01:00:00.000 +0100"/>
    <x v="10"/>
    <s v="Wednesday"/>
    <d v="1899-12-30T00:25:27"/>
    <n v="19"/>
    <x v="15"/>
    <s v="richard.gillett"/>
    <s v="Service Desk"/>
    <s v="COMPLETED"/>
    <n v="0.55555555555555503"/>
    <n v="1"/>
    <n v="0.83333333333333304"/>
    <n v="0.33333333333333298"/>
    <n v="9.0909090909090898E-2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3"/>
    <n v="1"/>
    <n v="1"/>
    <n v="1"/>
    <n v="1"/>
  </r>
  <r>
    <s v="2025-08-13 01:00:00.000 +0100"/>
    <x v="10"/>
    <s v="Wednesday"/>
    <d v="1899-12-30T00:20:10"/>
    <n v="4"/>
    <x v="6"/>
    <s v="pragnapad.sarangi"/>
    <s v="24/7"/>
    <s v="COMPLETED"/>
    <n v="0.44444444444444398"/>
    <n v="1"/>
    <n v="0.66666666666666596"/>
    <n v="0.266666666666666"/>
    <n v="0.27272727272727199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8-14 01:00:00.000 +0100"/>
    <x v="10"/>
    <s v="Thursday "/>
    <d v="1899-12-30T00:29:33"/>
    <n v="28"/>
    <x v="12"/>
    <s v="warren.gillett"/>
    <s v="Service Desk"/>
    <s v="COMPLETED"/>
    <n v="0.66666666666666596"/>
    <n v="1"/>
    <n v="0.66666666666666596"/>
    <n v="0.6"/>
    <n v="0.36363636363636298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5-08-14 01:00:00.000 +0100"/>
    <x v="10"/>
    <s v="Thursday "/>
    <d v="1899-12-30T00:25:08"/>
    <n v="17"/>
    <x v="11"/>
    <s v="michael.ward"/>
    <s v="Tech"/>
    <s v="COMPLETED"/>
    <n v="0.55555555555555503"/>
    <n v="1"/>
    <n v="1"/>
    <n v="0.73333333333333295"/>
    <n v="0.45454545454545398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5-08-18 01:00:00.000 +0100"/>
    <x v="10"/>
    <s v="Monday   "/>
    <d v="1899-12-30T00:25:02"/>
    <n v="8"/>
    <x v="7"/>
    <s v="subhaan.ahmed"/>
    <s v="Service Desk"/>
    <s v="OUT_OF_TIME"/>
    <n v="0.66666666666666596"/>
    <n v="1"/>
    <n v="0.66666666666666596"/>
    <n v="0.53333333333333299"/>
    <n v="0.27272727272727199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8-19 01:00:00.000 +0100"/>
    <x v="10"/>
    <s v="Tuesday  "/>
    <d v="1899-12-30T00:19:29"/>
    <n v="4"/>
    <x v="6"/>
    <s v="zishan.sohail"/>
    <s v="Service Desk"/>
    <s v="COMPLETED"/>
    <n v="0.44444444444444398"/>
    <n v="1"/>
    <n v="0.66666666666666596"/>
    <n v="0.46666666666666601"/>
    <n v="0.27272727272727199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8-19 01:00:00.000 +0100"/>
    <x v="10"/>
    <s v="Tuesday  "/>
    <d v="1899-12-30T00:20:02"/>
    <n v="6"/>
    <x v="0"/>
    <s v="divagar.durai"/>
    <s v="24/7"/>
    <s v="OUT_OF_TIME"/>
    <n v="0.66666666666666596"/>
    <n v="1"/>
    <n v="0.66666666666666596"/>
    <n v="0.2"/>
    <n v="0.2727272727272719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8-19 01:00:00.000 +0100"/>
    <x v="10"/>
    <s v="Tuesday  "/>
    <d v="1899-12-30T00:20:01"/>
    <n v="14"/>
    <x v="4"/>
    <s v="owen.watson"/>
    <s v="Tech"/>
    <s v="OUT_OF_TIME"/>
    <n v="0.44444444444444398"/>
    <n v="1"/>
    <n v="0.33333333333333298"/>
    <n v="0.6"/>
    <n v="0.27272727272727199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8-19 01:00:00.000 +0100"/>
    <x v="10"/>
    <s v="Tuesday  "/>
    <d v="1899-12-30T00:25:02"/>
    <n v="8"/>
    <x v="7"/>
    <s v="naeem.khan"/>
    <s v="24/7"/>
    <s v="OUT_OF_TIME"/>
    <n v="0.44444444444444398"/>
    <n v="1"/>
    <n v="0.33333333333333298"/>
    <n v="0.266666666666666"/>
    <n v="9.0909090909090898E-2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8-20 01:00:00.000 +0100"/>
    <x v="10"/>
    <s v="Wednesday"/>
    <d v="1899-12-30T00:18:31"/>
    <n v="4"/>
    <x v="6"/>
    <s v="baljit.chima"/>
    <s v="24/7"/>
    <s v="COMPLETED"/>
    <n v="0.66666666666666596"/>
    <n v="1.5"/>
    <n v="0.83333333333333304"/>
    <n v="0.4"/>
    <n v="0.36363636363636298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8-22 01:00:00.000 +0100"/>
    <x v="10"/>
    <s v="Friday   "/>
    <d v="1899-12-30T00:20:29"/>
    <n v="6"/>
    <x v="0"/>
    <s v="suhas.y"/>
    <s v="24/7"/>
    <s v="COMPLETED"/>
    <n v="0.55555555555555503"/>
    <n v="1"/>
    <n v="0.5"/>
    <n v="0.46666666666666601"/>
    <n v="9.0909090909090898E-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s v="-"/>
    <n v="0"/>
    <n v="2"/>
    <n v="0"/>
    <n v="2"/>
    <n v="0"/>
    <n v="0"/>
  </r>
  <r>
    <s v="2025-08-27 01:00:00.000 +0100"/>
    <x v="10"/>
    <s v="Wednesday"/>
    <d v="1899-12-30T00:19:15"/>
    <n v="7"/>
    <x v="3"/>
    <s v="peter.mwenya"/>
    <s v="24/7"/>
    <s v="COMPLETED"/>
    <n v="1"/>
    <n v="1.5"/>
    <n v="0.66666666666666596"/>
    <n v="0.4"/>
    <n v="0.45454545454545398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8-27 01:00:00.000 +0100"/>
    <x v="10"/>
    <s v="Wednesday"/>
    <d v="1899-12-30T00:16:36"/>
    <n v="7"/>
    <x v="3"/>
    <s v="umar.farooque"/>
    <s v="24/7"/>
    <s v="COMPLETED"/>
    <n v="0.44444444444444398"/>
    <n v="1"/>
    <n v="0.5"/>
    <n v="0.2"/>
    <n v="9.0909090909090898E-2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8-29 01:00:00.000 +0100"/>
    <x v="10"/>
    <s v="Friday   "/>
    <d v="1899-12-30T00:14:37"/>
    <n v="9"/>
    <x v="14"/>
    <s v="asmaa.gangat"/>
    <s v="Service Desk"/>
    <s v="COMPLETED"/>
    <n v="0.44444444444444398"/>
    <n v="1"/>
    <n v="0.66666666666666596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0"/>
    <n v="0"/>
    <n v="0"/>
    <n v="0"/>
  </r>
  <r>
    <s v="2025-09-01 01:00:00.000 +0100"/>
    <x v="11"/>
    <s v="Monday   "/>
    <d v="1899-12-30T00:17:33"/>
    <n v="16"/>
    <x v="5"/>
    <s v="subhaan.ahmed"/>
    <s v="Service Desk"/>
    <s v="COMPLETED"/>
    <n v="0.77777777777777701"/>
    <n v="1"/>
    <n v="0.83333333333333304"/>
    <n v="0.66666666666666596"/>
    <n v="0.63636363636363602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9-02 01:00:00.000 +0100"/>
    <x v="11"/>
    <s v="Tuesday  "/>
    <d v="1899-12-30T00:22:45"/>
    <n v="18"/>
    <x v="10"/>
    <s v="naeem.khan"/>
    <s v="24/7"/>
    <s v="COMPLETED"/>
    <n v="0.66666666666666596"/>
    <n v="1"/>
    <n v="0.83333333333333304"/>
    <n v="0.46666666666666601"/>
    <n v="0.45454545454545398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09-03 01:00:00.000 +0100"/>
    <x v="11"/>
    <s v="Wednesday"/>
    <d v="1899-12-30T00:19:30"/>
    <n v="4"/>
    <x v="6"/>
    <s v="matt.warwick"/>
    <s v="24/7"/>
    <s v="COMPLETED"/>
    <n v="0.55555555555555503"/>
    <n v="1"/>
    <n v="1"/>
    <n v="0.4"/>
    <n v="0.54545454545454497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9-05 01:00:00.000 +0100"/>
    <x v="11"/>
    <s v="Friday   "/>
    <d v="1899-12-30T00:18:42"/>
    <n v="7"/>
    <x v="3"/>
    <s v="suhas.y"/>
    <s v="24/7"/>
    <s v="COMPLETED"/>
    <n v="0.33333333333333298"/>
    <n v="1"/>
    <n v="0.5"/>
    <n v="0.2"/>
    <n v="0.36363636363636298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s v="-"/>
    <n v="0"/>
    <n v="2"/>
    <n v="0"/>
    <n v="1"/>
    <n v="0"/>
    <n v="0"/>
  </r>
  <r>
    <s v="2025-09-08 01:00:00.000 +0100"/>
    <x v="11"/>
    <s v="Monday   "/>
    <d v="1899-12-30T00:23:39"/>
    <n v="8"/>
    <x v="7"/>
    <s v="baljit.chima"/>
    <s v="24/7"/>
    <s v="COMPLETED"/>
    <n v="0.88888888888888795"/>
    <n v="1.5"/>
    <n v="1.1666666666666601"/>
    <n v="0.53333333333333299"/>
    <n v="0.36363636363636298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09-09 01:00:00.000 +0100"/>
    <x v="11"/>
    <s v="Tuesday  "/>
    <d v="1899-12-30T00:21:43"/>
    <n v="18"/>
    <x v="10"/>
    <s v="naveed.khan"/>
    <s v="Service Desk"/>
    <s v="COMPLETED"/>
    <n v="0.66666666666666596"/>
    <n v="1"/>
    <n v="0.83333333333333304"/>
    <n v="0.66666666666666596"/>
    <n v="0.45454545454545398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09-09 01:00:00.000 +0100"/>
    <x v="11"/>
    <s v="Tuesday  "/>
    <d v="1899-12-30T00:19:19"/>
    <n v="16"/>
    <x v="5"/>
    <s v="owen.watson"/>
    <s v="Tech"/>
    <s v="COMPLETED"/>
    <n v="0.44444444444444398"/>
    <n v="1"/>
    <n v="0.66666666666666596"/>
    <n v="0.2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09-10 01:00:00.000 +0100"/>
    <x v="11"/>
    <s v="Wednesday"/>
    <d v="1899-12-30T00:19:08"/>
    <n v="20"/>
    <x v="16"/>
    <s v="ryan.allen"/>
    <s v="Tech"/>
    <s v="COMPLETED"/>
    <n v="0.77777777777777701"/>
    <n v="1"/>
    <n v="0.83333333333333304"/>
    <n v="0.4"/>
    <n v="0.45454545454545398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3"/>
    <n v="1"/>
  </r>
  <r>
    <s v="2025-09-10 01:00:00.000 +0100"/>
    <x v="11"/>
    <s v="Wednesday"/>
    <d v="1899-12-30T00:18:38"/>
    <n v="14"/>
    <x v="4"/>
    <s v="umar.farooque"/>
    <s v="24/7"/>
    <s v="COMPLETED"/>
    <n v="0.44444444444444398"/>
    <n v="1"/>
    <n v="0.5"/>
    <n v="0.266666666666666"/>
    <n v="0.27272727272727199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9-16 01:00:00.000 +0100"/>
    <x v="11"/>
    <s v="Tuesday  "/>
    <d v="1899-12-30T00:26:22"/>
    <n v="19"/>
    <x v="15"/>
    <s v="asmaa.gangat"/>
    <s v="Service Desk"/>
    <s v="COMPLETED"/>
    <n v="1.1111111111111101"/>
    <n v="1"/>
    <n v="1"/>
    <n v="0.8"/>
    <n v="0.72727272727272696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3"/>
    <n v="1"/>
    <n v="1"/>
    <n v="1"/>
    <n v="1"/>
  </r>
  <r>
    <s v="2025-09-16 01:00:00.000 +0100"/>
    <x v="11"/>
    <s v="Tuesday  "/>
    <d v="1899-12-30T00:20:01"/>
    <n v="20"/>
    <x v="16"/>
    <s v="r.enchill-balogun"/>
    <s v="Tech"/>
    <s v="OUT_OF_TIME"/>
    <n v="0.55555555555555503"/>
    <n v="1"/>
    <n v="0.33333333333333298"/>
    <n v="0.266666666666666"/>
    <n v="0.36363636363636298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3"/>
    <n v="1"/>
  </r>
  <r>
    <s v="2025-09-16 01:00:00.000 +0100"/>
    <x v="11"/>
    <s v="Tuesday  "/>
    <d v="1899-12-30T00:20:01"/>
    <n v="20"/>
    <x v="16"/>
    <s v="warren.gillett"/>
    <s v="Service Desk"/>
    <s v="OUT_OF_TIME"/>
    <n v="0.88888888888888795"/>
    <n v="1"/>
    <n v="0.66666666666666596"/>
    <n v="0.73333333333333295"/>
    <n v="0.63636363636363602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3"/>
    <n v="1"/>
  </r>
  <r>
    <s v="2025-09-19 01:00:00.000 +0100"/>
    <x v="11"/>
    <s v="Friday   "/>
    <d v="1899-12-30T00:20:01"/>
    <n v="14"/>
    <x v="4"/>
    <s v="divagar.durai"/>
    <s v="24/7"/>
    <s v="OUT_OF_TIME"/>
    <n v="0.55555555555555503"/>
    <n v="1"/>
    <n v="0.83333333333333304"/>
    <n v="0.2"/>
    <n v="9.0909090909090898E-2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09-23 01:00:00.000 +0100"/>
    <x v="11"/>
    <s v="Tuesday  "/>
    <d v="1899-12-30T00:20:01"/>
    <n v="9"/>
    <x v="14"/>
    <s v="ryan.allen"/>
    <s v="Tech"/>
    <s v="OUT_OF_TIME"/>
    <n v="0.88888888888888795"/>
    <n v="1"/>
    <n v="1"/>
    <n v="0.86666666666666603"/>
    <n v="0.636363636363636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0"/>
    <n v="0"/>
    <n v="0"/>
    <n v="0"/>
  </r>
  <r>
    <s v="2025-09-25 01:00:00.000 +0100"/>
    <x v="11"/>
    <s v="Thursday "/>
    <d v="1899-12-30T00:24:50"/>
    <n v="19"/>
    <x v="15"/>
    <s v="michael.ward"/>
    <s v="Tech"/>
    <s v="COMPLETED"/>
    <n v="0.88888888888888795"/>
    <n v="1"/>
    <n v="0.66666666666666596"/>
    <n v="0.66666666666666596"/>
    <n v="0.36363636363636298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3"/>
    <n v="1"/>
    <n v="1"/>
    <n v="1"/>
    <n v="1"/>
  </r>
  <r>
    <s v="2025-09-29 01:00:00.000 +0100"/>
    <x v="11"/>
    <s v="Monday   "/>
    <d v="1899-12-30T00:16:55"/>
    <n v="4"/>
    <x v="6"/>
    <s v="subhaan.ahmed"/>
    <s v="Service Desk"/>
    <s v="COMPLETED"/>
    <n v="0.66666666666666596"/>
    <n v="1"/>
    <n v="0.66666666666666596"/>
    <n v="0.6"/>
    <n v="0.36363636363636298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09-30 01:00:00.000 +0100"/>
    <x v="11"/>
    <s v="Tuesday  "/>
    <d v="1899-12-30T00:32:17"/>
    <n v="30"/>
    <x v="17"/>
    <s v="naveed.khan"/>
    <s v="Service Desk"/>
    <s v="COMPLETED"/>
    <n v="0.66666666666666596"/>
    <n v="1"/>
    <n v="0.66666666666666596"/>
    <n v="0.53333333333333299"/>
    <n v="0.45454545454545398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09-30 01:00:00.000 +0100"/>
    <x v="11"/>
    <s v="Tuesday  "/>
    <d v="1899-12-30T00:33:37"/>
    <n v="30"/>
    <x v="17"/>
    <s v="zishan.sohail"/>
    <s v="Service Desk"/>
    <s v="COMPLETED"/>
    <n v="0.77777777777777701"/>
    <n v="1"/>
    <n v="0.83333333333333304"/>
    <n v="0.6"/>
    <n v="0.45454545454545398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03 01:00:00.000 +0100"/>
    <x v="12"/>
    <s v="Friday   "/>
    <d v="1899-12-30T00:40:08"/>
    <n v="30"/>
    <x v="17"/>
    <s v="warren.gillett"/>
    <s v="Service Desk"/>
    <s v="COMPLETED"/>
    <n v="0.66666666666666596"/>
    <n v="1"/>
    <n v="0.66666666666666596"/>
    <n v="0.66666666666666596"/>
    <n v="0.54545454545454497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06 01:00:00.000 +0100"/>
    <x v="12"/>
    <s v="Monday   "/>
    <d v="1899-12-30T00:27:18"/>
    <n v="30"/>
    <x v="17"/>
    <s v="matt.warwick"/>
    <s v="24/7"/>
    <s v="COMPLETED"/>
    <n v="0.55555555555555503"/>
    <n v="1"/>
    <n v="0.5"/>
    <n v="0.53333333333333299"/>
    <n v="0.54545454545454497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07 01:00:00.000 +0100"/>
    <x v="12"/>
    <s v="Tuesday  "/>
    <d v="1899-12-30T00:39:36"/>
    <n v="30"/>
    <x v="17"/>
    <s v="ryan.allen"/>
    <s v="Tech"/>
    <s v="COMPLETED"/>
    <n v="0.33333333333333298"/>
    <n v="1"/>
    <n v="0.5"/>
    <n v="0.33333333333333298"/>
    <n v="0.36363636363636298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07 01:00:00.000 +0100"/>
    <x v="12"/>
    <s v="Tuesday  "/>
    <d v="1899-12-30T00:33:32"/>
    <n v="30"/>
    <x v="17"/>
    <s v="asmaa.gangat"/>
    <s v="Service Desk"/>
    <s v="COMPLETED"/>
    <n v="0.44444444444444398"/>
    <n v="1"/>
    <n v="0.66666666666666596"/>
    <n v="0.46666666666666601"/>
    <n v="0.36363636363636298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07 01:00:00.000 +0100"/>
    <x v="12"/>
    <s v="Tuesday  "/>
    <d v="1899-12-30T00:27:56"/>
    <n v="30"/>
    <x v="17"/>
    <s v="naeem.khan"/>
    <s v="24/7"/>
    <s v="COMPLETED"/>
    <n v="0.11111111111111099"/>
    <n v="1"/>
    <n v="0.66666666666666596"/>
    <n v="0.2"/>
    <n v="0.27272727272727199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08 01:00:00.000 +0100"/>
    <x v="12"/>
    <s v="Wednesday"/>
    <d v="1899-12-30T00:20:01"/>
    <n v="16"/>
    <x v="5"/>
    <s v="divagar.durai"/>
    <s v="24/7"/>
    <s v="OUT_OF_TIME"/>
    <n v="0.66666666666666596"/>
    <n v="1"/>
    <n v="0.66666666666666596"/>
    <n v="0.266666666666666"/>
    <n v="0.18181818181818099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10-10 01:00:00.000 +0100"/>
    <x v="12"/>
    <s v="Friday   "/>
    <d v="1899-12-30T00:35:32"/>
    <n v="30"/>
    <x v="17"/>
    <s v="baljit.chima"/>
    <s v="24/7"/>
    <s v="COMPLETED"/>
    <n v="0.55555555555555503"/>
    <n v="1"/>
    <n v="0.5"/>
    <n v="0.53333333333333299"/>
    <n v="0.54545454545454497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13 01:00:00.000 +0100"/>
    <x v="12"/>
    <s v="Monday   "/>
    <d v="1899-12-30T00:28:19"/>
    <n v="30"/>
    <x v="17"/>
    <s v="subhaan.ahmed"/>
    <s v="Service Desk"/>
    <s v="COMPLETED"/>
    <n v="0.33333333333333298"/>
    <n v="1"/>
    <n v="0.83333333333333304"/>
    <n v="0.53333333333333299"/>
    <n v="0.27272727272727199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14 01:00:00.000 +0100"/>
    <x v="12"/>
    <s v="Tuesday  "/>
    <d v="1899-12-30T00:39:11"/>
    <n v="30"/>
    <x v="17"/>
    <s v="r.enchill-balogun"/>
    <s v="Tech"/>
    <s v="COMPLETED"/>
    <n v="0.55555555555555503"/>
    <n v="1"/>
    <n v="0.83333333333333304"/>
    <n v="0.73333333333333295"/>
    <n v="0.54545454545454497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15 01:00:00.000 +0100"/>
    <x v="12"/>
    <s v="Wednesday"/>
    <d v="1899-12-30T00:36:01"/>
    <n v="30"/>
    <x v="17"/>
    <s v="umar.farooque"/>
    <s v="24/7"/>
    <s v="COMPLETED"/>
    <n v="0.33333333333333298"/>
    <n v="0"/>
    <n v="0.5"/>
    <n v="0.46666666666666601"/>
    <n v="0.18181818181818099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17 01:00:00.000 +0100"/>
    <x v="12"/>
    <s v="Friday   "/>
    <d v="1899-12-30T00:26:26"/>
    <n v="30"/>
    <x v="17"/>
    <s v="michael.ward"/>
    <s v="Tech"/>
    <s v="COMPLETED"/>
    <n v="0.88888888888888795"/>
    <n v="0.5"/>
    <n v="0.5"/>
    <n v="0.86666666666666603"/>
    <n v="0.72727272727272696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22 01:00:00.000 +0100"/>
    <x v="12"/>
    <s v="Wednesday"/>
    <d v="1899-12-30T00:39:57"/>
    <n v="30"/>
    <x v="17"/>
    <s v="richard.gillett"/>
    <s v="Service Desk"/>
    <s v="COMPLETED"/>
    <n v="0.55555555555555503"/>
    <n v="1"/>
    <n v="0.66666666666666596"/>
    <n v="0.53333333333333299"/>
    <n v="0.36363636363636298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0-23 01:00:00.000 +0100"/>
    <x v="12"/>
    <s v="Thursday "/>
    <d v="1899-12-30T00:40:02"/>
    <n v="30"/>
    <x v="17"/>
    <s v="divagar.durai"/>
    <s v="24/7"/>
    <s v="OUT_OF_TIME"/>
    <n v="0.77777777777777701"/>
    <n v="1"/>
    <n v="0.66666666666666596"/>
    <n v="0.73333333333333295"/>
    <n v="0.54545454545454497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5-11-04 00:00:00.000 +0000"/>
    <x v="13"/>
    <s v="Tuesday  "/>
    <d v="1899-12-30T00:18:01"/>
    <n v="14"/>
    <x v="4"/>
    <s v="asmaa.gangat"/>
    <s v="Service Desk"/>
    <s v="COMPLETED"/>
    <n v="0.44444444444444398"/>
    <n v="1"/>
    <n v="0.66666666666666596"/>
    <n v="0.53333333333333299"/>
    <n v="0.27272727272727199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11-05 00:00:00.000 +0000"/>
    <x v="13"/>
    <s v="Wednesday"/>
    <d v="1899-12-30T00:18:07"/>
    <n v="8"/>
    <x v="7"/>
    <s v="matt.warwick"/>
    <s v="24/7"/>
    <s v="COMPLETED"/>
    <n v="1"/>
    <n v="1"/>
    <n v="1"/>
    <n v="0.8"/>
    <n v="0.72727272727272696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11-10 00:00:00.000 +0000"/>
    <x v="13"/>
    <s v="Monday   "/>
    <d v="1899-12-30T00:20:43"/>
    <n v="18"/>
    <x v="10"/>
    <s v="subhaan.ahmed"/>
    <s v="Service Desk"/>
    <s v="COMPLETED"/>
    <n v="0.55555555555555503"/>
    <n v="1"/>
    <n v="0.5"/>
    <n v="0.6"/>
    <n v="0.63636363636363602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11-10 00:00:00.000 +0000"/>
    <x v="13"/>
    <s v="Monday   "/>
    <d v="1899-12-30T00:19:09"/>
    <n v="17"/>
    <x v="11"/>
    <s v="naeem.khan"/>
    <s v="24/7"/>
    <s v="COMPLETED"/>
    <n v="0.33333333333333298"/>
    <n v="1"/>
    <n v="0.33333333333333298"/>
    <n v="0.133333333333333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5-11-10 00:00:00.000 +0000"/>
    <x v="13"/>
    <s v="Monday   "/>
    <d v="1899-12-30T00:24:12"/>
    <n v="18"/>
    <x v="10"/>
    <s v="baljit.chima"/>
    <s v="24/7"/>
    <s v="COMPLETED"/>
    <n v="0.66666666666666596"/>
    <n v="1"/>
    <n v="0.66666666666666596"/>
    <n v="0.46666666666666601"/>
    <n v="0.36363636363636298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11-11 00:00:00.000 +0000"/>
    <x v="13"/>
    <s v="Tuesday  "/>
    <d v="1899-12-30T00:19:47"/>
    <n v="17"/>
    <x v="11"/>
    <s v="warren.gillett"/>
    <s v="Service Desk"/>
    <s v="COMPLETED"/>
    <n v="0.88888888888888795"/>
    <n v="1"/>
    <n v="0.83333333333333304"/>
    <n v="0.53333333333333299"/>
    <n v="0.45454545454545398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5-11-11 00:00:00.000 +0000"/>
    <x v="13"/>
    <s v="Tuesday  "/>
    <d v="1899-12-30T00:20:05"/>
    <n v="17"/>
    <x v="11"/>
    <s v="r.enchill-balogun"/>
    <s v="Tech"/>
    <s v="COMPLETED"/>
    <n v="0.44444444444444398"/>
    <n v="0.5"/>
    <n v="0.5"/>
    <n v="0.33333333333333298"/>
    <n v="9.0909090909090898E-2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5-11-13 00:00:00.000 +0000"/>
    <x v="13"/>
    <s v="Thursday "/>
    <d v="1899-12-30T00:25:02"/>
    <n v="34"/>
    <x v="18"/>
    <s v="peter.mwenya"/>
    <s v="24/7"/>
    <s v="OUT_OF_TIME"/>
    <n v="0.44444444444444398"/>
    <n v="1"/>
    <n v="0.5"/>
    <n v="0.33333333333333298"/>
    <n v="0.36363636363636298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s v="-"/>
    <n v="1"/>
    <n v="2"/>
    <n v="1"/>
    <n v="1"/>
    <n v="2"/>
    <n v="1"/>
  </r>
  <r>
    <s v="2025-11-13 00:00:00.000 +0000"/>
    <x v="13"/>
    <s v="Thursday "/>
    <d v="1899-12-30T00:23:07"/>
    <n v="24"/>
    <x v="19"/>
    <s v="michael.ward"/>
    <s v="Tech"/>
    <s v="COMPLETED"/>
    <n v="0.55555555555555503"/>
    <n v="0.5"/>
    <n v="0.33333333333333298"/>
    <n v="0.53333333333333299"/>
    <n v="0.2727272727272719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1"/>
    <n v="1"/>
    <n v="1"/>
    <n v="1"/>
    <n v="1"/>
  </r>
  <r>
    <s v="2025-11-17 00:00:00.000 +0000"/>
    <x v="13"/>
    <s v="Monday   "/>
    <d v="1899-12-30T00:19:48"/>
    <n v="32"/>
    <x v="20"/>
    <s v="peter.mwenya"/>
    <s v="24/7"/>
    <s v="COMPLETED"/>
    <n v="0.44444444444444398"/>
    <n v="1"/>
    <n v="0.66666666666666596"/>
    <n v="0.4"/>
    <n v="0.2727272727272719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0"/>
    <n v="0"/>
  </r>
  <r>
    <s v="2025-11-18 00:00:00.000 +0000"/>
    <x v="13"/>
    <s v="Tuesday  "/>
    <d v="1899-12-30T00:30:02"/>
    <n v="24"/>
    <x v="19"/>
    <s v="ryan.allen"/>
    <s v="Tech"/>
    <s v="OUT_OF_TIME"/>
    <n v="0.88888888888888795"/>
    <n v="1"/>
    <n v="0.83333333333333304"/>
    <n v="0.93333333333333302"/>
    <n v="0.7272727272727269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1"/>
    <n v="1"/>
    <n v="1"/>
    <n v="1"/>
    <n v="1"/>
  </r>
  <r>
    <s v="2025-11-18 00:00:00.000 +0000"/>
    <x v="13"/>
    <s v="Tuesday  "/>
    <d v="1899-12-30T00:20:02"/>
    <n v="16"/>
    <x v="5"/>
    <s v="peter.mwenya"/>
    <s v="24/7"/>
    <s v="OUT_OF_TIME"/>
    <n v="0.11111111111111099"/>
    <n v="0"/>
    <n v="0"/>
    <n v="0.133333333333333"/>
    <n v="0.27272727272727199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11-19 00:00:00.000 +0000"/>
    <x v="13"/>
    <s v="Wednesday"/>
    <d v="1899-12-30T00:20:01"/>
    <n v="16"/>
    <x v="5"/>
    <s v="peter.mwenya"/>
    <s v="24/7"/>
    <s v="OUT_OF_TIME"/>
    <n v="0.88888888888888795"/>
    <n v="0.5"/>
    <n v="0.33333333333333298"/>
    <n v="0.46666666666666601"/>
    <n v="0.363636363636362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11-20 00:00:00.000 +0000"/>
    <x v="13"/>
    <s v="Thursday "/>
    <d v="1899-12-30T00:19:03"/>
    <n v="17"/>
    <x v="11"/>
    <s v="naveed.khan"/>
    <s v="Service Desk"/>
    <s v="COMPLETED"/>
    <n v="0.77777777777777701"/>
    <n v="1"/>
    <n v="0.33333333333333298"/>
    <n v="0.4"/>
    <n v="0.45454545454545398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5-11-25 00:00:00.000 +0000"/>
    <x v="13"/>
    <s v="Tuesday  "/>
    <d v="1899-12-30T00:19:04"/>
    <n v="9"/>
    <x v="14"/>
    <s v="r.enchill-balogun"/>
    <s v="Tech"/>
    <s v="COMPLETED"/>
    <n v="0.44444444444444398"/>
    <n v="0.5"/>
    <n v="0.66666666666666596"/>
    <n v="0.46666666666666601"/>
    <n v="9.09090909090908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0"/>
    <n v="0"/>
    <n v="0"/>
    <n v="0"/>
  </r>
  <r>
    <s v="2025-11-25 00:00:00.000 +0000"/>
    <x v="13"/>
    <s v="Tuesday  "/>
    <d v="1899-12-30T00:20:02"/>
    <n v="9"/>
    <x v="14"/>
    <s v="warren.gillett"/>
    <s v="Service Desk"/>
    <s v="OUT_OF_TIME"/>
    <n v="0.55555555555555503"/>
    <n v="1"/>
    <n v="0.66666666666666596"/>
    <n v="0.33333333333333298"/>
    <n v="9.09090909090908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0"/>
    <n v="0"/>
    <n v="0"/>
    <n v="0"/>
  </r>
  <r>
    <s v="2025-11-25 00:00:00.000 +0000"/>
    <x v="13"/>
    <s v="Tuesday  "/>
    <d v="1899-12-30T00:16:34"/>
    <n v="4"/>
    <x v="6"/>
    <s v="omokova.otaru"/>
    <s v="24/7"/>
    <s v="COMPLETED"/>
    <n v="0.44444444444444398"/>
    <n v="1"/>
    <n v="0.66666666666666596"/>
    <n v="0.53333333333333299"/>
    <n v="0.36363636363636298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11-26 00:00:00.000 +0000"/>
    <x v="13"/>
    <s v="Wednesday"/>
    <d v="1899-12-30T00:20:01"/>
    <n v="4"/>
    <x v="6"/>
    <s v="divagar.durai"/>
    <s v="24/7"/>
    <s v="OUT_OF_TIME"/>
    <n v="0.55555555555555503"/>
    <n v="1"/>
    <n v="0.33333333333333298"/>
    <n v="0.46666666666666601"/>
    <n v="0.27272727272727199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11-28 00:00:00.000 +0000"/>
    <x v="13"/>
    <s v="Friday   "/>
    <d v="1899-12-30T00:20:01"/>
    <n v="4"/>
    <x v="6"/>
    <s v="peter.mwenya"/>
    <s v="24/7"/>
    <s v="OUT_OF_TIME"/>
    <n v="0.77777777777777701"/>
    <n v="1"/>
    <n v="0.33333333333333298"/>
    <n v="0.2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5-12-01 00:00:00.000 +0000"/>
    <x v="14"/>
    <s v="Monday   "/>
    <d v="1899-12-30T00:19:26"/>
    <n v="16"/>
    <x v="5"/>
    <s v="abdulkadir.hussein"/>
    <s v="24/7"/>
    <s v="COMPLETED"/>
    <n v="0.55555555555555503"/>
    <n v="0.5"/>
    <n v="0.66666666666666596"/>
    <n v="0.53333333333333299"/>
    <n v="0.36363636363636298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5-12-08 00:00:00.000 +0000"/>
    <x v="14"/>
    <s v="Monday   "/>
    <d v="1899-12-30T00:12:47"/>
    <n v="17"/>
    <x v="11"/>
    <s v="subhaan.ahmed"/>
    <s v="Service Desk"/>
    <s v="COMPLETED"/>
    <n v="1.1111111111111101"/>
    <n v="1"/>
    <n v="0.83333333333333304"/>
    <n v="0.93333333333333302"/>
    <n v="0.63636363636363602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5-12-09 00:00:00.000 +0000"/>
    <x v="14"/>
    <s v="Tuesday  "/>
    <d v="1899-12-30T00:30:02"/>
    <n v="19"/>
    <x v="15"/>
    <s v="r.enchill-balogun"/>
    <s v="Tech"/>
    <s v="OUT_OF_TIME"/>
    <n v="0.44444444444444398"/>
    <n v="0.5"/>
    <n v="0.66666666666666596"/>
    <n v="0.33333333333333298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3"/>
    <n v="1"/>
    <n v="1"/>
    <n v="1"/>
    <n v="1"/>
  </r>
  <r>
    <s v="2025-12-10 00:00:00.000 +0000"/>
    <x v="14"/>
    <s v="Wednesday"/>
    <d v="1899-12-30T00:25:02"/>
    <n v="8"/>
    <x v="7"/>
    <s v="omokova.otaru"/>
    <s v="24/7"/>
    <s v="OUT_OF_TIME"/>
    <n v="0.77777777777777701"/>
    <n v="1"/>
    <n v="0.83333333333333304"/>
    <n v="0.86666666666666603"/>
    <n v="0.8181818181818180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12-10 00:00:00.000 +0000"/>
    <x v="14"/>
    <s v="Wednesday"/>
    <d v="1899-12-30T00:24:37"/>
    <n v="8"/>
    <x v="7"/>
    <s v="divagar.durai"/>
    <s v="24/7"/>
    <s v="COMPLETED"/>
    <n v="0.44444444444444398"/>
    <n v="1"/>
    <n v="0.83333333333333304"/>
    <n v="0.53333333333333299"/>
    <n v="0.27272727272727199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5-12-11 00:00:00.000 +0000"/>
    <x v="14"/>
    <s v="Thursday "/>
    <d v="1899-12-30T00:21:25"/>
    <n v="26"/>
    <x v="8"/>
    <s v="baljit.chima"/>
    <s v="24/7"/>
    <s v="COMPLETED"/>
    <n v="0.77777777777777701"/>
    <n v="1"/>
    <n v="0.66666666666666596"/>
    <n v="0.133333333333333"/>
    <n v="0.181818181818180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5-12-15 00:00:00.000 +0000"/>
    <x v="14"/>
    <s v="Monday   "/>
    <d v="1899-12-30T00:25:02"/>
    <n v="18"/>
    <x v="10"/>
    <s v="peter.mwenya"/>
    <s v="24/7"/>
    <s v="OUT_OF_TIME"/>
    <n v="0.44444444444444398"/>
    <n v="0"/>
    <n v="0.33333333333333298"/>
    <n v="0.33333333333333298"/>
    <n v="0.27272727272727199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12-15 00:00:00.000 +0000"/>
    <x v="14"/>
    <s v="Monday   "/>
    <d v="1899-12-30T00:20:29"/>
    <n v="18"/>
    <x v="10"/>
    <s v="abdulkadir.hussein"/>
    <s v="24/7"/>
    <s v="COMPLETED"/>
    <n v="0.44444444444444398"/>
    <n v="0.5"/>
    <n v="0.66666666666666596"/>
    <n v="0.4"/>
    <n v="0.45454545454545398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5-12-19 00:00:00.000 +0000"/>
    <x v="14"/>
    <s v="Friday   "/>
    <d v="1899-12-30T00:17:34"/>
    <n v="16"/>
    <x v="5"/>
    <s v="umar.farooque"/>
    <s v="24/7"/>
    <s v="COMPLETED"/>
    <n v="0.44444444444444398"/>
    <n v="0.5"/>
    <n v="0.66666666666666596"/>
    <n v="0.46666666666666601"/>
    <n v="0.27272727272727199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"/>
    <n v="0"/>
    <n v="1"/>
    <n v="0"/>
    <n v="0"/>
    <n v="1"/>
    <n v="0"/>
  </r>
  <r>
    <s v="2026-01-05 00:00:00.000 +0000"/>
    <x v="15"/>
    <s v="Monday   "/>
    <d v="1899-12-30T00:19:48"/>
    <n v="28"/>
    <x v="12"/>
    <s v="subhaan.ahmed"/>
    <s v="Service Desk"/>
    <s v="COMPLETED"/>
    <n v="0.33333333333333298"/>
    <n v="0.5"/>
    <n v="0.5"/>
    <n v="0.46666666666666601"/>
    <n v="0.27272727272727199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6-01-12 00:00:00.000 +0000"/>
    <x v="15"/>
    <s v="Monday   "/>
    <d v="1899-12-30T00:24:21"/>
    <n v="18"/>
    <x v="10"/>
    <s v="divagar.durai"/>
    <s v="24/7"/>
    <s v="COMPLETED"/>
    <n v="0.55555555555555503"/>
    <n v="0"/>
    <n v="0.33333333333333298"/>
    <n v="0.33333333333333298"/>
    <n v="0.27272727272727199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6-01-13 00:00:00.000 +0000"/>
    <x v="15"/>
    <s v="Tuesday  "/>
    <d v="1899-12-30T00:28:15"/>
    <n v="33"/>
    <x v="21"/>
    <s v="ryan.allen"/>
    <s v="Tech"/>
    <s v="COMPLETED"/>
    <n v="0.66666666666666596"/>
    <n v="1"/>
    <n v="0.5"/>
    <n v="0.66666666666666596"/>
    <n v="0.45454545454545398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1-13 00:00:00.000 +0000"/>
    <x v="15"/>
    <s v="Tuesday  "/>
    <d v="1899-12-30T00:20:02"/>
    <n v="17"/>
    <x v="11"/>
    <s v="baljit.chima"/>
    <s v="24/7"/>
    <s v="OUT_OF_TIME"/>
    <n v="0.33333333333333298"/>
    <n v="0.5"/>
    <n v="0.33333333333333298"/>
    <n v="0.133333333333333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6-01-14 00:00:00.000 +0000"/>
    <x v="15"/>
    <s v="Wednesday"/>
    <d v="1899-12-30T00:20:01"/>
    <n v="17"/>
    <x v="11"/>
    <s v="richard.gillett"/>
    <s v="Service Desk"/>
    <s v="OUT_OF_TIME"/>
    <n v="0.66666666666666596"/>
    <n v="0.5"/>
    <n v="0.66666666666666596"/>
    <n v="0.73333333333333295"/>
    <n v="0.54545454545454497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2"/>
    <n v="0"/>
    <n v="0"/>
    <n v="1"/>
    <n v="0"/>
  </r>
  <r>
    <s v="2026-01-20 00:00:00.000 +0000"/>
    <x v="15"/>
    <s v="Tuesday  "/>
    <d v="1899-12-30T00:23:04"/>
    <n v="19"/>
    <x v="15"/>
    <s v="warren.gillett"/>
    <s v="Service Desk"/>
    <s v="COMPLETED"/>
    <n v="0.44444444444444398"/>
    <n v="1"/>
    <n v="0.83333333333333304"/>
    <n v="0.4"/>
    <n v="0.27272727272727199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3"/>
    <n v="1"/>
    <n v="1"/>
    <n v="1"/>
    <n v="1"/>
  </r>
  <r>
    <s v="2026-01-22 00:00:00.000 +0000"/>
    <x v="15"/>
    <s v="Thursday "/>
    <d v="1899-12-30T00:28:27"/>
    <n v="33"/>
    <x v="21"/>
    <s v="michael.ward"/>
    <s v="Tech"/>
    <s v="COMPLETED"/>
    <n v="0.66666666666666596"/>
    <n v="0.5"/>
    <n v="0.16666666666666599"/>
    <n v="0.33333333333333298"/>
    <n v="0.18181818181818099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1-26 00:00:00.000 +0000"/>
    <x v="15"/>
    <s v="Monday   "/>
    <d v="1899-12-30T00:20:05"/>
    <n v="9"/>
    <x v="14"/>
    <s v="naeem.khan"/>
    <s v="24/7"/>
    <s v="COMPLETED"/>
    <n v="0.33333333333333298"/>
    <n v="1"/>
    <n v="1"/>
    <n v="0.6"/>
    <n v="0.36363636363636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0"/>
    <n v="0"/>
    <n v="0"/>
    <n v="0"/>
  </r>
  <r>
    <s v="2026-01-26 00:00:00.000 +0000"/>
    <x v="15"/>
    <s v="Monday   "/>
    <d v="1899-12-30T00:25:02"/>
    <n v="18"/>
    <x v="10"/>
    <s v="matt.warwick"/>
    <s v="24/7"/>
    <s v="COMPLETED"/>
    <n v="0.66666666666666596"/>
    <n v="1"/>
    <n v="0.66666666666666596"/>
    <n v="0.266666666666666"/>
    <n v="0.18181818181818099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6-01-27 00:00:00.000 +0000"/>
    <x v="15"/>
    <s v="Tuesday  "/>
    <d v="1899-12-30T00:21:59"/>
    <n v="18"/>
    <x v="10"/>
    <s v="omokova.otaru"/>
    <s v="24/7"/>
    <s v="COMPLETED"/>
    <n v="0.66666666666666596"/>
    <n v="1"/>
    <n v="0.66666666666666596"/>
    <n v="0.266666666666666"/>
    <n v="9.0909090909090898E-2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0"/>
    <s v="-"/>
    <n v="0"/>
    <n v="3"/>
    <n v="1"/>
    <n v="0"/>
    <n v="1"/>
    <n v="1"/>
  </r>
  <r>
    <s v="2026-01-29 00:00:00.000 +0000"/>
    <x v="15"/>
    <s v="Thursday "/>
    <d v="1899-12-30T00:20:01"/>
    <n v="9"/>
    <x v="14"/>
    <s v="baljit.chima"/>
    <s v="24/7"/>
    <s v="OUT_OF_TIME"/>
    <n v="0.88888888888888795"/>
    <n v="1"/>
    <n v="0.33333333333333298"/>
    <n v="0.46666666666666601"/>
    <n v="0.27272727272727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0"/>
    <n v="0"/>
    <n v="0"/>
    <n v="0"/>
  </r>
  <r>
    <s v="2026-02-03 00:00:00.000 +0000"/>
    <x v="16"/>
    <s v="Tuesday  "/>
    <d v="1899-12-30T00:13:58"/>
    <n v="5"/>
    <x v="22"/>
    <s v="zishan.sohail"/>
    <s v="Service Desk"/>
    <s v="COMPLETED"/>
    <n v="0.44444444444444398"/>
    <n v="0.5"/>
    <n v="0.66666666666666596"/>
    <n v="0.266666666666666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6-02-10 00:00:00.000 +0000"/>
    <x v="16"/>
    <s v="Tuesday  "/>
    <d v="1899-12-30T00:26:55"/>
    <n v="19"/>
    <x v="15"/>
    <s v="ryan.allen"/>
    <s v="Tech"/>
    <s v="COMPLETED"/>
    <n v="0.77777777777777701"/>
    <n v="1"/>
    <n v="0.66666666666666596"/>
    <n v="0.4"/>
    <n v="0.27272727272727199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3"/>
    <n v="1"/>
    <n v="1"/>
    <n v="1"/>
    <n v="1"/>
  </r>
  <r>
    <s v="2026-02-10 00:00:00.000 +0000"/>
    <x v="16"/>
    <s v="Tuesday  "/>
    <d v="1899-12-30T00:22:39"/>
    <n v="33"/>
    <x v="21"/>
    <s v="asmaa.gangat"/>
    <s v="Service Desk"/>
    <s v="COMPLETED"/>
    <n v="0.55555555555555503"/>
    <n v="0.5"/>
    <n v="0.66666666666666596"/>
    <n v="0.66666666666666596"/>
    <n v="0.45454545454545398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12 00:00:00.000 +0000"/>
    <x v="16"/>
    <s v="Thursday "/>
    <d v="1899-12-30T00:21:02"/>
    <n v="19"/>
    <x v="15"/>
    <s v="naeem.khan"/>
    <s v="24/7"/>
    <s v="COMPLETED"/>
    <n v="0.55555555555555503"/>
    <n v="1"/>
    <n v="0.66666666666666596"/>
    <n v="0.33333333333333298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-"/>
    <n v="1"/>
    <n v="3"/>
    <n v="1"/>
    <n v="1"/>
    <n v="1"/>
    <n v="1"/>
  </r>
  <r>
    <s v="2026-02-13 00:00:00.000 +0000"/>
    <x v="16"/>
    <s v="Friday   "/>
    <d v="1899-12-30T00:16:02"/>
    <n v="4"/>
    <x v="6"/>
    <s v="umar.farooque"/>
    <s v="24/7"/>
    <s v="COMPLETED"/>
    <n v="0.22222222222222199"/>
    <n v="0.5"/>
    <n v="0.5"/>
    <n v="0.266666666666666"/>
    <n v="9.0909090909090898E-2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s v="-"/>
    <n v="1"/>
    <n v="4"/>
    <n v="1"/>
    <n v="1"/>
    <n v="1"/>
    <n v="1"/>
  </r>
  <r>
    <s v="2026-02-16 00:00:00.000 +0000"/>
    <x v="16"/>
    <s v="Monday   "/>
    <d v="1899-12-30T00:22:53"/>
    <n v="28"/>
    <x v="12"/>
    <s v="abdulkadir.hussein"/>
    <s v="24/7"/>
    <s v="COMPLETED"/>
    <n v="0.44444444444444398"/>
    <n v="0.5"/>
    <n v="0.66666666666666596"/>
    <n v="0.4"/>
    <n v="0.27272727272727199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6-02-16 00:00:00.000 +0000"/>
    <x v="16"/>
    <s v="Monday   "/>
    <d v="1899-12-30T00:18:33"/>
    <n v="33"/>
    <x v="21"/>
    <s v="subhaan.ahmed"/>
    <s v="Service Desk"/>
    <s v="COMPLETED"/>
    <n v="0.44444444444444398"/>
    <n v="0.5"/>
    <n v="0.66666666666666596"/>
    <n v="0.46666666666666601"/>
    <n v="0.27272727272727199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19 00:00:00.000 +0000"/>
    <x v="16"/>
    <s v="Thursday "/>
    <d v="1899-12-30T00:20:02"/>
    <n v="9"/>
    <x v="14"/>
    <s v="richard.gillett"/>
    <s v="Service Desk"/>
    <s v="OUT_OF_TIME"/>
    <n v="0.55555555555555503"/>
    <n v="0.5"/>
    <n v="0.33333333333333298"/>
    <n v="0.266666666666666"/>
    <n v="0.18181818181818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  <n v="0"/>
    <n v="0"/>
    <n v="0"/>
    <n v="0"/>
    <n v="0"/>
    <n v="0"/>
  </r>
  <r>
    <s v="2026-02-23 00:00:00.000 +0000"/>
    <x v="16"/>
    <s v="Monday   "/>
    <d v="1899-12-30T00:21:23"/>
    <n v="8"/>
    <x v="7"/>
    <s v="umar.farooque"/>
    <s v="24/7"/>
    <s v="COMPLETED"/>
    <n v="0.44444444444444398"/>
    <n v="0.5"/>
    <n v="0.66666666666666596"/>
    <n v="0.33333333333333298"/>
    <n v="0.18181818181818099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s v="-"/>
    <n v="0"/>
    <n v="1"/>
    <n v="2"/>
    <n v="0"/>
    <n v="0"/>
    <n v="1"/>
  </r>
  <r>
    <s v="2026-02-24 00:00:00.000 +0000"/>
    <x v="16"/>
    <s v="Tuesday  "/>
    <d v="1899-12-30T00:18:50"/>
    <n v="28"/>
    <x v="12"/>
    <s v="matt.warwick"/>
    <s v="24/7"/>
    <s v="COMPLETED"/>
    <n v="0.44444444444444398"/>
    <n v="0.5"/>
    <n v="0.33333333333333298"/>
    <n v="0.46666666666666601"/>
    <n v="0.27272727272727199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m/>
    <x v="17"/>
    <m/>
    <m/>
    <m/>
    <x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06E3A-C85B-8B48-A98D-1BC8EDAB1E8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1" firstDataRow="2" firstDataCol="1"/>
  <pivotFields count="46">
    <pivotField dataField="1" showAll="0"/>
    <pivotField axis="axisCol" showAll="0">
      <items count="1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x="15"/>
        <item x="16"/>
        <item h="1" x="17"/>
        <item t="default"/>
      </items>
    </pivotField>
    <pivotField showAll="0"/>
    <pivotField showAll="0"/>
    <pivotField showAll="0"/>
    <pivotField axis="axisRow" showAll="0">
      <items count="25">
        <item x="2"/>
        <item x="22"/>
        <item x="19"/>
        <item x="14"/>
        <item x="17"/>
        <item x="15"/>
        <item x="8"/>
        <item x="9"/>
        <item x="12"/>
        <item x="4"/>
        <item x="18"/>
        <item x="5"/>
        <item x="6"/>
        <item x="3"/>
        <item x="0"/>
        <item x="20"/>
        <item x="7"/>
        <item x="16"/>
        <item x="10"/>
        <item x="21"/>
        <item x="1"/>
        <item x="13"/>
        <item x="11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2">
    <i>
      <x v="1"/>
    </i>
    <i>
      <x v="3"/>
    </i>
    <i>
      <x v="5"/>
    </i>
    <i>
      <x v="6"/>
    </i>
    <i>
      <x v="8"/>
    </i>
    <i>
      <x v="11"/>
    </i>
    <i>
      <x v="12"/>
    </i>
    <i>
      <x v="16"/>
    </i>
    <i>
      <x v="18"/>
    </i>
    <i>
      <x v="19"/>
    </i>
    <i>
      <x v="22"/>
    </i>
    <i t="grand">
      <x/>
    </i>
  </rowItems>
  <colFields count="1">
    <field x="1"/>
  </colFields>
  <colItems count="4">
    <i>
      <x v="14"/>
    </i>
    <i>
      <x v="15"/>
    </i>
    <i>
      <x v="16"/>
    </i>
    <i t="grand">
      <x/>
    </i>
  </colItems>
  <dataFields count="1">
    <dataField name="Count of session_sta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E2AC-DBBD-1E4A-8440-0B8D5F969F1A}">
  <dimension ref="A3:E16"/>
  <sheetViews>
    <sheetView tabSelected="1" workbookViewId="0">
      <selection activeCell="G18" sqref="G18"/>
    </sheetView>
  </sheetViews>
  <sheetFormatPr baseColWidth="10" defaultRowHeight="16" x14ac:dyDescent="0.2"/>
  <cols>
    <col min="1" max="1" width="20" bestFit="1" customWidth="1"/>
    <col min="2" max="2" width="16" bestFit="1" customWidth="1"/>
    <col min="3" max="18" width="10.5" bestFit="1" customWidth="1"/>
    <col min="19" max="19" width="7" bestFit="1" customWidth="1"/>
    <col min="20" max="20" width="10.5" bestFit="1" customWidth="1"/>
  </cols>
  <sheetData>
    <row r="3" spans="1:5" x14ac:dyDescent="0.2">
      <c r="A3" s="5" t="s">
        <v>305</v>
      </c>
      <c r="B3" s="5" t="s">
        <v>304</v>
      </c>
    </row>
    <row r="4" spans="1:5" x14ac:dyDescent="0.2">
      <c r="A4" s="5" t="s">
        <v>302</v>
      </c>
      <c r="B4" s="4">
        <v>45992</v>
      </c>
      <c r="C4" s="4">
        <v>46023</v>
      </c>
      <c r="D4" s="4">
        <v>46054</v>
      </c>
      <c r="E4" t="s">
        <v>303</v>
      </c>
    </row>
    <row r="5" spans="1:5" x14ac:dyDescent="0.2">
      <c r="A5" s="6" t="s">
        <v>286</v>
      </c>
      <c r="B5" s="7"/>
      <c r="C5" s="7"/>
      <c r="D5" s="7">
        <v>1</v>
      </c>
      <c r="E5" s="7">
        <v>1</v>
      </c>
    </row>
    <row r="6" spans="1:5" x14ac:dyDescent="0.2">
      <c r="A6" s="6" t="s">
        <v>207</v>
      </c>
      <c r="B6" s="7"/>
      <c r="C6" s="7">
        <v>2</v>
      </c>
      <c r="D6" s="7">
        <v>1</v>
      </c>
      <c r="E6" s="7">
        <v>3</v>
      </c>
    </row>
    <row r="7" spans="1:5" x14ac:dyDescent="0.2">
      <c r="A7" s="6" t="s">
        <v>219</v>
      </c>
      <c r="B7" s="7">
        <v>1</v>
      </c>
      <c r="C7" s="7">
        <v>1</v>
      </c>
      <c r="D7" s="7">
        <v>2</v>
      </c>
      <c r="E7" s="7">
        <v>4</v>
      </c>
    </row>
    <row r="8" spans="1:5" x14ac:dyDescent="0.2">
      <c r="A8" s="6" t="s">
        <v>118</v>
      </c>
      <c r="B8" s="7">
        <v>1</v>
      </c>
      <c r="C8" s="7"/>
      <c r="D8" s="7"/>
      <c r="E8" s="7">
        <v>1</v>
      </c>
    </row>
    <row r="9" spans="1:5" x14ac:dyDescent="0.2">
      <c r="A9" s="6" t="s">
        <v>187</v>
      </c>
      <c r="B9" s="7"/>
      <c r="C9" s="7">
        <v>1</v>
      </c>
      <c r="D9" s="7">
        <v>2</v>
      </c>
      <c r="E9" s="7">
        <v>3</v>
      </c>
    </row>
    <row r="10" spans="1:5" x14ac:dyDescent="0.2">
      <c r="A10" s="6" t="s">
        <v>75</v>
      </c>
      <c r="B10" s="7">
        <v>2</v>
      </c>
      <c r="C10" s="7"/>
      <c r="D10" s="7"/>
      <c r="E10" s="7">
        <v>2</v>
      </c>
    </row>
    <row r="11" spans="1:5" x14ac:dyDescent="0.2">
      <c r="A11" s="6" t="s">
        <v>82</v>
      </c>
      <c r="B11" s="7"/>
      <c r="C11" s="7"/>
      <c r="D11" s="7">
        <v>1</v>
      </c>
      <c r="E11" s="7">
        <v>1</v>
      </c>
    </row>
    <row r="12" spans="1:5" x14ac:dyDescent="0.2">
      <c r="A12" s="6" t="s">
        <v>89</v>
      </c>
      <c r="B12" s="7">
        <v>2</v>
      </c>
      <c r="C12" s="7"/>
      <c r="D12" s="7">
        <v>1</v>
      </c>
      <c r="E12" s="7">
        <v>3</v>
      </c>
    </row>
    <row r="13" spans="1:5" x14ac:dyDescent="0.2">
      <c r="A13" s="6" t="s">
        <v>170</v>
      </c>
      <c r="B13" s="7">
        <v>2</v>
      </c>
      <c r="C13" s="7">
        <v>3</v>
      </c>
      <c r="D13" s="7"/>
      <c r="E13" s="7">
        <v>5</v>
      </c>
    </row>
    <row r="14" spans="1:5" x14ac:dyDescent="0.2">
      <c r="A14" s="6" t="s">
        <v>278</v>
      </c>
      <c r="B14" s="7"/>
      <c r="C14" s="7">
        <v>2</v>
      </c>
      <c r="D14" s="7">
        <v>2</v>
      </c>
      <c r="E14" s="7">
        <v>4</v>
      </c>
    </row>
    <row r="15" spans="1:5" x14ac:dyDescent="0.2">
      <c r="A15" s="6" t="s">
        <v>184</v>
      </c>
      <c r="B15" s="7">
        <v>1</v>
      </c>
      <c r="C15" s="7">
        <v>2</v>
      </c>
      <c r="D15" s="7"/>
      <c r="E15" s="7">
        <v>3</v>
      </c>
    </row>
    <row r="16" spans="1:5" x14ac:dyDescent="0.2">
      <c r="A16" s="6" t="s">
        <v>303</v>
      </c>
      <c r="B16" s="7">
        <v>9</v>
      </c>
      <c r="C16" s="7">
        <v>11</v>
      </c>
      <c r="D16" s="7">
        <v>10</v>
      </c>
      <c r="E16" s="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705E-D31F-B44C-97FD-FD58D3A76742}">
  <dimension ref="A1:AT294"/>
  <sheetViews>
    <sheetView workbookViewId="0">
      <selection sqref="A1:XFD1048576"/>
    </sheetView>
  </sheetViews>
  <sheetFormatPr baseColWidth="10" defaultRowHeight="16" x14ac:dyDescent="0.2"/>
  <cols>
    <col min="1" max="1" width="27.1640625" bestFit="1" customWidth="1"/>
    <col min="2" max="2" width="27.1640625" customWidth="1"/>
    <col min="3" max="3" width="11.6640625" bestFit="1" customWidth="1"/>
    <col min="4" max="4" width="8.1640625" bestFit="1" customWidth="1"/>
    <col min="5" max="5" width="5" bestFit="1" customWidth="1"/>
    <col min="6" max="6" width="19.6640625" bestFit="1" customWidth="1"/>
    <col min="7" max="7" width="19.5" bestFit="1" customWidth="1"/>
    <col min="8" max="8" width="19.5" customWidth="1"/>
    <col min="9" max="9" width="16.83203125" bestFit="1" customWidth="1"/>
    <col min="10" max="10" width="13.1640625" bestFit="1" customWidth="1"/>
    <col min="11" max="11" width="18" bestFit="1" customWidth="1"/>
    <col min="12" max="12" width="15" bestFit="1" customWidth="1"/>
    <col min="13" max="13" width="14.6640625" bestFit="1" customWidth="1"/>
    <col min="14" max="14" width="23.33203125" bestFit="1" customWidth="1"/>
    <col min="15" max="15" width="44.6640625" bestFit="1" customWidth="1"/>
    <col min="16" max="16" width="27.83203125" bestFit="1" customWidth="1"/>
    <col min="17" max="17" width="26.83203125" bestFit="1" customWidth="1"/>
    <col min="18" max="18" width="42.6640625" bestFit="1" customWidth="1"/>
    <col min="19" max="19" width="54.83203125" bestFit="1" customWidth="1"/>
    <col min="20" max="20" width="40.1640625" bestFit="1" customWidth="1"/>
    <col min="21" max="21" width="44.1640625" bestFit="1" customWidth="1"/>
    <col min="22" max="22" width="54.33203125" bestFit="1" customWidth="1"/>
    <col min="23" max="23" width="39" bestFit="1" customWidth="1"/>
    <col min="24" max="24" width="59.33203125" bestFit="1" customWidth="1"/>
    <col min="25" max="25" width="30.83203125" bestFit="1" customWidth="1"/>
    <col min="26" max="26" width="47.83203125" bestFit="1" customWidth="1"/>
    <col min="27" max="27" width="56.6640625" bestFit="1" customWidth="1"/>
    <col min="28" max="28" width="28.33203125" bestFit="1" customWidth="1"/>
    <col min="29" max="29" width="27" bestFit="1" customWidth="1"/>
    <col min="30" max="30" width="55.83203125" bestFit="1" customWidth="1"/>
    <col min="31" max="31" width="55.1640625" bestFit="1" customWidth="1"/>
    <col min="32" max="32" width="20" bestFit="1" customWidth="1"/>
    <col min="33" max="33" width="37" bestFit="1" customWidth="1"/>
    <col min="34" max="34" width="32.33203125" bestFit="1" customWidth="1"/>
    <col min="35" max="35" width="48.83203125" bestFit="1" customWidth="1"/>
    <col min="36" max="36" width="25.1640625" bestFit="1" customWidth="1"/>
    <col min="37" max="37" width="44.1640625" bestFit="1" customWidth="1"/>
    <col min="38" max="38" width="48.1640625" bestFit="1" customWidth="1"/>
    <col min="39" max="39" width="54" bestFit="1" customWidth="1"/>
    <col min="40" max="40" width="4.6640625" bestFit="1" customWidth="1"/>
    <col min="41" max="41" width="17.83203125" bestFit="1" customWidth="1"/>
    <col min="42" max="42" width="20.83203125" bestFit="1" customWidth="1"/>
    <col min="43" max="43" width="16.83203125" bestFit="1" customWidth="1"/>
    <col min="44" max="44" width="17" bestFit="1" customWidth="1"/>
    <col min="45" max="45" width="20.33203125" bestFit="1" customWidth="1"/>
    <col min="46" max="46" width="17.6640625" bestFit="1" customWidth="1"/>
  </cols>
  <sheetData>
    <row r="1" spans="1:46" s="2" customFormat="1" x14ac:dyDescent="0.2">
      <c r="A1" s="2" t="s">
        <v>0</v>
      </c>
      <c r="B1" s="2" t="s">
        <v>301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294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6" x14ac:dyDescent="0.2">
      <c r="A2" t="s">
        <v>44</v>
      </c>
      <c r="B2" s="4">
        <f>DATE(YEAR(DATEVALUE(LEFT(A2,10))), MONTH(DATEVALUE(LEFT(A2,10))), 1)</f>
        <v>45323</v>
      </c>
      <c r="C2" t="s">
        <v>45</v>
      </c>
      <c r="D2" s="1">
        <v>1.3900462962962963E-2</v>
      </c>
      <c r="E2">
        <v>6</v>
      </c>
      <c r="F2" t="s">
        <v>46</v>
      </c>
      <c r="G2" t="s">
        <v>47</v>
      </c>
      <c r="H2" t="str">
        <f>VLOOKUP(G2, teams!B$2:C$36, 2, 0)</f>
        <v>unidentified</v>
      </c>
      <c r="I2" t="s">
        <v>48</v>
      </c>
      <c r="J2">
        <v>0.88888888888888795</v>
      </c>
      <c r="K2">
        <v>1.5</v>
      </c>
      <c r="L2">
        <v>0.83333333333333304</v>
      </c>
      <c r="M2">
        <v>0.53333333333333299</v>
      </c>
      <c r="N2">
        <v>0.45454545454545398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1</v>
      </c>
      <c r="AK2">
        <v>0</v>
      </c>
      <c r="AL2">
        <v>0</v>
      </c>
      <c r="AM2">
        <v>0</v>
      </c>
      <c r="AN2" t="s">
        <v>49</v>
      </c>
      <c r="AO2">
        <v>0</v>
      </c>
      <c r="AP2">
        <v>2</v>
      </c>
      <c r="AQ2">
        <v>0</v>
      </c>
      <c r="AR2">
        <v>2</v>
      </c>
      <c r="AS2">
        <v>0</v>
      </c>
      <c r="AT2">
        <v>0</v>
      </c>
    </row>
    <row r="3" spans="1:46" x14ac:dyDescent="0.2">
      <c r="A3" t="s">
        <v>50</v>
      </c>
      <c r="B3" s="4">
        <f t="shared" ref="B3:B66" si="0">DATE(YEAR(DATEVALUE(LEFT(A3,10))), MONTH(DATEVALUE(LEFT(A3,10))), 1)</f>
        <v>45323</v>
      </c>
      <c r="C3" t="s">
        <v>51</v>
      </c>
      <c r="D3" s="1">
        <v>1.3912037037037037E-2</v>
      </c>
      <c r="E3">
        <v>6</v>
      </c>
      <c r="F3" t="s">
        <v>46</v>
      </c>
      <c r="G3" t="s">
        <v>52</v>
      </c>
      <c r="H3" t="str">
        <f>VLOOKUP(G3, teams!B$2:C$36, 2, 0)</f>
        <v>Service Desk</v>
      </c>
      <c r="I3" t="s">
        <v>48</v>
      </c>
      <c r="J3">
        <v>0.55555555555555503</v>
      </c>
      <c r="K3">
        <v>1</v>
      </c>
      <c r="L3">
        <v>0.83333333333333304</v>
      </c>
      <c r="M3">
        <v>0.53333333333333299</v>
      </c>
      <c r="N3">
        <v>0.36363636363636298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 t="s">
        <v>49</v>
      </c>
      <c r="AO3">
        <v>0</v>
      </c>
      <c r="AP3">
        <v>2</v>
      </c>
      <c r="AQ3">
        <v>0</v>
      </c>
      <c r="AR3">
        <v>2</v>
      </c>
      <c r="AS3">
        <v>0</v>
      </c>
      <c r="AT3">
        <v>0</v>
      </c>
    </row>
    <row r="4" spans="1:46" x14ac:dyDescent="0.2">
      <c r="A4" t="s">
        <v>53</v>
      </c>
      <c r="B4" s="4">
        <f t="shared" si="0"/>
        <v>45597</v>
      </c>
      <c r="C4" t="s">
        <v>45</v>
      </c>
      <c r="D4" s="1">
        <v>1.5625E-2</v>
      </c>
      <c r="E4">
        <v>3</v>
      </c>
      <c r="F4" t="s">
        <v>54</v>
      </c>
      <c r="G4" t="s">
        <v>55</v>
      </c>
      <c r="H4" t="str">
        <f>VLOOKUP(G4, teams!B$2:C$36, 2, 0)</f>
        <v>unidentified</v>
      </c>
      <c r="I4" t="s">
        <v>56</v>
      </c>
      <c r="J4">
        <v>0.22222222222222199</v>
      </c>
      <c r="K4">
        <v>1</v>
      </c>
      <c r="L4">
        <v>0.66666666666666596</v>
      </c>
      <c r="M4">
        <v>0.33333333333333298</v>
      </c>
      <c r="N4">
        <v>9.0909090909090898E-2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 t="s">
        <v>49</v>
      </c>
      <c r="AO4">
        <v>0</v>
      </c>
      <c r="AP4">
        <v>1</v>
      </c>
      <c r="AQ4">
        <v>2</v>
      </c>
      <c r="AR4">
        <v>0</v>
      </c>
      <c r="AS4">
        <v>0</v>
      </c>
      <c r="AT4">
        <v>0</v>
      </c>
    </row>
    <row r="5" spans="1:46" x14ac:dyDescent="0.2">
      <c r="A5" t="s">
        <v>57</v>
      </c>
      <c r="B5" s="4">
        <f t="shared" si="0"/>
        <v>45597</v>
      </c>
      <c r="C5" t="s">
        <v>45</v>
      </c>
      <c r="D5" s="1">
        <v>9.8263888888888897E-3</v>
      </c>
      <c r="E5">
        <v>3</v>
      </c>
      <c r="F5" t="s">
        <v>54</v>
      </c>
      <c r="G5" t="s">
        <v>55</v>
      </c>
      <c r="H5" t="str">
        <f>VLOOKUP(G5, teams!B$2:C$36, 2, 0)</f>
        <v>unidentified</v>
      </c>
      <c r="I5" t="s">
        <v>56</v>
      </c>
      <c r="J5">
        <v>0.66666666666666596</v>
      </c>
      <c r="K5">
        <v>1</v>
      </c>
      <c r="L5">
        <v>1</v>
      </c>
      <c r="M5">
        <v>0.46666666666666601</v>
      </c>
      <c r="N5">
        <v>0.36363636363636298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 t="s">
        <v>49</v>
      </c>
      <c r="AO5">
        <v>0</v>
      </c>
      <c r="AP5">
        <v>1</v>
      </c>
      <c r="AQ5">
        <v>2</v>
      </c>
      <c r="AR5">
        <v>0</v>
      </c>
      <c r="AS5">
        <v>0</v>
      </c>
      <c r="AT5">
        <v>0</v>
      </c>
    </row>
    <row r="6" spans="1:46" x14ac:dyDescent="0.2">
      <c r="A6" t="s">
        <v>58</v>
      </c>
      <c r="B6" s="4">
        <f t="shared" si="0"/>
        <v>45597</v>
      </c>
      <c r="C6" t="s">
        <v>59</v>
      </c>
      <c r="D6" s="1">
        <v>1.2465277777777778E-2</v>
      </c>
      <c r="E6">
        <v>3</v>
      </c>
      <c r="F6" t="s">
        <v>54</v>
      </c>
      <c r="G6" t="s">
        <v>60</v>
      </c>
      <c r="H6" t="str">
        <f>VLOOKUP(G6, teams!B$2:C$36, 2, 0)</f>
        <v>Service Desk</v>
      </c>
      <c r="I6" t="s">
        <v>56</v>
      </c>
      <c r="J6">
        <v>0.55555555555555503</v>
      </c>
      <c r="K6">
        <v>1</v>
      </c>
      <c r="L6">
        <v>0.66666666666666596</v>
      </c>
      <c r="M6">
        <v>0.46666666666666601</v>
      </c>
      <c r="N6">
        <v>9.0909090909090898E-2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 t="s">
        <v>49</v>
      </c>
      <c r="AO6">
        <v>0</v>
      </c>
      <c r="AP6">
        <v>1</v>
      </c>
      <c r="AQ6">
        <v>2</v>
      </c>
      <c r="AR6">
        <v>0</v>
      </c>
      <c r="AS6">
        <v>0</v>
      </c>
      <c r="AT6">
        <v>0</v>
      </c>
    </row>
    <row r="7" spans="1:46" x14ac:dyDescent="0.2">
      <c r="A7" t="s">
        <v>61</v>
      </c>
      <c r="B7" s="4">
        <f t="shared" si="0"/>
        <v>45597</v>
      </c>
      <c r="C7" t="s">
        <v>45</v>
      </c>
      <c r="D7" s="1">
        <v>1.3900462962962963E-2</v>
      </c>
      <c r="E7">
        <v>3</v>
      </c>
      <c r="F7" t="s">
        <v>54</v>
      </c>
      <c r="G7" t="s">
        <v>62</v>
      </c>
      <c r="H7" t="str">
        <f>VLOOKUP(G7, teams!B$2:C$36, 2, 0)</f>
        <v>Service Desk</v>
      </c>
      <c r="I7" t="s">
        <v>48</v>
      </c>
      <c r="J7">
        <v>0.33333333333333298</v>
      </c>
      <c r="K7">
        <v>0.5</v>
      </c>
      <c r="L7">
        <v>0.83333333333333304</v>
      </c>
      <c r="M7">
        <v>0.6</v>
      </c>
      <c r="N7">
        <v>0.27272727272727199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 t="s">
        <v>49</v>
      </c>
      <c r="AO7">
        <v>0</v>
      </c>
      <c r="AP7">
        <v>1</v>
      </c>
      <c r="AQ7">
        <v>2</v>
      </c>
      <c r="AR7">
        <v>0</v>
      </c>
      <c r="AS7">
        <v>0</v>
      </c>
      <c r="AT7">
        <v>0</v>
      </c>
    </row>
    <row r="8" spans="1:46" x14ac:dyDescent="0.2">
      <c r="A8" t="s">
        <v>61</v>
      </c>
      <c r="B8" s="4">
        <f t="shared" si="0"/>
        <v>45597</v>
      </c>
      <c r="C8" t="s">
        <v>45</v>
      </c>
      <c r="D8" s="1">
        <v>1.3900462962962963E-2</v>
      </c>
      <c r="E8">
        <v>5</v>
      </c>
      <c r="F8" t="s">
        <v>63</v>
      </c>
      <c r="G8" t="s">
        <v>55</v>
      </c>
      <c r="H8" t="str">
        <f>VLOOKUP(G8, teams!B$2:C$36, 2, 0)</f>
        <v>unidentified</v>
      </c>
      <c r="I8" t="s">
        <v>48</v>
      </c>
      <c r="J8">
        <v>0.33333333333333298</v>
      </c>
      <c r="K8">
        <v>1</v>
      </c>
      <c r="L8">
        <v>0.66666666666666596</v>
      </c>
      <c r="M8">
        <v>0.46666666666666601</v>
      </c>
      <c r="N8">
        <v>0.18181818181818099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t="s">
        <v>49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</row>
    <row r="9" spans="1:46" x14ac:dyDescent="0.2">
      <c r="A9" t="s">
        <v>64</v>
      </c>
      <c r="B9" s="4">
        <f t="shared" si="0"/>
        <v>45597</v>
      </c>
      <c r="C9" t="s">
        <v>59</v>
      </c>
      <c r="D9" s="1">
        <v>1.3900462962962963E-2</v>
      </c>
      <c r="E9">
        <v>5</v>
      </c>
      <c r="F9" t="s">
        <v>63</v>
      </c>
      <c r="G9" t="s">
        <v>60</v>
      </c>
      <c r="H9" t="str">
        <f>VLOOKUP(G9, teams!B$2:C$36, 2, 0)</f>
        <v>Service Desk</v>
      </c>
      <c r="I9" t="s">
        <v>48</v>
      </c>
      <c r="J9">
        <v>0.55555555555555503</v>
      </c>
      <c r="K9">
        <v>1.5</v>
      </c>
      <c r="L9">
        <v>0.66666666666666596</v>
      </c>
      <c r="M9">
        <v>0.133333333333333</v>
      </c>
      <c r="N9">
        <v>9.0909090909090898E-2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t="s">
        <v>49</v>
      </c>
      <c r="AO9">
        <v>0</v>
      </c>
      <c r="AP9">
        <v>1</v>
      </c>
      <c r="AQ9">
        <v>1</v>
      </c>
      <c r="AR9">
        <v>0</v>
      </c>
      <c r="AS9">
        <v>0</v>
      </c>
      <c r="AT9">
        <v>0</v>
      </c>
    </row>
    <row r="10" spans="1:46" x14ac:dyDescent="0.2">
      <c r="A10" t="s">
        <v>65</v>
      </c>
      <c r="B10" s="4">
        <f t="shared" si="0"/>
        <v>45597</v>
      </c>
      <c r="C10" t="s">
        <v>45</v>
      </c>
      <c r="D10" s="1">
        <v>1.2789351851851852E-2</v>
      </c>
      <c r="E10">
        <v>7</v>
      </c>
      <c r="F10" t="s">
        <v>66</v>
      </c>
      <c r="G10" t="s">
        <v>62</v>
      </c>
      <c r="H10" t="str">
        <f>VLOOKUP(G10, teams!B$2:C$36, 2, 0)</f>
        <v>Service Desk</v>
      </c>
      <c r="I10" t="s">
        <v>56</v>
      </c>
      <c r="J10">
        <v>0.44444444444444398</v>
      </c>
      <c r="K10">
        <v>1.5</v>
      </c>
      <c r="L10">
        <v>0.5</v>
      </c>
      <c r="M10">
        <v>6.6666666666666596E-2</v>
      </c>
      <c r="N10">
        <v>9.0909090909090898E-2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 t="s">
        <v>49</v>
      </c>
      <c r="AO10">
        <v>0</v>
      </c>
      <c r="AP10">
        <v>2</v>
      </c>
      <c r="AQ10">
        <v>0</v>
      </c>
      <c r="AR10">
        <v>1</v>
      </c>
      <c r="AS10">
        <v>0</v>
      </c>
      <c r="AT10">
        <v>0</v>
      </c>
    </row>
    <row r="11" spans="1:46" x14ac:dyDescent="0.2">
      <c r="A11" t="s">
        <v>65</v>
      </c>
      <c r="B11" s="4">
        <f t="shared" si="0"/>
        <v>45597</v>
      </c>
      <c r="C11" t="s">
        <v>45</v>
      </c>
      <c r="D11" s="1">
        <v>1.3900462962962963E-2</v>
      </c>
      <c r="E11">
        <v>7</v>
      </c>
      <c r="F11" t="s">
        <v>66</v>
      </c>
      <c r="G11" t="s">
        <v>55</v>
      </c>
      <c r="H11" t="str">
        <f>VLOOKUP(G11, teams!B$2:C$36, 2, 0)</f>
        <v>unidentified</v>
      </c>
      <c r="I11" t="s">
        <v>48</v>
      </c>
      <c r="J11">
        <v>0.44444444444444398</v>
      </c>
      <c r="K11">
        <v>1</v>
      </c>
      <c r="L11">
        <v>0.33333333333333298</v>
      </c>
      <c r="M11">
        <v>0.266666666666666</v>
      </c>
      <c r="N11">
        <v>0.27272727272727199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 t="s">
        <v>49</v>
      </c>
      <c r="AO11">
        <v>0</v>
      </c>
      <c r="AP11">
        <v>2</v>
      </c>
      <c r="AQ11">
        <v>0</v>
      </c>
      <c r="AR11">
        <v>1</v>
      </c>
      <c r="AS11">
        <v>0</v>
      </c>
      <c r="AT11">
        <v>0</v>
      </c>
    </row>
    <row r="12" spans="1:46" x14ac:dyDescent="0.2">
      <c r="A12" t="s">
        <v>67</v>
      </c>
      <c r="B12" s="4">
        <f t="shared" si="0"/>
        <v>45627</v>
      </c>
      <c r="C12" t="s">
        <v>59</v>
      </c>
      <c r="D12" s="1">
        <v>1.3460648148148149E-2</v>
      </c>
      <c r="E12">
        <v>3</v>
      </c>
      <c r="F12" t="s">
        <v>54</v>
      </c>
      <c r="G12" t="s">
        <v>68</v>
      </c>
      <c r="H12" t="str">
        <f>VLOOKUP(G12, teams!B$2:C$36, 2, 0)</f>
        <v>unidentified</v>
      </c>
      <c r="I12" t="s">
        <v>56</v>
      </c>
      <c r="J12">
        <v>0.33333333333333298</v>
      </c>
      <c r="K12">
        <v>1</v>
      </c>
      <c r="L12">
        <v>0.5</v>
      </c>
      <c r="M12">
        <v>0.133333333333333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 t="s">
        <v>49</v>
      </c>
      <c r="AO12">
        <v>0</v>
      </c>
      <c r="AP12">
        <v>1</v>
      </c>
      <c r="AQ12">
        <v>2</v>
      </c>
      <c r="AR12">
        <v>0</v>
      </c>
      <c r="AS12">
        <v>0</v>
      </c>
      <c r="AT12">
        <v>0</v>
      </c>
    </row>
    <row r="13" spans="1:46" x14ac:dyDescent="0.2">
      <c r="A13" t="s">
        <v>67</v>
      </c>
      <c r="B13" s="4">
        <f t="shared" si="0"/>
        <v>45627</v>
      </c>
      <c r="C13" t="s">
        <v>59</v>
      </c>
      <c r="D13" s="1">
        <v>1.3900462962962963E-2</v>
      </c>
      <c r="E13">
        <v>5</v>
      </c>
      <c r="F13" t="s">
        <v>63</v>
      </c>
      <c r="G13" t="s">
        <v>60</v>
      </c>
      <c r="H13" t="str">
        <f>VLOOKUP(G13, teams!B$2:C$36, 2, 0)</f>
        <v>Service Desk</v>
      </c>
      <c r="I13" t="s">
        <v>48</v>
      </c>
      <c r="J13">
        <v>0.44444444444444398</v>
      </c>
      <c r="K13">
        <v>1</v>
      </c>
      <c r="L13">
        <v>0.5</v>
      </c>
      <c r="M13">
        <v>0.53333333333333299</v>
      </c>
      <c r="N13">
        <v>0.45454545454545398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t="s">
        <v>49</v>
      </c>
      <c r="AO13">
        <v>0</v>
      </c>
      <c r="AP13">
        <v>1</v>
      </c>
      <c r="AQ13">
        <v>1</v>
      </c>
      <c r="AR13">
        <v>0</v>
      </c>
      <c r="AS13">
        <v>0</v>
      </c>
      <c r="AT13">
        <v>0</v>
      </c>
    </row>
    <row r="14" spans="1:46" x14ac:dyDescent="0.2">
      <c r="A14" t="s">
        <v>69</v>
      </c>
      <c r="B14" s="4">
        <f t="shared" si="0"/>
        <v>45627</v>
      </c>
      <c r="C14" t="s">
        <v>45</v>
      </c>
      <c r="D14" s="1">
        <v>1.2303240740740741E-2</v>
      </c>
      <c r="E14">
        <v>3</v>
      </c>
      <c r="F14" t="s">
        <v>54</v>
      </c>
      <c r="G14" t="s">
        <v>62</v>
      </c>
      <c r="H14" t="str">
        <f>VLOOKUP(G14, teams!B$2:C$36, 2, 0)</f>
        <v>Service Desk</v>
      </c>
      <c r="I14" t="s">
        <v>56</v>
      </c>
      <c r="J14">
        <v>0.44444444444444398</v>
      </c>
      <c r="K14">
        <v>1</v>
      </c>
      <c r="L14">
        <v>0.5</v>
      </c>
      <c r="M14">
        <v>0.46666666666666601</v>
      </c>
      <c r="N14">
        <v>0.27272727272727199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 t="s">
        <v>49</v>
      </c>
      <c r="AO14">
        <v>0</v>
      </c>
      <c r="AP14">
        <v>1</v>
      </c>
      <c r="AQ14">
        <v>2</v>
      </c>
      <c r="AR14">
        <v>0</v>
      </c>
      <c r="AS14">
        <v>0</v>
      </c>
      <c r="AT14">
        <v>0</v>
      </c>
    </row>
    <row r="15" spans="1:46" x14ac:dyDescent="0.2">
      <c r="A15" t="s">
        <v>69</v>
      </c>
      <c r="B15" s="4">
        <f t="shared" si="0"/>
        <v>45627</v>
      </c>
      <c r="C15" t="s">
        <v>45</v>
      </c>
      <c r="D15" s="1">
        <v>1.3900462962962963E-2</v>
      </c>
      <c r="E15">
        <v>6</v>
      </c>
      <c r="F15" t="s">
        <v>46</v>
      </c>
      <c r="G15" t="s">
        <v>55</v>
      </c>
      <c r="H15" t="str">
        <f>VLOOKUP(G15, teams!B$2:C$36, 2, 0)</f>
        <v>unidentified</v>
      </c>
      <c r="I15" t="s">
        <v>48</v>
      </c>
      <c r="J15">
        <v>0.66666666666666596</v>
      </c>
      <c r="K15">
        <v>1</v>
      </c>
      <c r="L15">
        <v>0.83333333333333304</v>
      </c>
      <c r="M15">
        <v>0.6</v>
      </c>
      <c r="N15">
        <v>0.36363636363636298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  <c r="AN15" t="s">
        <v>49</v>
      </c>
      <c r="AO15">
        <v>0</v>
      </c>
      <c r="AP15">
        <v>2</v>
      </c>
      <c r="AQ15">
        <v>0</v>
      </c>
      <c r="AR15">
        <v>2</v>
      </c>
      <c r="AS15">
        <v>0</v>
      </c>
      <c r="AT15">
        <v>0</v>
      </c>
    </row>
    <row r="16" spans="1:46" x14ac:dyDescent="0.2">
      <c r="A16" t="s">
        <v>70</v>
      </c>
      <c r="B16" s="4">
        <f t="shared" si="0"/>
        <v>45627</v>
      </c>
      <c r="C16" t="s">
        <v>59</v>
      </c>
      <c r="D16" s="1">
        <v>1.3900462962962963E-2</v>
      </c>
      <c r="E16">
        <v>5</v>
      </c>
      <c r="F16" t="s">
        <v>63</v>
      </c>
      <c r="G16" t="s">
        <v>68</v>
      </c>
      <c r="H16" t="str">
        <f>VLOOKUP(G16, teams!B$2:C$36, 2, 0)</f>
        <v>unidentified</v>
      </c>
      <c r="I16" t="s">
        <v>48</v>
      </c>
      <c r="J16">
        <v>0.44444444444444398</v>
      </c>
      <c r="K16">
        <v>1.5</v>
      </c>
      <c r="L16">
        <v>0.83333333333333304</v>
      </c>
      <c r="M16">
        <v>0.266666666666666</v>
      </c>
      <c r="N16">
        <v>0.27272727272727199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t="s">
        <v>49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0</v>
      </c>
    </row>
    <row r="17" spans="1:46" x14ac:dyDescent="0.2">
      <c r="A17" t="s">
        <v>71</v>
      </c>
      <c r="B17" s="4">
        <f t="shared" si="0"/>
        <v>45627</v>
      </c>
      <c r="C17" t="s">
        <v>45</v>
      </c>
      <c r="D17" s="1">
        <v>1.3715277777777778E-2</v>
      </c>
      <c r="E17">
        <v>14</v>
      </c>
      <c r="F17" t="s">
        <v>72</v>
      </c>
      <c r="G17" t="s">
        <v>55</v>
      </c>
      <c r="H17" t="str">
        <f>VLOOKUP(G17, teams!B$2:C$36, 2, 0)</f>
        <v>unidentified</v>
      </c>
      <c r="I17" t="s">
        <v>56</v>
      </c>
      <c r="J17">
        <v>0.22222222222222199</v>
      </c>
      <c r="K17">
        <v>1</v>
      </c>
      <c r="L17">
        <v>0.66666666666666596</v>
      </c>
      <c r="M17">
        <v>0.53333333333333299</v>
      </c>
      <c r="N17">
        <v>0.36363636363636298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49</v>
      </c>
      <c r="AO17">
        <v>1</v>
      </c>
      <c r="AP17">
        <v>2</v>
      </c>
      <c r="AQ17">
        <v>1</v>
      </c>
      <c r="AR17">
        <v>1</v>
      </c>
      <c r="AS17">
        <v>2</v>
      </c>
      <c r="AT17">
        <v>1</v>
      </c>
    </row>
    <row r="18" spans="1:46" x14ac:dyDescent="0.2">
      <c r="A18" t="s">
        <v>73</v>
      </c>
      <c r="B18" s="4">
        <f t="shared" si="0"/>
        <v>45627</v>
      </c>
      <c r="C18" t="s">
        <v>59</v>
      </c>
      <c r="D18" s="1">
        <v>1.3912037037037037E-2</v>
      </c>
      <c r="E18">
        <v>7</v>
      </c>
      <c r="F18" t="s">
        <v>66</v>
      </c>
      <c r="G18" t="s">
        <v>68</v>
      </c>
      <c r="H18" t="str">
        <f>VLOOKUP(G18, teams!B$2:C$36, 2, 0)</f>
        <v>unidentified</v>
      </c>
      <c r="I18" t="s">
        <v>48</v>
      </c>
      <c r="J18">
        <v>0.77777777777777701</v>
      </c>
      <c r="K18">
        <v>1</v>
      </c>
      <c r="L18">
        <v>0.33333333333333298</v>
      </c>
      <c r="M18">
        <v>0.46666666666666601</v>
      </c>
      <c r="N18">
        <v>0.54545454545454497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 t="s">
        <v>49</v>
      </c>
      <c r="AO18">
        <v>0</v>
      </c>
      <c r="AP18">
        <v>2</v>
      </c>
      <c r="AQ18">
        <v>0</v>
      </c>
      <c r="AR18">
        <v>1</v>
      </c>
      <c r="AS18">
        <v>0</v>
      </c>
      <c r="AT18">
        <v>0</v>
      </c>
    </row>
    <row r="19" spans="1:46" x14ac:dyDescent="0.2">
      <c r="A19" t="s">
        <v>74</v>
      </c>
      <c r="B19" s="4">
        <f t="shared" si="0"/>
        <v>45627</v>
      </c>
      <c r="C19" t="s">
        <v>45</v>
      </c>
      <c r="D19" s="1">
        <v>1.3912037037037037E-2</v>
      </c>
      <c r="E19">
        <v>16</v>
      </c>
      <c r="F19" t="s">
        <v>75</v>
      </c>
      <c r="G19" t="s">
        <v>55</v>
      </c>
      <c r="H19" t="str">
        <f>VLOOKUP(G19, teams!B$2:C$36, 2, 0)</f>
        <v>unidentified</v>
      </c>
      <c r="I19" t="s">
        <v>48</v>
      </c>
      <c r="J19">
        <v>0.33333333333333298</v>
      </c>
      <c r="K19">
        <v>1</v>
      </c>
      <c r="L19">
        <v>1</v>
      </c>
      <c r="M19">
        <v>0.53333333333333299</v>
      </c>
      <c r="N19">
        <v>0.54545454545454497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t="s">
        <v>49</v>
      </c>
      <c r="AO19">
        <v>0</v>
      </c>
      <c r="AP19">
        <v>1</v>
      </c>
      <c r="AQ19">
        <v>0</v>
      </c>
      <c r="AR19">
        <v>0</v>
      </c>
      <c r="AS19">
        <v>1</v>
      </c>
      <c r="AT19">
        <v>0</v>
      </c>
    </row>
    <row r="20" spans="1:46" x14ac:dyDescent="0.2">
      <c r="A20" t="s">
        <v>76</v>
      </c>
      <c r="B20" s="4">
        <f t="shared" si="0"/>
        <v>45658</v>
      </c>
      <c r="C20" t="s">
        <v>77</v>
      </c>
      <c r="D20" s="1">
        <v>1.1712962962962963E-2</v>
      </c>
      <c r="E20">
        <v>3</v>
      </c>
      <c r="F20" t="s">
        <v>54</v>
      </c>
      <c r="G20" t="s">
        <v>78</v>
      </c>
      <c r="H20" t="str">
        <f>VLOOKUP(G20, teams!B$2:C$36, 2, 0)</f>
        <v>Service Desk</v>
      </c>
      <c r="I20" t="s">
        <v>56</v>
      </c>
      <c r="J20">
        <v>0.33333333333333298</v>
      </c>
      <c r="K20">
        <v>1.5</v>
      </c>
      <c r="L20">
        <v>0.83333333333333304</v>
      </c>
      <c r="M20">
        <v>0.4</v>
      </c>
      <c r="N20">
        <v>9.0909090909090898E-2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 t="s">
        <v>49</v>
      </c>
      <c r="AO20">
        <v>0</v>
      </c>
      <c r="AP20">
        <v>1</v>
      </c>
      <c r="AQ20">
        <v>2</v>
      </c>
      <c r="AR20">
        <v>0</v>
      </c>
      <c r="AS20">
        <v>0</v>
      </c>
      <c r="AT20">
        <v>0</v>
      </c>
    </row>
    <row r="21" spans="1:46" x14ac:dyDescent="0.2">
      <c r="A21" t="s">
        <v>79</v>
      </c>
      <c r="B21" s="4">
        <f t="shared" si="0"/>
        <v>45658</v>
      </c>
      <c r="C21" t="s">
        <v>59</v>
      </c>
      <c r="D21" s="1">
        <v>1.2870370370370371E-2</v>
      </c>
      <c r="E21">
        <v>3</v>
      </c>
      <c r="F21" t="s">
        <v>54</v>
      </c>
      <c r="G21" t="s">
        <v>80</v>
      </c>
      <c r="H21" t="str">
        <f>VLOOKUP(G21, teams!B$2:C$36, 2, 0)</f>
        <v>unidentified</v>
      </c>
      <c r="I21" t="s">
        <v>56</v>
      </c>
      <c r="J21">
        <v>0.66666666666666596</v>
      </c>
      <c r="K21">
        <v>1</v>
      </c>
      <c r="L21">
        <v>0.66666666666666596</v>
      </c>
      <c r="M21">
        <v>0.33333333333333298</v>
      </c>
      <c r="N21">
        <v>0.27272727272727199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 t="s">
        <v>49</v>
      </c>
      <c r="AO21">
        <v>0</v>
      </c>
      <c r="AP21">
        <v>1</v>
      </c>
      <c r="AQ21">
        <v>2</v>
      </c>
      <c r="AR21">
        <v>0</v>
      </c>
      <c r="AS21">
        <v>0</v>
      </c>
      <c r="AT21">
        <v>0</v>
      </c>
    </row>
    <row r="22" spans="1:46" x14ac:dyDescent="0.2">
      <c r="A22" t="s">
        <v>81</v>
      </c>
      <c r="B22" s="4">
        <f t="shared" si="0"/>
        <v>45658</v>
      </c>
      <c r="C22" t="s">
        <v>45</v>
      </c>
      <c r="D22" s="1">
        <v>1.4027777777777778E-2</v>
      </c>
      <c r="E22">
        <v>4</v>
      </c>
      <c r="F22" t="s">
        <v>82</v>
      </c>
      <c r="G22" t="s">
        <v>55</v>
      </c>
      <c r="H22" t="str">
        <f>VLOOKUP(G22, teams!B$2:C$36, 2, 0)</f>
        <v>unidentified</v>
      </c>
      <c r="I22" t="s">
        <v>56</v>
      </c>
      <c r="J22">
        <v>0.33333333333333298</v>
      </c>
      <c r="K22">
        <v>1</v>
      </c>
      <c r="L22">
        <v>1</v>
      </c>
      <c r="M22">
        <v>0.6</v>
      </c>
      <c r="N22">
        <v>0.36363636363636298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49</v>
      </c>
      <c r="AO22">
        <v>1</v>
      </c>
      <c r="AP22">
        <v>4</v>
      </c>
      <c r="AQ22">
        <v>1</v>
      </c>
      <c r="AR22">
        <v>1</v>
      </c>
      <c r="AS22">
        <v>1</v>
      </c>
      <c r="AT22">
        <v>1</v>
      </c>
    </row>
    <row r="23" spans="1:46" x14ac:dyDescent="0.2">
      <c r="A23" t="s">
        <v>83</v>
      </c>
      <c r="B23" s="4">
        <f t="shared" si="0"/>
        <v>45658</v>
      </c>
      <c r="C23" t="s">
        <v>51</v>
      </c>
      <c r="D23" s="1">
        <v>1.0856481481481481E-2</v>
      </c>
      <c r="E23">
        <v>7</v>
      </c>
      <c r="F23" t="s">
        <v>66</v>
      </c>
      <c r="G23" t="s">
        <v>60</v>
      </c>
      <c r="H23" t="str">
        <f>VLOOKUP(G23, teams!B$2:C$36, 2, 0)</f>
        <v>Service Desk</v>
      </c>
      <c r="I23" t="s">
        <v>56</v>
      </c>
      <c r="J23">
        <v>0.66666666666666596</v>
      </c>
      <c r="K23">
        <v>1.5</v>
      </c>
      <c r="L23">
        <v>0.66666666666666596</v>
      </c>
      <c r="M23">
        <v>6.6666666666666596E-2</v>
      </c>
      <c r="N23">
        <v>0.18181818181818099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 t="s">
        <v>49</v>
      </c>
      <c r="AO23">
        <v>0</v>
      </c>
      <c r="AP23">
        <v>2</v>
      </c>
      <c r="AQ23">
        <v>0</v>
      </c>
      <c r="AR23">
        <v>1</v>
      </c>
      <c r="AS23">
        <v>0</v>
      </c>
      <c r="AT23">
        <v>0</v>
      </c>
    </row>
    <row r="24" spans="1:46" x14ac:dyDescent="0.2">
      <c r="A24" t="s">
        <v>84</v>
      </c>
      <c r="B24" s="4">
        <f t="shared" si="0"/>
        <v>45658</v>
      </c>
      <c r="C24" t="s">
        <v>59</v>
      </c>
      <c r="D24" s="1">
        <v>1.3900462962962963E-2</v>
      </c>
      <c r="E24">
        <v>6</v>
      </c>
      <c r="F24" t="s">
        <v>46</v>
      </c>
      <c r="G24" t="s">
        <v>68</v>
      </c>
      <c r="H24" t="str">
        <f>VLOOKUP(G24, teams!B$2:C$36, 2, 0)</f>
        <v>unidentified</v>
      </c>
      <c r="I24" t="s">
        <v>48</v>
      </c>
      <c r="J24">
        <v>0.55555555555555503</v>
      </c>
      <c r="K24">
        <v>1</v>
      </c>
      <c r="L24">
        <v>0.83333333333333304</v>
      </c>
      <c r="M24">
        <v>0.53333333333333299</v>
      </c>
      <c r="N24">
        <v>0.36363636363636298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0</v>
      </c>
      <c r="AN24" t="s">
        <v>49</v>
      </c>
      <c r="AO24">
        <v>0</v>
      </c>
      <c r="AP24">
        <v>2</v>
      </c>
      <c r="AQ24">
        <v>0</v>
      </c>
      <c r="AR24">
        <v>2</v>
      </c>
      <c r="AS24">
        <v>0</v>
      </c>
      <c r="AT24">
        <v>0</v>
      </c>
    </row>
    <row r="25" spans="1:46" x14ac:dyDescent="0.2">
      <c r="A25" t="s">
        <v>84</v>
      </c>
      <c r="B25" s="4">
        <f t="shared" si="0"/>
        <v>45658</v>
      </c>
      <c r="C25" t="s">
        <v>59</v>
      </c>
      <c r="D25" s="1">
        <v>1.3900462962962963E-2</v>
      </c>
      <c r="E25">
        <v>6</v>
      </c>
      <c r="F25" t="s">
        <v>46</v>
      </c>
      <c r="G25" t="s">
        <v>60</v>
      </c>
      <c r="H25" t="str">
        <f>VLOOKUP(G25, teams!B$2:C$36, 2, 0)</f>
        <v>Service Desk</v>
      </c>
      <c r="I25" t="s">
        <v>48</v>
      </c>
      <c r="J25">
        <v>0.33333333333333298</v>
      </c>
      <c r="K25">
        <v>1</v>
      </c>
      <c r="L25">
        <v>0.83333333333333304</v>
      </c>
      <c r="M25">
        <v>0.6</v>
      </c>
      <c r="N25">
        <v>0.36363636363636298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 t="s">
        <v>49</v>
      </c>
      <c r="AO25">
        <v>0</v>
      </c>
      <c r="AP25">
        <v>2</v>
      </c>
      <c r="AQ25">
        <v>0</v>
      </c>
      <c r="AR25">
        <v>2</v>
      </c>
      <c r="AS25">
        <v>0</v>
      </c>
      <c r="AT25">
        <v>0</v>
      </c>
    </row>
    <row r="26" spans="1:46" x14ac:dyDescent="0.2">
      <c r="A26" t="s">
        <v>85</v>
      </c>
      <c r="B26" s="4">
        <f t="shared" si="0"/>
        <v>45658</v>
      </c>
      <c r="C26" t="s">
        <v>45</v>
      </c>
      <c r="D26" s="1">
        <v>1.2418981481481482E-2</v>
      </c>
      <c r="E26">
        <v>5</v>
      </c>
      <c r="F26" t="s">
        <v>63</v>
      </c>
      <c r="G26" t="s">
        <v>62</v>
      </c>
      <c r="H26" t="str">
        <f>VLOOKUP(G26, teams!B$2:C$36, 2, 0)</f>
        <v>Service Desk</v>
      </c>
      <c r="I26" t="s">
        <v>56</v>
      </c>
      <c r="J26">
        <v>0.44444444444444398</v>
      </c>
      <c r="K26">
        <v>1.5</v>
      </c>
      <c r="L26">
        <v>1</v>
      </c>
      <c r="M26">
        <v>0.46666666666666601</v>
      </c>
      <c r="N26">
        <v>0.36363636363636298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49</v>
      </c>
      <c r="AO26">
        <v>0</v>
      </c>
      <c r="AP26">
        <v>1</v>
      </c>
      <c r="AQ26">
        <v>1</v>
      </c>
      <c r="AR26">
        <v>0</v>
      </c>
      <c r="AS26">
        <v>0</v>
      </c>
      <c r="AT26">
        <v>0</v>
      </c>
    </row>
    <row r="27" spans="1:46" x14ac:dyDescent="0.2">
      <c r="A27" t="s">
        <v>86</v>
      </c>
      <c r="B27" s="4">
        <f t="shared" si="0"/>
        <v>45658</v>
      </c>
      <c r="C27" t="s">
        <v>77</v>
      </c>
      <c r="D27" s="1">
        <v>1.3900462962962963E-2</v>
      </c>
      <c r="E27">
        <v>5</v>
      </c>
      <c r="F27" t="s">
        <v>63</v>
      </c>
      <c r="G27" t="s">
        <v>78</v>
      </c>
      <c r="H27" t="str">
        <f>VLOOKUP(G27, teams!B$2:C$36, 2, 0)</f>
        <v>Service Desk</v>
      </c>
      <c r="I27" t="s">
        <v>48</v>
      </c>
      <c r="J27">
        <v>0.55555555555555503</v>
      </c>
      <c r="K27">
        <v>1</v>
      </c>
      <c r="L27">
        <v>0.66666666666666596</v>
      </c>
      <c r="M27">
        <v>0.53333333333333299</v>
      </c>
      <c r="N27">
        <v>0.27272727272727199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s">
        <v>49</v>
      </c>
      <c r="AO27">
        <v>0</v>
      </c>
      <c r="AP27">
        <v>1</v>
      </c>
      <c r="AQ27">
        <v>1</v>
      </c>
      <c r="AR27">
        <v>0</v>
      </c>
      <c r="AS27">
        <v>0</v>
      </c>
      <c r="AT27">
        <v>0</v>
      </c>
    </row>
    <row r="28" spans="1:46" x14ac:dyDescent="0.2">
      <c r="A28" t="s">
        <v>87</v>
      </c>
      <c r="B28" s="4">
        <f t="shared" si="0"/>
        <v>45658</v>
      </c>
      <c r="C28" t="s">
        <v>59</v>
      </c>
      <c r="D28" s="1">
        <v>1.3981481481481482E-2</v>
      </c>
      <c r="E28">
        <v>14</v>
      </c>
      <c r="F28" t="s">
        <v>72</v>
      </c>
      <c r="G28" t="s">
        <v>68</v>
      </c>
      <c r="H28" t="str">
        <f>VLOOKUP(G28, teams!B$2:C$36, 2, 0)</f>
        <v>unidentified</v>
      </c>
      <c r="I28" t="s">
        <v>56</v>
      </c>
      <c r="J28">
        <v>0.33333333333333298</v>
      </c>
      <c r="K28">
        <v>0.5</v>
      </c>
      <c r="L28">
        <v>0.5</v>
      </c>
      <c r="M28">
        <v>0.46666666666666601</v>
      </c>
      <c r="N28">
        <v>0.27272727272727199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49</v>
      </c>
      <c r="AO28">
        <v>1</v>
      </c>
      <c r="AP28">
        <v>2</v>
      </c>
      <c r="AQ28">
        <v>1</v>
      </c>
      <c r="AR28">
        <v>1</v>
      </c>
      <c r="AS28">
        <v>2</v>
      </c>
      <c r="AT28">
        <v>1</v>
      </c>
    </row>
    <row r="29" spans="1:46" x14ac:dyDescent="0.2">
      <c r="A29" t="s">
        <v>88</v>
      </c>
      <c r="B29" s="4">
        <f t="shared" si="0"/>
        <v>45658</v>
      </c>
      <c r="C29" t="s">
        <v>45</v>
      </c>
      <c r="D29" s="1">
        <v>1.3900462962962963E-2</v>
      </c>
      <c r="E29">
        <v>6</v>
      </c>
      <c r="F29" t="s">
        <v>46</v>
      </c>
      <c r="G29" t="s">
        <v>62</v>
      </c>
      <c r="H29" t="str">
        <f>VLOOKUP(G29, teams!B$2:C$36, 2, 0)</f>
        <v>Service Desk</v>
      </c>
      <c r="I29" t="s">
        <v>48</v>
      </c>
      <c r="J29">
        <v>0.44444444444444398</v>
      </c>
      <c r="K29">
        <v>1</v>
      </c>
      <c r="L29">
        <v>0.5</v>
      </c>
      <c r="M29">
        <v>0.4</v>
      </c>
      <c r="N29">
        <v>0.36363636363636298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  <c r="AN29" t="s">
        <v>49</v>
      </c>
      <c r="AO29">
        <v>0</v>
      </c>
      <c r="AP29">
        <v>2</v>
      </c>
      <c r="AQ29">
        <v>0</v>
      </c>
      <c r="AR29">
        <v>2</v>
      </c>
      <c r="AS29">
        <v>0</v>
      </c>
      <c r="AT29">
        <v>0</v>
      </c>
    </row>
    <row r="30" spans="1:46" x14ac:dyDescent="0.2">
      <c r="A30" t="s">
        <v>88</v>
      </c>
      <c r="B30" s="4">
        <f t="shared" si="0"/>
        <v>45658</v>
      </c>
      <c r="C30" t="s">
        <v>45</v>
      </c>
      <c r="D30" s="1">
        <v>1.7384259259259259E-2</v>
      </c>
      <c r="E30">
        <v>8</v>
      </c>
      <c r="F30" t="s">
        <v>89</v>
      </c>
      <c r="G30" t="s">
        <v>55</v>
      </c>
      <c r="H30" t="str">
        <f>VLOOKUP(G30, teams!B$2:C$36, 2, 0)</f>
        <v>unidentified</v>
      </c>
      <c r="I30" t="s">
        <v>48</v>
      </c>
      <c r="J30">
        <v>0.55555555555555503</v>
      </c>
      <c r="K30">
        <v>1</v>
      </c>
      <c r="L30">
        <v>1</v>
      </c>
      <c r="M30">
        <v>0.53333333333333299</v>
      </c>
      <c r="N30">
        <v>0.54545454545454497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 t="s">
        <v>49</v>
      </c>
      <c r="AO30">
        <v>0</v>
      </c>
      <c r="AP30">
        <v>1</v>
      </c>
      <c r="AQ30">
        <v>2</v>
      </c>
      <c r="AR30">
        <v>0</v>
      </c>
      <c r="AS30">
        <v>0</v>
      </c>
      <c r="AT30">
        <v>1</v>
      </c>
    </row>
    <row r="31" spans="1:46" x14ac:dyDescent="0.2">
      <c r="A31" t="s">
        <v>90</v>
      </c>
      <c r="B31" s="4">
        <f t="shared" si="0"/>
        <v>45658</v>
      </c>
      <c r="C31" t="s">
        <v>91</v>
      </c>
      <c r="D31" s="1">
        <v>1.1261574074074075E-2</v>
      </c>
      <c r="E31">
        <v>3</v>
      </c>
      <c r="F31" t="s">
        <v>54</v>
      </c>
      <c r="G31" t="s">
        <v>92</v>
      </c>
      <c r="H31" t="str">
        <f>VLOOKUP(G31, teams!B$2:C$36, 2, 0)</f>
        <v>unidentified</v>
      </c>
      <c r="I31" t="s">
        <v>56</v>
      </c>
      <c r="J31">
        <v>0.44444444444444398</v>
      </c>
      <c r="K31">
        <v>1</v>
      </c>
      <c r="L31">
        <v>0.66666666666666596</v>
      </c>
      <c r="M31">
        <v>0.53333333333333299</v>
      </c>
      <c r="N31">
        <v>0.27272727272727199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 t="s">
        <v>49</v>
      </c>
      <c r="AO31">
        <v>0</v>
      </c>
      <c r="AP31">
        <v>1</v>
      </c>
      <c r="AQ31">
        <v>2</v>
      </c>
      <c r="AR31">
        <v>0</v>
      </c>
      <c r="AS31">
        <v>0</v>
      </c>
      <c r="AT31">
        <v>0</v>
      </c>
    </row>
    <row r="32" spans="1:46" x14ac:dyDescent="0.2">
      <c r="A32" t="s">
        <v>93</v>
      </c>
      <c r="B32" s="4">
        <f t="shared" si="0"/>
        <v>45658</v>
      </c>
      <c r="C32" t="s">
        <v>59</v>
      </c>
      <c r="D32" s="1">
        <v>7.7199074074074071E-3</v>
      </c>
      <c r="E32">
        <v>7</v>
      </c>
      <c r="F32" t="s">
        <v>66</v>
      </c>
      <c r="G32" t="s">
        <v>78</v>
      </c>
      <c r="H32" t="str">
        <f>VLOOKUP(G32, teams!B$2:C$36, 2, 0)</f>
        <v>Service Desk</v>
      </c>
      <c r="I32" t="s">
        <v>56</v>
      </c>
      <c r="J32">
        <v>0.77777777777777701</v>
      </c>
      <c r="K32">
        <v>1.5</v>
      </c>
      <c r="L32">
        <v>0.66666666666666596</v>
      </c>
      <c r="M32">
        <v>0.266666666666666</v>
      </c>
      <c r="N32">
        <v>0.27272727272727199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 t="s">
        <v>49</v>
      </c>
      <c r="AO32">
        <v>0</v>
      </c>
      <c r="AP32">
        <v>2</v>
      </c>
      <c r="AQ32">
        <v>0</v>
      </c>
      <c r="AR32">
        <v>1</v>
      </c>
      <c r="AS32">
        <v>0</v>
      </c>
      <c r="AT32">
        <v>0</v>
      </c>
    </row>
    <row r="33" spans="1:46" x14ac:dyDescent="0.2">
      <c r="A33" t="s">
        <v>93</v>
      </c>
      <c r="B33" s="4">
        <f t="shared" si="0"/>
        <v>45658</v>
      </c>
      <c r="C33" t="s">
        <v>59</v>
      </c>
      <c r="D33" s="1">
        <v>1.3900462962962963E-2</v>
      </c>
      <c r="E33">
        <v>5</v>
      </c>
      <c r="F33" t="s">
        <v>63</v>
      </c>
      <c r="G33" t="s">
        <v>80</v>
      </c>
      <c r="H33" t="str">
        <f>VLOOKUP(G33, teams!B$2:C$36, 2, 0)</f>
        <v>unidentified</v>
      </c>
      <c r="I33" t="s">
        <v>48</v>
      </c>
      <c r="J33">
        <v>0.55555555555555503</v>
      </c>
      <c r="K33">
        <v>1</v>
      </c>
      <c r="L33">
        <v>0.5</v>
      </c>
      <c r="M33">
        <v>0.266666666666666</v>
      </c>
      <c r="N33">
        <v>0.45454545454545398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t="s">
        <v>49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</row>
    <row r="34" spans="1:46" x14ac:dyDescent="0.2">
      <c r="A34" t="s">
        <v>94</v>
      </c>
      <c r="B34" s="4">
        <f t="shared" si="0"/>
        <v>45658</v>
      </c>
      <c r="C34" t="s">
        <v>45</v>
      </c>
      <c r="D34" s="1">
        <v>1.2615740740740742E-2</v>
      </c>
      <c r="E34">
        <v>3</v>
      </c>
      <c r="F34" t="s">
        <v>54</v>
      </c>
      <c r="G34" t="s">
        <v>95</v>
      </c>
      <c r="H34" t="str">
        <f>VLOOKUP(G34, teams!B$2:C$36, 2, 0)</f>
        <v>unidentified</v>
      </c>
      <c r="I34" t="s">
        <v>56</v>
      </c>
      <c r="J34">
        <v>0.55555555555555503</v>
      </c>
      <c r="K34">
        <v>1</v>
      </c>
      <c r="L34">
        <v>0.66666666666666596</v>
      </c>
      <c r="M34">
        <v>0.33333333333333298</v>
      </c>
      <c r="N34">
        <v>9.0909090909090898E-2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 t="s">
        <v>49</v>
      </c>
      <c r="AO34">
        <v>0</v>
      </c>
      <c r="AP34">
        <v>1</v>
      </c>
      <c r="AQ34">
        <v>2</v>
      </c>
      <c r="AR34">
        <v>0</v>
      </c>
      <c r="AS34">
        <v>0</v>
      </c>
      <c r="AT34">
        <v>0</v>
      </c>
    </row>
    <row r="35" spans="1:46" x14ac:dyDescent="0.2">
      <c r="A35" t="s">
        <v>96</v>
      </c>
      <c r="B35" s="4">
        <f t="shared" si="0"/>
        <v>45658</v>
      </c>
      <c r="C35" t="s">
        <v>91</v>
      </c>
      <c r="D35" s="1">
        <v>1.050925925925926E-2</v>
      </c>
      <c r="E35">
        <v>3</v>
      </c>
      <c r="F35" t="s">
        <v>54</v>
      </c>
      <c r="G35" t="s">
        <v>97</v>
      </c>
      <c r="H35" t="str">
        <f>VLOOKUP(G35, teams!B$2:C$36, 2, 0)</f>
        <v>Tech</v>
      </c>
      <c r="I35" t="s">
        <v>56</v>
      </c>
      <c r="J35">
        <v>0.44444444444444398</v>
      </c>
      <c r="K35">
        <v>1.5</v>
      </c>
      <c r="L35">
        <v>0.83333333333333304</v>
      </c>
      <c r="M35">
        <v>0.53333333333333299</v>
      </c>
      <c r="N35">
        <v>0.36363636363636298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 t="s">
        <v>49</v>
      </c>
      <c r="AO35">
        <v>0</v>
      </c>
      <c r="AP35">
        <v>1</v>
      </c>
      <c r="AQ35">
        <v>2</v>
      </c>
      <c r="AR35">
        <v>0</v>
      </c>
      <c r="AS35">
        <v>0</v>
      </c>
      <c r="AT35">
        <v>0</v>
      </c>
    </row>
    <row r="36" spans="1:46" x14ac:dyDescent="0.2">
      <c r="A36" t="s">
        <v>96</v>
      </c>
      <c r="B36" s="4">
        <f t="shared" si="0"/>
        <v>45658</v>
      </c>
      <c r="C36" t="s">
        <v>91</v>
      </c>
      <c r="D36" s="1">
        <v>1.0775462962962962E-2</v>
      </c>
      <c r="E36">
        <v>5</v>
      </c>
      <c r="F36" t="s">
        <v>63</v>
      </c>
      <c r="G36" t="s">
        <v>92</v>
      </c>
      <c r="H36" t="str">
        <f>VLOOKUP(G36, teams!B$2:C$36, 2, 0)</f>
        <v>unidentified</v>
      </c>
      <c r="I36" t="s">
        <v>56</v>
      </c>
      <c r="J36">
        <v>0.66666666666666596</v>
      </c>
      <c r="K36">
        <v>1</v>
      </c>
      <c r="L36">
        <v>0.83333333333333304</v>
      </c>
      <c r="M36">
        <v>0.53333333333333299</v>
      </c>
      <c r="N36">
        <v>0.36363636363636298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t="s">
        <v>49</v>
      </c>
      <c r="AO36">
        <v>0</v>
      </c>
      <c r="AP36">
        <v>1</v>
      </c>
      <c r="AQ36">
        <v>1</v>
      </c>
      <c r="AR36">
        <v>0</v>
      </c>
      <c r="AS36">
        <v>0</v>
      </c>
      <c r="AT36">
        <v>0</v>
      </c>
    </row>
    <row r="37" spans="1:46" x14ac:dyDescent="0.2">
      <c r="A37" t="s">
        <v>98</v>
      </c>
      <c r="B37" s="4">
        <f t="shared" si="0"/>
        <v>45689</v>
      </c>
      <c r="C37" t="s">
        <v>51</v>
      </c>
      <c r="D37" s="1">
        <v>1.050925925925926E-2</v>
      </c>
      <c r="E37">
        <v>3</v>
      </c>
      <c r="F37" t="s">
        <v>54</v>
      </c>
      <c r="G37" t="s">
        <v>99</v>
      </c>
      <c r="H37" t="str">
        <f>VLOOKUP(G37, teams!B$2:C$36, 2, 0)</f>
        <v>Service Desk</v>
      </c>
      <c r="I37" t="s">
        <v>56</v>
      </c>
      <c r="J37">
        <v>0.33333333333333298</v>
      </c>
      <c r="K37">
        <v>1</v>
      </c>
      <c r="L37">
        <v>0.83333333333333304</v>
      </c>
      <c r="M37">
        <v>0.33333333333333298</v>
      </c>
      <c r="N37">
        <v>9.0909090909090898E-2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 t="s">
        <v>49</v>
      </c>
      <c r="AO37">
        <v>0</v>
      </c>
      <c r="AP37">
        <v>1</v>
      </c>
      <c r="AQ37">
        <v>2</v>
      </c>
      <c r="AR37">
        <v>0</v>
      </c>
      <c r="AS37">
        <v>0</v>
      </c>
      <c r="AT37">
        <v>0</v>
      </c>
    </row>
    <row r="38" spans="1:46" x14ac:dyDescent="0.2">
      <c r="A38" t="s">
        <v>100</v>
      </c>
      <c r="B38" s="4">
        <f t="shared" si="0"/>
        <v>45689</v>
      </c>
      <c r="C38" t="s">
        <v>77</v>
      </c>
      <c r="D38" s="1">
        <v>1.3726851851851851E-2</v>
      </c>
      <c r="E38">
        <v>5</v>
      </c>
      <c r="F38" t="s">
        <v>63</v>
      </c>
      <c r="G38" t="s">
        <v>97</v>
      </c>
      <c r="H38" t="str">
        <f>VLOOKUP(G38, teams!B$2:C$36, 2, 0)</f>
        <v>Tech</v>
      </c>
      <c r="I38" t="s">
        <v>56</v>
      </c>
      <c r="J38">
        <v>0.66666666666666596</v>
      </c>
      <c r="K38">
        <v>1</v>
      </c>
      <c r="L38">
        <v>0.5</v>
      </c>
      <c r="M38">
        <v>0.6</v>
      </c>
      <c r="N38">
        <v>0.36363636363636298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49</v>
      </c>
      <c r="AO38">
        <v>0</v>
      </c>
      <c r="AP38">
        <v>1</v>
      </c>
      <c r="AQ38">
        <v>1</v>
      </c>
      <c r="AR38">
        <v>0</v>
      </c>
      <c r="AS38">
        <v>0</v>
      </c>
      <c r="AT38">
        <v>0</v>
      </c>
    </row>
    <row r="39" spans="1:46" x14ac:dyDescent="0.2">
      <c r="A39" t="s">
        <v>101</v>
      </c>
      <c r="B39" s="4">
        <f t="shared" si="0"/>
        <v>45689</v>
      </c>
      <c r="C39" t="s">
        <v>59</v>
      </c>
      <c r="D39" s="1">
        <v>1.3912037037037037E-2</v>
      </c>
      <c r="E39">
        <v>7</v>
      </c>
      <c r="F39" t="s">
        <v>66</v>
      </c>
      <c r="G39" t="s">
        <v>80</v>
      </c>
      <c r="H39" t="str">
        <f>VLOOKUP(G39, teams!B$2:C$36, 2, 0)</f>
        <v>unidentified</v>
      </c>
      <c r="I39" t="s">
        <v>48</v>
      </c>
      <c r="J39">
        <v>0.88888888888888795</v>
      </c>
      <c r="K39">
        <v>0.5</v>
      </c>
      <c r="L39">
        <v>0.33333333333333298</v>
      </c>
      <c r="M39">
        <v>0.2</v>
      </c>
      <c r="N39">
        <v>0.18181818181818099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 t="s">
        <v>49</v>
      </c>
      <c r="AO39">
        <v>0</v>
      </c>
      <c r="AP39">
        <v>2</v>
      </c>
      <c r="AQ39">
        <v>0</v>
      </c>
      <c r="AR39">
        <v>1</v>
      </c>
      <c r="AS39">
        <v>0</v>
      </c>
      <c r="AT39">
        <v>0</v>
      </c>
    </row>
    <row r="40" spans="1:46" x14ac:dyDescent="0.2">
      <c r="A40" t="s">
        <v>102</v>
      </c>
      <c r="B40" s="4">
        <f t="shared" si="0"/>
        <v>45689</v>
      </c>
      <c r="C40" t="s">
        <v>45</v>
      </c>
      <c r="D40" s="1">
        <v>1.019675925925926E-2</v>
      </c>
      <c r="E40">
        <v>3</v>
      </c>
      <c r="F40" t="s">
        <v>54</v>
      </c>
      <c r="G40" t="s">
        <v>103</v>
      </c>
      <c r="H40" t="str">
        <f>VLOOKUP(G40, teams!B$2:C$36, 2, 0)</f>
        <v>Tech</v>
      </c>
      <c r="I40" t="s">
        <v>56</v>
      </c>
      <c r="J40">
        <v>0.88888888888888795</v>
      </c>
      <c r="K40">
        <v>0.5</v>
      </c>
      <c r="L40">
        <v>1</v>
      </c>
      <c r="M40">
        <v>0.53333333333333299</v>
      </c>
      <c r="N40">
        <v>0.36363636363636298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 t="s">
        <v>49</v>
      </c>
      <c r="AO40">
        <v>0</v>
      </c>
      <c r="AP40">
        <v>1</v>
      </c>
      <c r="AQ40">
        <v>2</v>
      </c>
      <c r="AR40">
        <v>0</v>
      </c>
      <c r="AS40">
        <v>0</v>
      </c>
      <c r="AT40">
        <v>0</v>
      </c>
    </row>
    <row r="41" spans="1:46" x14ac:dyDescent="0.2">
      <c r="A41" t="s">
        <v>104</v>
      </c>
      <c r="B41" s="4">
        <f t="shared" si="0"/>
        <v>45689</v>
      </c>
      <c r="C41" t="s">
        <v>91</v>
      </c>
      <c r="D41" s="1">
        <v>8.2175925925925923E-3</v>
      </c>
      <c r="E41">
        <v>7</v>
      </c>
      <c r="F41" t="s">
        <v>66</v>
      </c>
      <c r="G41" t="s">
        <v>92</v>
      </c>
      <c r="H41" t="str">
        <f>VLOOKUP(G41, teams!B$2:C$36, 2, 0)</f>
        <v>unidentified</v>
      </c>
      <c r="I41" t="s">
        <v>56</v>
      </c>
      <c r="J41">
        <v>0.55555555555555503</v>
      </c>
      <c r="K41">
        <v>1</v>
      </c>
      <c r="L41">
        <v>0.83333333333333304</v>
      </c>
      <c r="M41">
        <v>0.33333333333333298</v>
      </c>
      <c r="N41">
        <v>0.36363636363636298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 t="s">
        <v>49</v>
      </c>
      <c r="AO41">
        <v>0</v>
      </c>
      <c r="AP41">
        <v>2</v>
      </c>
      <c r="AQ41">
        <v>0</v>
      </c>
      <c r="AR41">
        <v>1</v>
      </c>
      <c r="AS41">
        <v>0</v>
      </c>
      <c r="AT41">
        <v>0</v>
      </c>
    </row>
    <row r="42" spans="1:46" x14ac:dyDescent="0.2">
      <c r="A42" t="s">
        <v>105</v>
      </c>
      <c r="B42" s="4">
        <f t="shared" si="0"/>
        <v>45689</v>
      </c>
      <c r="C42" t="s">
        <v>51</v>
      </c>
      <c r="D42" s="1">
        <v>1.3912037037037037E-2</v>
      </c>
      <c r="E42">
        <v>3</v>
      </c>
      <c r="F42" t="s">
        <v>54</v>
      </c>
      <c r="G42" t="s">
        <v>106</v>
      </c>
      <c r="H42" t="str">
        <f>VLOOKUP(G42, teams!B$2:C$36, 2, 0)</f>
        <v>Service Desk</v>
      </c>
      <c r="I42" t="s">
        <v>48</v>
      </c>
      <c r="J42">
        <v>0.55555555555555503</v>
      </c>
      <c r="K42">
        <v>1.5</v>
      </c>
      <c r="L42">
        <v>0.5</v>
      </c>
      <c r="M42">
        <v>0.266666666666666</v>
      </c>
      <c r="N42">
        <v>9.0909090909090898E-2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 t="s">
        <v>49</v>
      </c>
      <c r="AO42">
        <v>0</v>
      </c>
      <c r="AP42">
        <v>1</v>
      </c>
      <c r="AQ42">
        <v>2</v>
      </c>
      <c r="AR42">
        <v>0</v>
      </c>
      <c r="AS42">
        <v>0</v>
      </c>
      <c r="AT42">
        <v>0</v>
      </c>
    </row>
    <row r="43" spans="1:46" x14ac:dyDescent="0.2">
      <c r="A43" t="s">
        <v>107</v>
      </c>
      <c r="B43" s="4">
        <f t="shared" si="0"/>
        <v>45689</v>
      </c>
      <c r="C43" t="s">
        <v>77</v>
      </c>
      <c r="D43" s="1">
        <v>1.3854166666666667E-2</v>
      </c>
      <c r="E43">
        <v>6</v>
      </c>
      <c r="F43" t="s">
        <v>46</v>
      </c>
      <c r="G43" t="s">
        <v>97</v>
      </c>
      <c r="H43" t="str">
        <f>VLOOKUP(G43, teams!B$2:C$36, 2, 0)</f>
        <v>Tech</v>
      </c>
      <c r="I43" t="s">
        <v>56</v>
      </c>
      <c r="J43">
        <v>0.66666666666666596</v>
      </c>
      <c r="K43">
        <v>1</v>
      </c>
      <c r="L43">
        <v>0.66666666666666596</v>
      </c>
      <c r="M43">
        <v>0.6</v>
      </c>
      <c r="N43">
        <v>0.36363636363636298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0</v>
      </c>
      <c r="AN43" t="s">
        <v>49</v>
      </c>
      <c r="AO43">
        <v>0</v>
      </c>
      <c r="AP43">
        <v>2</v>
      </c>
      <c r="AQ43">
        <v>0</v>
      </c>
      <c r="AR43">
        <v>2</v>
      </c>
      <c r="AS43">
        <v>0</v>
      </c>
      <c r="AT43">
        <v>0</v>
      </c>
    </row>
    <row r="44" spans="1:46" x14ac:dyDescent="0.2">
      <c r="A44" t="s">
        <v>108</v>
      </c>
      <c r="B44" s="4">
        <f t="shared" si="0"/>
        <v>45689</v>
      </c>
      <c r="C44" t="s">
        <v>59</v>
      </c>
      <c r="D44" s="1">
        <v>1.3900462962962963E-2</v>
      </c>
      <c r="E44">
        <v>6</v>
      </c>
      <c r="F44" t="s">
        <v>46</v>
      </c>
      <c r="G44" t="s">
        <v>80</v>
      </c>
      <c r="H44" t="str">
        <f>VLOOKUP(G44, teams!B$2:C$36, 2, 0)</f>
        <v>unidentified</v>
      </c>
      <c r="I44" t="s">
        <v>48</v>
      </c>
      <c r="J44">
        <v>0.66666666666666596</v>
      </c>
      <c r="K44">
        <v>1</v>
      </c>
      <c r="L44">
        <v>0.66666666666666596</v>
      </c>
      <c r="M44">
        <v>0.4</v>
      </c>
      <c r="N44">
        <v>0.36363636363636298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1</v>
      </c>
      <c r="AK44">
        <v>0</v>
      </c>
      <c r="AL44">
        <v>0</v>
      </c>
      <c r="AM44">
        <v>0</v>
      </c>
      <c r="AN44" t="s">
        <v>49</v>
      </c>
      <c r="AO44">
        <v>0</v>
      </c>
      <c r="AP44">
        <v>2</v>
      </c>
      <c r="AQ44">
        <v>0</v>
      </c>
      <c r="AR44">
        <v>2</v>
      </c>
      <c r="AS44">
        <v>0</v>
      </c>
      <c r="AT44">
        <v>0</v>
      </c>
    </row>
    <row r="45" spans="1:46" x14ac:dyDescent="0.2">
      <c r="A45" t="s">
        <v>108</v>
      </c>
      <c r="B45" s="4">
        <f t="shared" si="0"/>
        <v>45689</v>
      </c>
      <c r="C45" t="s">
        <v>59</v>
      </c>
      <c r="D45" s="1">
        <v>1.3912037037037037E-2</v>
      </c>
      <c r="E45">
        <v>16</v>
      </c>
      <c r="F45" t="s">
        <v>75</v>
      </c>
      <c r="G45" t="s">
        <v>60</v>
      </c>
      <c r="H45" t="str">
        <f>VLOOKUP(G45, teams!B$2:C$36, 2, 0)</f>
        <v>Service Desk</v>
      </c>
      <c r="I45" t="s">
        <v>48</v>
      </c>
      <c r="J45">
        <v>0.44444444444444398</v>
      </c>
      <c r="K45">
        <v>1.5</v>
      </c>
      <c r="L45">
        <v>0.83333333333333304</v>
      </c>
      <c r="M45">
        <v>0.4</v>
      </c>
      <c r="N45">
        <v>0.45454545454545398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49</v>
      </c>
      <c r="AO45">
        <v>0</v>
      </c>
      <c r="AP45">
        <v>1</v>
      </c>
      <c r="AQ45">
        <v>0</v>
      </c>
      <c r="AR45">
        <v>0</v>
      </c>
      <c r="AS45">
        <v>1</v>
      </c>
      <c r="AT45">
        <v>0</v>
      </c>
    </row>
    <row r="46" spans="1:46" x14ac:dyDescent="0.2">
      <c r="A46" t="s">
        <v>109</v>
      </c>
      <c r="B46" s="4">
        <f t="shared" si="0"/>
        <v>45689</v>
      </c>
      <c r="C46" t="s">
        <v>45</v>
      </c>
      <c r="D46" s="1">
        <v>7.1759259259259259E-3</v>
      </c>
      <c r="E46">
        <v>7</v>
      </c>
      <c r="F46" t="s">
        <v>66</v>
      </c>
      <c r="G46" t="s">
        <v>95</v>
      </c>
      <c r="H46" t="str">
        <f>VLOOKUP(G46, teams!B$2:C$36, 2, 0)</f>
        <v>unidentified</v>
      </c>
      <c r="I46" t="s">
        <v>56</v>
      </c>
      <c r="J46">
        <v>0.33333333333333298</v>
      </c>
      <c r="K46">
        <v>0.5</v>
      </c>
      <c r="L46">
        <v>0.5</v>
      </c>
      <c r="M46">
        <v>0.2</v>
      </c>
      <c r="N46">
        <v>9.0909090909090898E-2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 t="s">
        <v>49</v>
      </c>
      <c r="AO46">
        <v>0</v>
      </c>
      <c r="AP46">
        <v>2</v>
      </c>
      <c r="AQ46">
        <v>0</v>
      </c>
      <c r="AR46">
        <v>1</v>
      </c>
      <c r="AS46">
        <v>0</v>
      </c>
      <c r="AT46">
        <v>0</v>
      </c>
    </row>
    <row r="47" spans="1:46" x14ac:dyDescent="0.2">
      <c r="A47" t="s">
        <v>109</v>
      </c>
      <c r="B47" s="4">
        <f t="shared" si="0"/>
        <v>45689</v>
      </c>
      <c r="C47" t="s">
        <v>45</v>
      </c>
      <c r="D47" s="1">
        <v>1.3912037037037037E-2</v>
      </c>
      <c r="E47">
        <v>14</v>
      </c>
      <c r="F47" t="s">
        <v>72</v>
      </c>
      <c r="G47" t="s">
        <v>62</v>
      </c>
      <c r="H47" t="str">
        <f>VLOOKUP(G47, teams!B$2:C$36, 2, 0)</f>
        <v>Service Desk</v>
      </c>
      <c r="I47" t="s">
        <v>48</v>
      </c>
      <c r="J47">
        <v>0.33333333333333298</v>
      </c>
      <c r="K47">
        <v>1</v>
      </c>
      <c r="L47">
        <v>0.66666666666666596</v>
      </c>
      <c r="M47">
        <v>0.6</v>
      </c>
      <c r="N47">
        <v>0.27272727272727199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49</v>
      </c>
      <c r="AO47">
        <v>1</v>
      </c>
      <c r="AP47">
        <v>2</v>
      </c>
      <c r="AQ47">
        <v>1</v>
      </c>
      <c r="AR47">
        <v>1</v>
      </c>
      <c r="AS47">
        <v>2</v>
      </c>
      <c r="AT47">
        <v>1</v>
      </c>
    </row>
    <row r="48" spans="1:46" x14ac:dyDescent="0.2">
      <c r="A48" t="s">
        <v>109</v>
      </c>
      <c r="B48" s="4">
        <f t="shared" si="0"/>
        <v>45689</v>
      </c>
      <c r="C48" t="s">
        <v>45</v>
      </c>
      <c r="D48" s="1">
        <v>1.2986111111111111E-2</v>
      </c>
      <c r="E48">
        <v>5</v>
      </c>
      <c r="F48" t="s">
        <v>63</v>
      </c>
      <c r="G48" t="s">
        <v>103</v>
      </c>
      <c r="H48" t="str">
        <f>VLOOKUP(G48, teams!B$2:C$36, 2, 0)</f>
        <v>Tech</v>
      </c>
      <c r="I48" t="s">
        <v>56</v>
      </c>
      <c r="J48">
        <v>0.55555555555555503</v>
      </c>
      <c r="K48">
        <v>1</v>
      </c>
      <c r="L48">
        <v>0.66666666666666596</v>
      </c>
      <c r="M48">
        <v>0.46666666666666601</v>
      </c>
      <c r="N48">
        <v>0.27272727272727199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49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</row>
    <row r="49" spans="1:46" x14ac:dyDescent="0.2">
      <c r="A49" t="s">
        <v>110</v>
      </c>
      <c r="B49" s="4">
        <f t="shared" si="0"/>
        <v>45689</v>
      </c>
      <c r="C49" t="s">
        <v>51</v>
      </c>
      <c r="D49" s="1">
        <v>1.3912037037037037E-2</v>
      </c>
      <c r="E49">
        <v>5</v>
      </c>
      <c r="F49" t="s">
        <v>63</v>
      </c>
      <c r="G49" t="s">
        <v>106</v>
      </c>
      <c r="H49" t="str">
        <f>VLOOKUP(G49, teams!B$2:C$36, 2, 0)</f>
        <v>Service Desk</v>
      </c>
      <c r="I49" t="s">
        <v>48</v>
      </c>
      <c r="J49">
        <v>0.33333333333333298</v>
      </c>
      <c r="K49">
        <v>1.5</v>
      </c>
      <c r="L49">
        <v>0.5</v>
      </c>
      <c r="M49">
        <v>0.266666666666666</v>
      </c>
      <c r="N49">
        <v>0.18181818181818099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t="s">
        <v>49</v>
      </c>
      <c r="AO49">
        <v>0</v>
      </c>
      <c r="AP49">
        <v>1</v>
      </c>
      <c r="AQ49">
        <v>1</v>
      </c>
      <c r="AR49">
        <v>0</v>
      </c>
      <c r="AS49">
        <v>0</v>
      </c>
      <c r="AT49">
        <v>0</v>
      </c>
    </row>
    <row r="50" spans="1:46" x14ac:dyDescent="0.2">
      <c r="A50" t="s">
        <v>111</v>
      </c>
      <c r="B50" s="4">
        <f t="shared" si="0"/>
        <v>45689</v>
      </c>
      <c r="C50" t="s">
        <v>77</v>
      </c>
      <c r="D50" s="1">
        <v>1.2025462962962963E-2</v>
      </c>
      <c r="E50">
        <v>7</v>
      </c>
      <c r="F50" t="s">
        <v>66</v>
      </c>
      <c r="G50" t="s">
        <v>97</v>
      </c>
      <c r="H50" t="str">
        <f>VLOOKUP(G50, teams!B$2:C$36, 2, 0)</f>
        <v>Tech</v>
      </c>
      <c r="I50" t="s">
        <v>56</v>
      </c>
      <c r="J50">
        <v>0.55555555555555503</v>
      </c>
      <c r="K50">
        <v>1.5</v>
      </c>
      <c r="L50">
        <v>0.83333333333333304</v>
      </c>
      <c r="M50">
        <v>0.266666666666666</v>
      </c>
      <c r="N50">
        <v>0.27272727272727199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 t="s">
        <v>49</v>
      </c>
      <c r="AO50">
        <v>0</v>
      </c>
      <c r="AP50">
        <v>2</v>
      </c>
      <c r="AQ50">
        <v>0</v>
      </c>
      <c r="AR50">
        <v>1</v>
      </c>
      <c r="AS50">
        <v>0</v>
      </c>
      <c r="AT50">
        <v>0</v>
      </c>
    </row>
    <row r="51" spans="1:46" x14ac:dyDescent="0.2">
      <c r="A51" t="s">
        <v>111</v>
      </c>
      <c r="B51" s="4">
        <f t="shared" si="0"/>
        <v>45689</v>
      </c>
      <c r="C51" t="s">
        <v>77</v>
      </c>
      <c r="D51" s="1">
        <v>1.3923611111111111E-2</v>
      </c>
      <c r="E51">
        <v>6</v>
      </c>
      <c r="F51" t="s">
        <v>46</v>
      </c>
      <c r="G51" t="s">
        <v>78</v>
      </c>
      <c r="H51" t="str">
        <f>VLOOKUP(G51, teams!B$2:C$36, 2, 0)</f>
        <v>Service Desk</v>
      </c>
      <c r="I51" t="s">
        <v>48</v>
      </c>
      <c r="J51">
        <v>0.55555555555555503</v>
      </c>
      <c r="K51">
        <v>1</v>
      </c>
      <c r="L51">
        <v>0.66666666666666596</v>
      </c>
      <c r="M51">
        <v>0.4</v>
      </c>
      <c r="N51">
        <v>0.36363636363636298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1</v>
      </c>
      <c r="AK51">
        <v>0</v>
      </c>
      <c r="AL51">
        <v>0</v>
      </c>
      <c r="AM51">
        <v>0</v>
      </c>
      <c r="AN51" t="s">
        <v>49</v>
      </c>
      <c r="AO51">
        <v>0</v>
      </c>
      <c r="AP51">
        <v>2</v>
      </c>
      <c r="AQ51">
        <v>0</v>
      </c>
      <c r="AR51">
        <v>2</v>
      </c>
      <c r="AS51">
        <v>0</v>
      </c>
      <c r="AT51">
        <v>0</v>
      </c>
    </row>
    <row r="52" spans="1:46" x14ac:dyDescent="0.2">
      <c r="A52" t="s">
        <v>111</v>
      </c>
      <c r="B52" s="4">
        <f t="shared" si="0"/>
        <v>45689</v>
      </c>
      <c r="C52" t="s">
        <v>77</v>
      </c>
      <c r="D52" s="1">
        <v>1.3101851851851852E-2</v>
      </c>
      <c r="E52">
        <v>5</v>
      </c>
      <c r="F52" t="s">
        <v>63</v>
      </c>
      <c r="G52" t="s">
        <v>99</v>
      </c>
      <c r="H52" t="str">
        <f>VLOOKUP(G52, teams!B$2:C$36, 2, 0)</f>
        <v>Service Desk</v>
      </c>
      <c r="I52" t="s">
        <v>56</v>
      </c>
      <c r="J52">
        <v>0.55555555555555503</v>
      </c>
      <c r="K52">
        <v>1.5</v>
      </c>
      <c r="L52">
        <v>0.83333333333333304</v>
      </c>
      <c r="M52">
        <v>0.4</v>
      </c>
      <c r="N52">
        <v>0.27272727272727199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s">
        <v>49</v>
      </c>
      <c r="AO52">
        <v>0</v>
      </c>
      <c r="AP52">
        <v>1</v>
      </c>
      <c r="AQ52">
        <v>1</v>
      </c>
      <c r="AR52">
        <v>0</v>
      </c>
      <c r="AS52">
        <v>0</v>
      </c>
      <c r="AT52">
        <v>0</v>
      </c>
    </row>
    <row r="53" spans="1:46" x14ac:dyDescent="0.2">
      <c r="A53" t="s">
        <v>112</v>
      </c>
      <c r="B53" s="4">
        <f t="shared" si="0"/>
        <v>45689</v>
      </c>
      <c r="C53" t="s">
        <v>59</v>
      </c>
      <c r="D53" s="1">
        <v>1.3900462962962963E-2</v>
      </c>
      <c r="E53">
        <v>14</v>
      </c>
      <c r="F53" t="s">
        <v>72</v>
      </c>
      <c r="G53" t="s">
        <v>80</v>
      </c>
      <c r="H53" t="str">
        <f>VLOOKUP(G53, teams!B$2:C$36, 2, 0)</f>
        <v>unidentified</v>
      </c>
      <c r="I53" t="s">
        <v>48</v>
      </c>
      <c r="J53">
        <v>0.44444444444444398</v>
      </c>
      <c r="K53">
        <v>1.5</v>
      </c>
      <c r="L53">
        <v>0.66666666666666596</v>
      </c>
      <c r="M53">
        <v>0.46666666666666601</v>
      </c>
      <c r="N53">
        <v>0.27272727272727199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49</v>
      </c>
      <c r="AO53">
        <v>1</v>
      </c>
      <c r="AP53">
        <v>2</v>
      </c>
      <c r="AQ53">
        <v>1</v>
      </c>
      <c r="AR53">
        <v>1</v>
      </c>
      <c r="AS53">
        <v>2</v>
      </c>
      <c r="AT53">
        <v>1</v>
      </c>
    </row>
    <row r="54" spans="1:46" x14ac:dyDescent="0.2">
      <c r="A54" t="s">
        <v>113</v>
      </c>
      <c r="B54" s="4">
        <f t="shared" si="0"/>
        <v>45689</v>
      </c>
      <c r="C54" t="s">
        <v>45</v>
      </c>
      <c r="D54" s="1">
        <v>1.3599537037037037E-2</v>
      </c>
      <c r="E54">
        <v>5</v>
      </c>
      <c r="F54" t="s">
        <v>63</v>
      </c>
      <c r="G54" t="s">
        <v>95</v>
      </c>
      <c r="H54" t="str">
        <f>VLOOKUP(G54, teams!B$2:C$36, 2, 0)</f>
        <v>unidentified</v>
      </c>
      <c r="I54" t="s">
        <v>56</v>
      </c>
      <c r="J54">
        <v>0.44444444444444398</v>
      </c>
      <c r="K54">
        <v>1.5</v>
      </c>
      <c r="L54">
        <v>1</v>
      </c>
      <c r="M54">
        <v>0.46666666666666601</v>
      </c>
      <c r="N54">
        <v>0.36363636363636298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s">
        <v>49</v>
      </c>
      <c r="AO54">
        <v>0</v>
      </c>
      <c r="AP54">
        <v>1</v>
      </c>
      <c r="AQ54">
        <v>1</v>
      </c>
      <c r="AR54">
        <v>0</v>
      </c>
      <c r="AS54">
        <v>0</v>
      </c>
      <c r="AT54">
        <v>0</v>
      </c>
    </row>
    <row r="55" spans="1:46" x14ac:dyDescent="0.2">
      <c r="A55" t="s">
        <v>113</v>
      </c>
      <c r="B55" s="4">
        <f t="shared" si="0"/>
        <v>45689</v>
      </c>
      <c r="C55" t="s">
        <v>45</v>
      </c>
      <c r="D55" s="1">
        <v>1.0590277777777778E-2</v>
      </c>
      <c r="E55">
        <v>6</v>
      </c>
      <c r="F55" t="s">
        <v>46</v>
      </c>
      <c r="G55" t="s">
        <v>103</v>
      </c>
      <c r="H55" t="str">
        <f>VLOOKUP(G55, teams!B$2:C$36, 2, 0)</f>
        <v>Tech</v>
      </c>
      <c r="I55" t="s">
        <v>56</v>
      </c>
      <c r="J55">
        <v>0.77777777777777701</v>
      </c>
      <c r="K55">
        <v>1</v>
      </c>
      <c r="L55">
        <v>0.66666666666666596</v>
      </c>
      <c r="M55">
        <v>0.6</v>
      </c>
      <c r="N55">
        <v>0.45454545454545398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1</v>
      </c>
      <c r="AK55">
        <v>0</v>
      </c>
      <c r="AL55">
        <v>0</v>
      </c>
      <c r="AM55">
        <v>0</v>
      </c>
      <c r="AN55" t="s">
        <v>49</v>
      </c>
      <c r="AO55">
        <v>0</v>
      </c>
      <c r="AP55">
        <v>2</v>
      </c>
      <c r="AQ55">
        <v>0</v>
      </c>
      <c r="AR55">
        <v>2</v>
      </c>
      <c r="AS55">
        <v>0</v>
      </c>
      <c r="AT55">
        <v>0</v>
      </c>
    </row>
    <row r="56" spans="1:46" x14ac:dyDescent="0.2">
      <c r="A56" t="s">
        <v>114</v>
      </c>
      <c r="B56" s="4">
        <f t="shared" si="0"/>
        <v>45689</v>
      </c>
      <c r="C56" t="s">
        <v>91</v>
      </c>
      <c r="D56" s="1">
        <v>1.4212962962962964E-2</v>
      </c>
      <c r="E56">
        <v>6</v>
      </c>
      <c r="F56" t="s">
        <v>46</v>
      </c>
      <c r="G56" t="s">
        <v>92</v>
      </c>
      <c r="H56" t="str">
        <f>VLOOKUP(G56, teams!B$2:C$36, 2, 0)</f>
        <v>unidentified</v>
      </c>
      <c r="I56" t="s">
        <v>56</v>
      </c>
      <c r="J56">
        <v>0.11111111111111099</v>
      </c>
      <c r="K56">
        <v>0.5</v>
      </c>
      <c r="L56">
        <v>0.83333333333333304</v>
      </c>
      <c r="M56">
        <v>0.4</v>
      </c>
      <c r="N56">
        <v>0.45454545454545398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0</v>
      </c>
      <c r="AN56" t="s">
        <v>49</v>
      </c>
      <c r="AO56">
        <v>0</v>
      </c>
      <c r="AP56">
        <v>2</v>
      </c>
      <c r="AQ56">
        <v>0</v>
      </c>
      <c r="AR56">
        <v>2</v>
      </c>
      <c r="AS56">
        <v>0</v>
      </c>
      <c r="AT56">
        <v>0</v>
      </c>
    </row>
    <row r="57" spans="1:46" x14ac:dyDescent="0.2">
      <c r="A57" t="s">
        <v>115</v>
      </c>
      <c r="B57" s="4">
        <f t="shared" si="0"/>
        <v>45689</v>
      </c>
      <c r="C57" t="s">
        <v>51</v>
      </c>
      <c r="D57" s="1">
        <v>1.3912037037037037E-2</v>
      </c>
      <c r="E57">
        <v>6</v>
      </c>
      <c r="F57" t="s">
        <v>46</v>
      </c>
      <c r="G57" t="s">
        <v>106</v>
      </c>
      <c r="H57" t="str">
        <f>VLOOKUP(G57, teams!B$2:C$36, 2, 0)</f>
        <v>Service Desk</v>
      </c>
      <c r="I57" t="s">
        <v>48</v>
      </c>
      <c r="J57">
        <v>0.44444444444444398</v>
      </c>
      <c r="K57">
        <v>1</v>
      </c>
      <c r="L57">
        <v>0.5</v>
      </c>
      <c r="M57">
        <v>0.133333333333333</v>
      </c>
      <c r="N57">
        <v>0.18181818181818099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1</v>
      </c>
      <c r="AK57">
        <v>0</v>
      </c>
      <c r="AL57">
        <v>0</v>
      </c>
      <c r="AM57">
        <v>0</v>
      </c>
      <c r="AN57" t="s">
        <v>49</v>
      </c>
      <c r="AO57">
        <v>0</v>
      </c>
      <c r="AP57">
        <v>2</v>
      </c>
      <c r="AQ57">
        <v>0</v>
      </c>
      <c r="AR57">
        <v>2</v>
      </c>
      <c r="AS57">
        <v>0</v>
      </c>
      <c r="AT57">
        <v>0</v>
      </c>
    </row>
    <row r="58" spans="1:46" x14ac:dyDescent="0.2">
      <c r="A58" t="s">
        <v>116</v>
      </c>
      <c r="B58" s="4">
        <f t="shared" si="0"/>
        <v>45689</v>
      </c>
      <c r="C58" t="s">
        <v>77</v>
      </c>
      <c r="D58" s="1">
        <v>1.4016203703703704E-2</v>
      </c>
      <c r="E58">
        <v>14</v>
      </c>
      <c r="F58" t="s">
        <v>72</v>
      </c>
      <c r="G58" t="s">
        <v>78</v>
      </c>
      <c r="H58" t="str">
        <f>VLOOKUP(G58, teams!B$2:C$36, 2, 0)</f>
        <v>Service Desk</v>
      </c>
      <c r="I58" t="s">
        <v>48</v>
      </c>
      <c r="J58">
        <v>0.55555555555555503</v>
      </c>
      <c r="K58">
        <v>1.5</v>
      </c>
      <c r="L58">
        <v>0.33333333333333298</v>
      </c>
      <c r="M58">
        <v>0.266666666666666</v>
      </c>
      <c r="N58">
        <v>9.0909090909090898E-2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t="s">
        <v>49</v>
      </c>
      <c r="AO58">
        <v>1</v>
      </c>
      <c r="AP58">
        <v>2</v>
      </c>
      <c r="AQ58">
        <v>1</v>
      </c>
      <c r="AR58">
        <v>1</v>
      </c>
      <c r="AS58">
        <v>2</v>
      </c>
      <c r="AT58">
        <v>1</v>
      </c>
    </row>
    <row r="59" spans="1:46" x14ac:dyDescent="0.2">
      <c r="A59" t="s">
        <v>117</v>
      </c>
      <c r="B59" s="4">
        <f t="shared" si="0"/>
        <v>45689</v>
      </c>
      <c r="C59" t="s">
        <v>59</v>
      </c>
      <c r="D59" s="1">
        <v>1.3900462962962963E-2</v>
      </c>
      <c r="E59">
        <v>16</v>
      </c>
      <c r="F59" t="s">
        <v>75</v>
      </c>
      <c r="G59" t="s">
        <v>80</v>
      </c>
      <c r="H59" t="str">
        <f>VLOOKUP(G59, teams!B$2:C$36, 2, 0)</f>
        <v>unidentified</v>
      </c>
      <c r="I59" t="s">
        <v>48</v>
      </c>
      <c r="J59">
        <v>0.33333333333333298</v>
      </c>
      <c r="K59">
        <v>1</v>
      </c>
      <c r="L59">
        <v>0.83333333333333304</v>
      </c>
      <c r="M59">
        <v>0.4</v>
      </c>
      <c r="N59">
        <v>0.36363636363636298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49</v>
      </c>
      <c r="AO59">
        <v>0</v>
      </c>
      <c r="AP59">
        <v>1</v>
      </c>
      <c r="AQ59">
        <v>0</v>
      </c>
      <c r="AR59">
        <v>0</v>
      </c>
      <c r="AS59">
        <v>1</v>
      </c>
      <c r="AT59">
        <v>0</v>
      </c>
    </row>
    <row r="60" spans="1:46" x14ac:dyDescent="0.2">
      <c r="A60" t="s">
        <v>117</v>
      </c>
      <c r="B60" s="4">
        <f t="shared" si="0"/>
        <v>45689</v>
      </c>
      <c r="C60" t="s">
        <v>59</v>
      </c>
      <c r="D60" s="1">
        <v>2.0856481481481483E-2</v>
      </c>
      <c r="E60">
        <v>26</v>
      </c>
      <c r="F60" t="s">
        <v>118</v>
      </c>
      <c r="G60" t="s">
        <v>60</v>
      </c>
      <c r="H60" t="str">
        <f>VLOOKUP(G60, teams!B$2:C$36, 2, 0)</f>
        <v>Service Desk</v>
      </c>
      <c r="I60" t="s">
        <v>48</v>
      </c>
      <c r="J60">
        <v>0.55555555555555503</v>
      </c>
      <c r="K60">
        <v>1</v>
      </c>
      <c r="L60">
        <v>0.66666666666666596</v>
      </c>
      <c r="M60">
        <v>0.4</v>
      </c>
      <c r="N60">
        <v>0.18181818181818099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49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0</v>
      </c>
    </row>
    <row r="61" spans="1:46" x14ac:dyDescent="0.2">
      <c r="A61" t="s">
        <v>119</v>
      </c>
      <c r="B61" s="4">
        <f t="shared" si="0"/>
        <v>45689</v>
      </c>
      <c r="C61" t="s">
        <v>45</v>
      </c>
      <c r="D61" s="1">
        <v>1.40625E-2</v>
      </c>
      <c r="E61">
        <v>16</v>
      </c>
      <c r="F61" t="s">
        <v>75</v>
      </c>
      <c r="G61" t="s">
        <v>95</v>
      </c>
      <c r="H61" t="str">
        <f>VLOOKUP(G61, teams!B$2:C$36, 2, 0)</f>
        <v>unidentified</v>
      </c>
      <c r="I61" t="s">
        <v>56</v>
      </c>
      <c r="J61">
        <v>0.66666666666666596</v>
      </c>
      <c r="K61">
        <v>2</v>
      </c>
      <c r="L61">
        <v>1</v>
      </c>
      <c r="M61">
        <v>0.4</v>
      </c>
      <c r="N61">
        <v>0.18181818181818099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t="s">
        <v>49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0</v>
      </c>
    </row>
    <row r="62" spans="1:46" x14ac:dyDescent="0.2">
      <c r="A62" t="s">
        <v>119</v>
      </c>
      <c r="B62" s="4">
        <f t="shared" si="0"/>
        <v>45689</v>
      </c>
      <c r="C62" t="s">
        <v>45</v>
      </c>
      <c r="D62" s="1">
        <v>1.8912037037037036E-2</v>
      </c>
      <c r="E62">
        <v>26</v>
      </c>
      <c r="F62" t="s">
        <v>118</v>
      </c>
      <c r="G62" t="s">
        <v>62</v>
      </c>
      <c r="H62" t="str">
        <f>VLOOKUP(G62, teams!B$2:C$36, 2, 0)</f>
        <v>Service Desk</v>
      </c>
      <c r="I62" t="s">
        <v>56</v>
      </c>
      <c r="J62">
        <v>0.66666666666666596</v>
      </c>
      <c r="K62">
        <v>1</v>
      </c>
      <c r="L62">
        <v>0.5</v>
      </c>
      <c r="M62">
        <v>0.66666666666666596</v>
      </c>
      <c r="N62">
        <v>0.36363636363636298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t="s">
        <v>49</v>
      </c>
      <c r="AO62">
        <v>0</v>
      </c>
      <c r="AP62">
        <v>2</v>
      </c>
      <c r="AQ62">
        <v>0</v>
      </c>
      <c r="AR62">
        <v>0</v>
      </c>
      <c r="AS62">
        <v>0</v>
      </c>
      <c r="AT62">
        <v>0</v>
      </c>
    </row>
    <row r="63" spans="1:46" x14ac:dyDescent="0.2">
      <c r="A63" t="s">
        <v>119</v>
      </c>
      <c r="B63" s="4">
        <f t="shared" si="0"/>
        <v>45689</v>
      </c>
      <c r="C63" t="s">
        <v>45</v>
      </c>
      <c r="D63" s="1">
        <v>1.1921296296296296E-2</v>
      </c>
      <c r="E63">
        <v>14</v>
      </c>
      <c r="F63" t="s">
        <v>72</v>
      </c>
      <c r="G63" t="s">
        <v>103</v>
      </c>
      <c r="H63" t="str">
        <f>VLOOKUP(G63, teams!B$2:C$36, 2, 0)</f>
        <v>Tech</v>
      </c>
      <c r="I63" t="s">
        <v>56</v>
      </c>
      <c r="J63">
        <v>0.88888888888888795</v>
      </c>
      <c r="K63">
        <v>1</v>
      </c>
      <c r="L63">
        <v>0.66666666666666596</v>
      </c>
      <c r="M63">
        <v>0.73333333333333295</v>
      </c>
      <c r="N63">
        <v>0.63636363636363602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t="s">
        <v>49</v>
      </c>
      <c r="AO63">
        <v>1</v>
      </c>
      <c r="AP63">
        <v>2</v>
      </c>
      <c r="AQ63">
        <v>1</v>
      </c>
      <c r="AR63">
        <v>1</v>
      </c>
      <c r="AS63">
        <v>2</v>
      </c>
      <c r="AT63">
        <v>1</v>
      </c>
    </row>
    <row r="64" spans="1:46" x14ac:dyDescent="0.2">
      <c r="A64" t="s">
        <v>120</v>
      </c>
      <c r="B64" s="4">
        <f t="shared" si="0"/>
        <v>45689</v>
      </c>
      <c r="C64" t="s">
        <v>91</v>
      </c>
      <c r="D64" s="1">
        <v>1.3900462962962963E-2</v>
      </c>
      <c r="E64">
        <v>14</v>
      </c>
      <c r="F64" t="s">
        <v>72</v>
      </c>
      <c r="G64" t="s">
        <v>92</v>
      </c>
      <c r="H64" t="str">
        <f>VLOOKUP(G64, teams!B$2:C$36, 2, 0)</f>
        <v>unidentified</v>
      </c>
      <c r="I64" t="s">
        <v>48</v>
      </c>
      <c r="J64">
        <v>0.44444444444444398</v>
      </c>
      <c r="K64">
        <v>1</v>
      </c>
      <c r="L64">
        <v>1</v>
      </c>
      <c r="M64">
        <v>0.4</v>
      </c>
      <c r="N64">
        <v>0.36363636363636298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t="s">
        <v>49</v>
      </c>
      <c r="AO64">
        <v>1</v>
      </c>
      <c r="AP64">
        <v>2</v>
      </c>
      <c r="AQ64">
        <v>1</v>
      </c>
      <c r="AR64">
        <v>1</v>
      </c>
      <c r="AS64">
        <v>2</v>
      </c>
      <c r="AT64">
        <v>1</v>
      </c>
    </row>
    <row r="65" spans="1:46" x14ac:dyDescent="0.2">
      <c r="A65" t="s">
        <v>121</v>
      </c>
      <c r="B65" s="4">
        <f t="shared" si="0"/>
        <v>45717</v>
      </c>
      <c r="C65" t="s">
        <v>51</v>
      </c>
      <c r="D65" s="1">
        <v>1.3900462962962963E-2</v>
      </c>
      <c r="E65">
        <v>14</v>
      </c>
      <c r="F65" t="s">
        <v>72</v>
      </c>
      <c r="G65" t="s">
        <v>106</v>
      </c>
      <c r="H65" t="str">
        <f>VLOOKUP(G65, teams!B$2:C$36, 2, 0)</f>
        <v>Service Desk</v>
      </c>
      <c r="I65" t="s">
        <v>48</v>
      </c>
      <c r="J65">
        <v>0.33333333333333298</v>
      </c>
      <c r="K65">
        <v>1</v>
      </c>
      <c r="L65">
        <v>0.5</v>
      </c>
      <c r="M65">
        <v>0.53333333333333299</v>
      </c>
      <c r="N65">
        <v>0.45454545454545398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49</v>
      </c>
      <c r="AO65">
        <v>1</v>
      </c>
      <c r="AP65">
        <v>2</v>
      </c>
      <c r="AQ65">
        <v>1</v>
      </c>
      <c r="AR65">
        <v>1</v>
      </c>
      <c r="AS65">
        <v>2</v>
      </c>
      <c r="AT65">
        <v>1</v>
      </c>
    </row>
    <row r="66" spans="1:46" x14ac:dyDescent="0.2">
      <c r="A66" t="s">
        <v>122</v>
      </c>
      <c r="B66" s="4">
        <f t="shared" si="0"/>
        <v>45717</v>
      </c>
      <c r="C66" t="s">
        <v>77</v>
      </c>
      <c r="D66" s="1">
        <v>1.6053240740740739E-2</v>
      </c>
      <c r="E66">
        <v>26</v>
      </c>
      <c r="F66" t="s">
        <v>118</v>
      </c>
      <c r="G66" t="s">
        <v>97</v>
      </c>
      <c r="H66" t="str">
        <f>VLOOKUP(G66, teams!B$2:C$36, 2, 0)</f>
        <v>Tech</v>
      </c>
      <c r="I66" t="s">
        <v>56</v>
      </c>
      <c r="J66">
        <v>0.77777777777777701</v>
      </c>
      <c r="K66">
        <v>1</v>
      </c>
      <c r="L66">
        <v>0.83333333333333304</v>
      </c>
      <c r="M66">
        <v>0.6</v>
      </c>
      <c r="N66">
        <v>0.36363636363636298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49</v>
      </c>
      <c r="AO66">
        <v>0</v>
      </c>
      <c r="AP66">
        <v>2</v>
      </c>
      <c r="AQ66">
        <v>0</v>
      </c>
      <c r="AR66">
        <v>0</v>
      </c>
      <c r="AS66">
        <v>0</v>
      </c>
      <c r="AT66">
        <v>0</v>
      </c>
    </row>
    <row r="67" spans="1:46" x14ac:dyDescent="0.2">
      <c r="A67" t="s">
        <v>122</v>
      </c>
      <c r="B67" s="4">
        <f t="shared" ref="B67:B130" si="1">DATE(YEAR(DATEVALUE(LEFT(A67,10))), MONTH(DATEVALUE(LEFT(A67,10))), 1)</f>
        <v>45717</v>
      </c>
      <c r="C67" t="s">
        <v>77</v>
      </c>
      <c r="D67" s="1">
        <v>1.5289351851851853E-2</v>
      </c>
      <c r="E67">
        <v>26</v>
      </c>
      <c r="F67" t="s">
        <v>118</v>
      </c>
      <c r="G67" t="s">
        <v>78</v>
      </c>
      <c r="H67" t="str">
        <f>VLOOKUP(G67, teams!B$2:C$36, 2, 0)</f>
        <v>Service Desk</v>
      </c>
      <c r="I67" t="s">
        <v>56</v>
      </c>
      <c r="J67">
        <v>0.55555555555555503</v>
      </c>
      <c r="K67">
        <v>1</v>
      </c>
      <c r="L67">
        <v>0.66666666666666596</v>
      </c>
      <c r="M67">
        <v>0.6</v>
      </c>
      <c r="N67">
        <v>0.54545454545454497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49</v>
      </c>
      <c r="AO67">
        <v>0</v>
      </c>
      <c r="AP67">
        <v>2</v>
      </c>
      <c r="AQ67">
        <v>0</v>
      </c>
      <c r="AR67">
        <v>0</v>
      </c>
      <c r="AS67">
        <v>0</v>
      </c>
      <c r="AT67">
        <v>0</v>
      </c>
    </row>
    <row r="68" spans="1:46" x14ac:dyDescent="0.2">
      <c r="A68" t="s">
        <v>122</v>
      </c>
      <c r="B68" s="4">
        <f t="shared" si="1"/>
        <v>45717</v>
      </c>
      <c r="C68" t="s">
        <v>77</v>
      </c>
      <c r="D68" s="1">
        <v>6.7245370370370367E-3</v>
      </c>
      <c r="E68">
        <v>27</v>
      </c>
      <c r="F68" t="s">
        <v>123</v>
      </c>
      <c r="G68" t="s">
        <v>52</v>
      </c>
      <c r="H68" t="str">
        <f>VLOOKUP(G68, teams!B$2:C$36, 2, 0)</f>
        <v>Service Desk</v>
      </c>
      <c r="I68" t="s">
        <v>56</v>
      </c>
      <c r="J68">
        <v>0.33333333333333298</v>
      </c>
      <c r="K68">
        <v>1</v>
      </c>
      <c r="L68">
        <v>0.5</v>
      </c>
      <c r="M68">
        <v>0.2</v>
      </c>
      <c r="N68">
        <v>9.0909090909090898E-2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49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</row>
    <row r="69" spans="1:46" x14ac:dyDescent="0.2">
      <c r="A69" t="s">
        <v>124</v>
      </c>
      <c r="B69" s="4">
        <f t="shared" si="1"/>
        <v>45717</v>
      </c>
      <c r="C69" t="s">
        <v>59</v>
      </c>
      <c r="D69" s="1">
        <v>1.8807870370370371E-2</v>
      </c>
      <c r="E69">
        <v>26</v>
      </c>
      <c r="F69" t="s">
        <v>118</v>
      </c>
      <c r="G69" t="s">
        <v>80</v>
      </c>
      <c r="H69" t="str">
        <f>VLOOKUP(G69, teams!B$2:C$36, 2, 0)</f>
        <v>unidentified</v>
      </c>
      <c r="I69" t="s">
        <v>56</v>
      </c>
      <c r="J69">
        <v>0.55555555555555503</v>
      </c>
      <c r="K69">
        <v>1</v>
      </c>
      <c r="L69">
        <v>0.66666666666666596</v>
      </c>
      <c r="M69">
        <v>0.4</v>
      </c>
      <c r="N69">
        <v>0.18181818181818099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49</v>
      </c>
      <c r="AO69">
        <v>0</v>
      </c>
      <c r="AP69">
        <v>2</v>
      </c>
      <c r="AQ69">
        <v>0</v>
      </c>
      <c r="AR69">
        <v>0</v>
      </c>
      <c r="AS69">
        <v>0</v>
      </c>
      <c r="AT69">
        <v>0</v>
      </c>
    </row>
    <row r="70" spans="1:46" x14ac:dyDescent="0.2">
      <c r="A70" t="s">
        <v>125</v>
      </c>
      <c r="B70" s="4">
        <f t="shared" si="1"/>
        <v>45717</v>
      </c>
      <c r="C70" t="s">
        <v>45</v>
      </c>
      <c r="D70" s="1">
        <v>1.3900462962962963E-2</v>
      </c>
      <c r="E70">
        <v>6</v>
      </c>
      <c r="F70" t="s">
        <v>46</v>
      </c>
      <c r="G70" t="s">
        <v>99</v>
      </c>
      <c r="H70" t="str">
        <f>VLOOKUP(G70, teams!B$2:C$36, 2, 0)</f>
        <v>Service Desk</v>
      </c>
      <c r="I70" t="s">
        <v>48</v>
      </c>
      <c r="J70">
        <v>0.55555555555555503</v>
      </c>
      <c r="K70">
        <v>1</v>
      </c>
      <c r="L70">
        <v>0.83333333333333304</v>
      </c>
      <c r="M70">
        <v>0.33333333333333298</v>
      </c>
      <c r="N70">
        <v>0.36363636363636298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0</v>
      </c>
      <c r="AL70">
        <v>0</v>
      </c>
      <c r="AM70">
        <v>0</v>
      </c>
      <c r="AN70" t="s">
        <v>49</v>
      </c>
      <c r="AO70">
        <v>0</v>
      </c>
      <c r="AP70">
        <v>2</v>
      </c>
      <c r="AQ70">
        <v>0</v>
      </c>
      <c r="AR70">
        <v>2</v>
      </c>
      <c r="AS70">
        <v>0</v>
      </c>
      <c r="AT70">
        <v>0</v>
      </c>
    </row>
    <row r="71" spans="1:46" x14ac:dyDescent="0.2">
      <c r="A71" t="s">
        <v>125</v>
      </c>
      <c r="B71" s="4">
        <f t="shared" si="1"/>
        <v>45717</v>
      </c>
      <c r="C71" t="s">
        <v>45</v>
      </c>
      <c r="D71" s="1">
        <v>1.3900462962962963E-2</v>
      </c>
      <c r="E71">
        <v>6</v>
      </c>
      <c r="F71" t="s">
        <v>46</v>
      </c>
      <c r="G71" t="s">
        <v>95</v>
      </c>
      <c r="H71" t="str">
        <f>VLOOKUP(G71, teams!B$2:C$36, 2, 0)</f>
        <v>unidentified</v>
      </c>
      <c r="I71" t="s">
        <v>48</v>
      </c>
      <c r="J71">
        <v>0.33333333333333298</v>
      </c>
      <c r="K71">
        <v>1</v>
      </c>
      <c r="L71">
        <v>0.83333333333333304</v>
      </c>
      <c r="M71">
        <v>0.33333333333333298</v>
      </c>
      <c r="N71">
        <v>0.18181818181818099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0</v>
      </c>
      <c r="AL71">
        <v>0</v>
      </c>
      <c r="AM71">
        <v>0</v>
      </c>
      <c r="AN71" t="s">
        <v>49</v>
      </c>
      <c r="AO71">
        <v>0</v>
      </c>
      <c r="AP71">
        <v>2</v>
      </c>
      <c r="AQ71">
        <v>0</v>
      </c>
      <c r="AR71">
        <v>2</v>
      </c>
      <c r="AS71">
        <v>0</v>
      </c>
      <c r="AT71">
        <v>0</v>
      </c>
    </row>
    <row r="72" spans="1:46" x14ac:dyDescent="0.2">
      <c r="A72" t="s">
        <v>125</v>
      </c>
      <c r="B72" s="4">
        <f t="shared" si="1"/>
        <v>45717</v>
      </c>
      <c r="C72" t="s">
        <v>45</v>
      </c>
      <c r="D72" s="1">
        <v>1.3078703703703703E-2</v>
      </c>
      <c r="E72">
        <v>26</v>
      </c>
      <c r="F72" t="s">
        <v>118</v>
      </c>
      <c r="G72" t="s">
        <v>103</v>
      </c>
      <c r="H72" t="str">
        <f>VLOOKUP(G72, teams!B$2:C$36, 2, 0)</f>
        <v>Tech</v>
      </c>
      <c r="I72" t="s">
        <v>56</v>
      </c>
      <c r="J72">
        <v>0.88888888888888795</v>
      </c>
      <c r="K72">
        <v>1</v>
      </c>
      <c r="L72">
        <v>1</v>
      </c>
      <c r="M72">
        <v>0.66666666666666596</v>
      </c>
      <c r="N72">
        <v>0.54545454545454497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t="s">
        <v>49</v>
      </c>
      <c r="AO72">
        <v>0</v>
      </c>
      <c r="AP72">
        <v>2</v>
      </c>
      <c r="AQ72">
        <v>0</v>
      </c>
      <c r="AR72">
        <v>0</v>
      </c>
      <c r="AS72">
        <v>0</v>
      </c>
      <c r="AT72">
        <v>0</v>
      </c>
    </row>
    <row r="73" spans="1:46" x14ac:dyDescent="0.2">
      <c r="A73" t="s">
        <v>125</v>
      </c>
      <c r="B73" s="4">
        <f t="shared" si="1"/>
        <v>45717</v>
      </c>
      <c r="C73" t="s">
        <v>45</v>
      </c>
      <c r="D73" s="1">
        <v>1.5300925925925926E-2</v>
      </c>
      <c r="E73">
        <v>26</v>
      </c>
      <c r="F73" t="s">
        <v>118</v>
      </c>
      <c r="G73" t="s">
        <v>55</v>
      </c>
      <c r="H73" t="str">
        <f>VLOOKUP(G73, teams!B$2:C$36, 2, 0)</f>
        <v>unidentified</v>
      </c>
      <c r="I73" t="s">
        <v>56</v>
      </c>
      <c r="J73">
        <v>0.66666666666666596</v>
      </c>
      <c r="K73">
        <v>1</v>
      </c>
      <c r="L73">
        <v>0.66666666666666596</v>
      </c>
      <c r="M73">
        <v>0.66666666666666596</v>
      </c>
      <c r="N73">
        <v>0.54545454545454497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t="s">
        <v>49</v>
      </c>
      <c r="AO73">
        <v>0</v>
      </c>
      <c r="AP73">
        <v>2</v>
      </c>
      <c r="AQ73">
        <v>0</v>
      </c>
      <c r="AR73">
        <v>0</v>
      </c>
      <c r="AS73">
        <v>0</v>
      </c>
      <c r="AT73">
        <v>0</v>
      </c>
    </row>
    <row r="74" spans="1:46" x14ac:dyDescent="0.2">
      <c r="A74" t="s">
        <v>126</v>
      </c>
      <c r="B74" s="4">
        <f t="shared" si="1"/>
        <v>45717</v>
      </c>
      <c r="C74" t="s">
        <v>91</v>
      </c>
      <c r="D74" s="1">
        <v>1.6435185185185185E-2</v>
      </c>
      <c r="E74">
        <v>26</v>
      </c>
      <c r="F74" t="s">
        <v>118</v>
      </c>
      <c r="G74" t="s">
        <v>92</v>
      </c>
      <c r="H74" t="str">
        <f>VLOOKUP(G74, teams!B$2:C$36, 2, 0)</f>
        <v>unidentified</v>
      </c>
      <c r="I74" t="s">
        <v>56</v>
      </c>
      <c r="J74">
        <v>0.66666666666666596</v>
      </c>
      <c r="K74">
        <v>1</v>
      </c>
      <c r="L74">
        <v>0.5</v>
      </c>
      <c r="M74">
        <v>0.46666666666666601</v>
      </c>
      <c r="N74">
        <v>0.45454545454545398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t="s">
        <v>49</v>
      </c>
      <c r="AO74">
        <v>0</v>
      </c>
      <c r="AP74">
        <v>2</v>
      </c>
      <c r="AQ74">
        <v>0</v>
      </c>
      <c r="AR74">
        <v>0</v>
      </c>
      <c r="AS74">
        <v>0</v>
      </c>
      <c r="AT74">
        <v>0</v>
      </c>
    </row>
    <row r="75" spans="1:46" x14ac:dyDescent="0.2">
      <c r="A75" t="s">
        <v>127</v>
      </c>
      <c r="B75" s="4">
        <f t="shared" si="1"/>
        <v>45717</v>
      </c>
      <c r="C75" t="s">
        <v>51</v>
      </c>
      <c r="D75" s="1">
        <v>1.3055555555555556E-2</v>
      </c>
      <c r="E75">
        <v>7</v>
      </c>
      <c r="F75" t="s">
        <v>66</v>
      </c>
      <c r="G75" t="s">
        <v>106</v>
      </c>
      <c r="H75" t="str">
        <f>VLOOKUP(G75, teams!B$2:C$36, 2, 0)</f>
        <v>Service Desk</v>
      </c>
      <c r="I75" t="s">
        <v>56</v>
      </c>
      <c r="J75">
        <v>0.66666666666666596</v>
      </c>
      <c r="K75">
        <v>1</v>
      </c>
      <c r="L75">
        <v>0.16666666666666599</v>
      </c>
      <c r="M75">
        <v>6.6666666666666596E-2</v>
      </c>
      <c r="N75">
        <v>0.27272727272727199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 t="s">
        <v>49</v>
      </c>
      <c r="AO75">
        <v>0</v>
      </c>
      <c r="AP75">
        <v>2</v>
      </c>
      <c r="AQ75">
        <v>0</v>
      </c>
      <c r="AR75">
        <v>1</v>
      </c>
      <c r="AS75">
        <v>0</v>
      </c>
      <c r="AT75">
        <v>0</v>
      </c>
    </row>
    <row r="76" spans="1:46" x14ac:dyDescent="0.2">
      <c r="A76" t="s">
        <v>128</v>
      </c>
      <c r="B76" s="4">
        <f t="shared" si="1"/>
        <v>45717</v>
      </c>
      <c r="C76" t="s">
        <v>77</v>
      </c>
      <c r="D76" s="1">
        <v>1.3946759259259259E-2</v>
      </c>
      <c r="E76">
        <v>5</v>
      </c>
      <c r="F76" t="s">
        <v>63</v>
      </c>
      <c r="G76" t="s">
        <v>52</v>
      </c>
      <c r="H76" t="str">
        <f>VLOOKUP(G76, teams!B$2:C$36, 2, 0)</f>
        <v>Service Desk</v>
      </c>
      <c r="I76" t="s">
        <v>56</v>
      </c>
      <c r="J76">
        <v>0.77777777777777701</v>
      </c>
      <c r="K76">
        <v>1</v>
      </c>
      <c r="L76">
        <v>0.5</v>
      </c>
      <c r="M76">
        <v>0.46666666666666601</v>
      </c>
      <c r="N76">
        <v>0.36363636363636298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49</v>
      </c>
      <c r="AO76">
        <v>0</v>
      </c>
      <c r="AP76">
        <v>1</v>
      </c>
      <c r="AQ76">
        <v>1</v>
      </c>
      <c r="AR76">
        <v>0</v>
      </c>
      <c r="AS76">
        <v>0</v>
      </c>
      <c r="AT76">
        <v>0</v>
      </c>
    </row>
    <row r="77" spans="1:46" x14ac:dyDescent="0.2">
      <c r="A77" t="s">
        <v>128</v>
      </c>
      <c r="B77" s="4">
        <f t="shared" si="1"/>
        <v>45717</v>
      </c>
      <c r="C77" t="s">
        <v>77</v>
      </c>
      <c r="D77" s="1">
        <v>1.3935185185185186E-2</v>
      </c>
      <c r="E77">
        <v>3</v>
      </c>
      <c r="F77" t="s">
        <v>54</v>
      </c>
      <c r="G77" t="s">
        <v>129</v>
      </c>
      <c r="H77" t="str">
        <f>VLOOKUP(G77, teams!B$2:C$36, 2, 0)</f>
        <v>Tech</v>
      </c>
      <c r="I77" t="s">
        <v>56</v>
      </c>
      <c r="J77">
        <v>0.44444444444444398</v>
      </c>
      <c r="K77">
        <v>1</v>
      </c>
      <c r="L77">
        <v>0.66666666666666596</v>
      </c>
      <c r="M77">
        <v>0.2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 t="s">
        <v>49</v>
      </c>
      <c r="AO77">
        <v>0</v>
      </c>
      <c r="AP77">
        <v>1</v>
      </c>
      <c r="AQ77">
        <v>2</v>
      </c>
      <c r="AR77">
        <v>0</v>
      </c>
      <c r="AS77">
        <v>0</v>
      </c>
      <c r="AT77">
        <v>0</v>
      </c>
    </row>
    <row r="78" spans="1:46" x14ac:dyDescent="0.2">
      <c r="A78" t="s">
        <v>128</v>
      </c>
      <c r="B78" s="4">
        <f t="shared" si="1"/>
        <v>45717</v>
      </c>
      <c r="C78" t="s">
        <v>77</v>
      </c>
      <c r="D78" s="1">
        <v>1.2418981481481482E-2</v>
      </c>
      <c r="E78">
        <v>3</v>
      </c>
      <c r="F78" t="s">
        <v>54</v>
      </c>
      <c r="G78" t="s">
        <v>130</v>
      </c>
      <c r="H78" t="str">
        <f>VLOOKUP(G78, teams!B$2:C$36, 2, 0)</f>
        <v>24/7</v>
      </c>
      <c r="I78" t="s">
        <v>56</v>
      </c>
      <c r="J78">
        <v>0.33333333333333298</v>
      </c>
      <c r="K78">
        <v>1</v>
      </c>
      <c r="L78">
        <v>0.5</v>
      </c>
      <c r="M78">
        <v>0.2</v>
      </c>
      <c r="N78">
        <v>9.0909090909090898E-2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 t="s">
        <v>49</v>
      </c>
      <c r="AO78">
        <v>0</v>
      </c>
      <c r="AP78">
        <v>1</v>
      </c>
      <c r="AQ78">
        <v>2</v>
      </c>
      <c r="AR78">
        <v>0</v>
      </c>
      <c r="AS78">
        <v>0</v>
      </c>
      <c r="AT78">
        <v>0</v>
      </c>
    </row>
    <row r="79" spans="1:46" x14ac:dyDescent="0.2">
      <c r="A79" t="s">
        <v>131</v>
      </c>
      <c r="B79" s="4">
        <f t="shared" si="1"/>
        <v>45717</v>
      </c>
      <c r="C79" t="s">
        <v>59</v>
      </c>
      <c r="D79" s="1">
        <v>6.9560185185185185E-3</v>
      </c>
      <c r="E79">
        <v>27</v>
      </c>
      <c r="F79" t="s">
        <v>123</v>
      </c>
      <c r="G79" t="s">
        <v>132</v>
      </c>
      <c r="H79" t="str">
        <f>VLOOKUP(G79, teams!B$2:C$36, 2, 0)</f>
        <v>24/7</v>
      </c>
      <c r="I79" t="s">
        <v>48</v>
      </c>
      <c r="J79">
        <v>0.33333333333333298</v>
      </c>
      <c r="K79">
        <v>0</v>
      </c>
      <c r="L79">
        <v>0</v>
      </c>
      <c r="M79">
        <v>0.133333333333333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t="s">
        <v>49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</row>
    <row r="80" spans="1:46" x14ac:dyDescent="0.2">
      <c r="A80" t="s">
        <v>131</v>
      </c>
      <c r="B80" s="4">
        <f t="shared" si="1"/>
        <v>45717</v>
      </c>
      <c r="C80" t="s">
        <v>59</v>
      </c>
      <c r="D80" s="1">
        <v>1.0601851851851852E-2</v>
      </c>
      <c r="E80">
        <v>3</v>
      </c>
      <c r="F80" t="s">
        <v>54</v>
      </c>
      <c r="G80" t="s">
        <v>132</v>
      </c>
      <c r="H80" t="str">
        <f>VLOOKUP(G80, teams!B$2:C$36, 2, 0)</f>
        <v>24/7</v>
      </c>
      <c r="I80" t="s">
        <v>56</v>
      </c>
      <c r="J80">
        <v>0.55555555555555503</v>
      </c>
      <c r="K80">
        <v>1</v>
      </c>
      <c r="L80">
        <v>0.66666666666666596</v>
      </c>
      <c r="M80">
        <v>0.33333333333333298</v>
      </c>
      <c r="N80">
        <v>0.27272727272727199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 t="s">
        <v>49</v>
      </c>
      <c r="AO80">
        <v>0</v>
      </c>
      <c r="AP80">
        <v>1</v>
      </c>
      <c r="AQ80">
        <v>2</v>
      </c>
      <c r="AR80">
        <v>0</v>
      </c>
      <c r="AS80">
        <v>0</v>
      </c>
      <c r="AT80">
        <v>0</v>
      </c>
    </row>
    <row r="81" spans="1:46" x14ac:dyDescent="0.2">
      <c r="A81" t="s">
        <v>133</v>
      </c>
      <c r="B81" s="4">
        <f t="shared" si="1"/>
        <v>45717</v>
      </c>
      <c r="C81" t="s">
        <v>45</v>
      </c>
      <c r="D81" s="1">
        <v>1.3912037037037037E-2</v>
      </c>
      <c r="E81">
        <v>7</v>
      </c>
      <c r="F81" t="s">
        <v>66</v>
      </c>
      <c r="G81" t="s">
        <v>99</v>
      </c>
      <c r="H81" t="str">
        <f>VLOOKUP(G81, teams!B$2:C$36, 2, 0)</f>
        <v>Service Desk</v>
      </c>
      <c r="I81" t="s">
        <v>48</v>
      </c>
      <c r="J81">
        <v>0.66666666666666596</v>
      </c>
      <c r="K81">
        <v>1.5</v>
      </c>
      <c r="L81">
        <v>0.83333333333333304</v>
      </c>
      <c r="M81">
        <v>6.6666666666666596E-2</v>
      </c>
      <c r="N81">
        <v>9.0909090909090898E-2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 t="s">
        <v>49</v>
      </c>
      <c r="AO81">
        <v>0</v>
      </c>
      <c r="AP81">
        <v>2</v>
      </c>
      <c r="AQ81">
        <v>0</v>
      </c>
      <c r="AR81">
        <v>1</v>
      </c>
      <c r="AS81">
        <v>0</v>
      </c>
      <c r="AT81">
        <v>0</v>
      </c>
    </row>
    <row r="82" spans="1:46" x14ac:dyDescent="0.2">
      <c r="A82" t="s">
        <v>134</v>
      </c>
      <c r="B82" s="4">
        <f t="shared" si="1"/>
        <v>45717</v>
      </c>
      <c r="C82" t="s">
        <v>77</v>
      </c>
      <c r="D82" s="1">
        <v>1.3900462962962963E-2</v>
      </c>
      <c r="E82">
        <v>14</v>
      </c>
      <c r="F82" t="s">
        <v>72</v>
      </c>
      <c r="G82" t="s">
        <v>97</v>
      </c>
      <c r="H82" t="str">
        <f>VLOOKUP(G82, teams!B$2:C$36, 2, 0)</f>
        <v>Tech</v>
      </c>
      <c r="I82" t="s">
        <v>56</v>
      </c>
      <c r="J82">
        <v>0.44444444444444398</v>
      </c>
      <c r="K82">
        <v>1</v>
      </c>
      <c r="L82">
        <v>0.83333333333333304</v>
      </c>
      <c r="M82">
        <v>0.53333333333333299</v>
      </c>
      <c r="N82">
        <v>0.36363636363636298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49</v>
      </c>
      <c r="AO82">
        <v>1</v>
      </c>
      <c r="AP82">
        <v>2</v>
      </c>
      <c r="AQ82">
        <v>1</v>
      </c>
      <c r="AR82">
        <v>1</v>
      </c>
      <c r="AS82">
        <v>2</v>
      </c>
      <c r="AT82">
        <v>1</v>
      </c>
    </row>
    <row r="83" spans="1:46" x14ac:dyDescent="0.2">
      <c r="A83" t="s">
        <v>134</v>
      </c>
      <c r="B83" s="4">
        <f t="shared" si="1"/>
        <v>45717</v>
      </c>
      <c r="C83" t="s">
        <v>77</v>
      </c>
      <c r="D83" s="1">
        <v>1.3900462962962963E-2</v>
      </c>
      <c r="E83">
        <v>6</v>
      </c>
      <c r="F83" t="s">
        <v>46</v>
      </c>
      <c r="G83" t="s">
        <v>52</v>
      </c>
      <c r="H83" t="str">
        <f>VLOOKUP(G83, teams!B$2:C$36, 2, 0)</f>
        <v>Service Desk</v>
      </c>
      <c r="I83" t="s">
        <v>48</v>
      </c>
      <c r="J83">
        <v>0.33333333333333298</v>
      </c>
      <c r="K83">
        <v>1</v>
      </c>
      <c r="L83">
        <v>0.5</v>
      </c>
      <c r="M83">
        <v>0.46666666666666601</v>
      </c>
      <c r="N83">
        <v>0.36363636363636298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0</v>
      </c>
      <c r="AL83">
        <v>0</v>
      </c>
      <c r="AM83">
        <v>0</v>
      </c>
      <c r="AN83" t="s">
        <v>49</v>
      </c>
      <c r="AO83">
        <v>0</v>
      </c>
      <c r="AP83">
        <v>2</v>
      </c>
      <c r="AQ83">
        <v>0</v>
      </c>
      <c r="AR83">
        <v>2</v>
      </c>
      <c r="AS83">
        <v>0</v>
      </c>
      <c r="AT83">
        <v>0</v>
      </c>
    </row>
    <row r="84" spans="1:46" x14ac:dyDescent="0.2">
      <c r="A84" t="s">
        <v>134</v>
      </c>
      <c r="B84" s="4">
        <f t="shared" si="1"/>
        <v>45717</v>
      </c>
      <c r="C84" t="s">
        <v>77</v>
      </c>
      <c r="D84" s="1">
        <v>1.2233796296296296E-2</v>
      </c>
      <c r="E84">
        <v>16</v>
      </c>
      <c r="F84" t="s">
        <v>75</v>
      </c>
      <c r="G84" t="s">
        <v>78</v>
      </c>
      <c r="H84" t="str">
        <f>VLOOKUP(G84, teams!B$2:C$36, 2, 0)</f>
        <v>Service Desk</v>
      </c>
      <c r="I84" t="s">
        <v>56</v>
      </c>
      <c r="J84">
        <v>0.44444444444444398</v>
      </c>
      <c r="K84">
        <v>1</v>
      </c>
      <c r="L84">
        <v>0.83333333333333304</v>
      </c>
      <c r="M84">
        <v>0.46666666666666601</v>
      </c>
      <c r="N84">
        <v>9.0909090909090898E-2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t="s">
        <v>49</v>
      </c>
      <c r="AO84">
        <v>0</v>
      </c>
      <c r="AP84">
        <v>1</v>
      </c>
      <c r="AQ84">
        <v>0</v>
      </c>
      <c r="AR84">
        <v>0</v>
      </c>
      <c r="AS84">
        <v>1</v>
      </c>
      <c r="AT84">
        <v>0</v>
      </c>
    </row>
    <row r="85" spans="1:46" x14ac:dyDescent="0.2">
      <c r="A85" t="s">
        <v>134</v>
      </c>
      <c r="B85" s="4">
        <f t="shared" si="1"/>
        <v>45717</v>
      </c>
      <c r="C85" t="s">
        <v>77</v>
      </c>
      <c r="D85" s="1">
        <v>1.2858796296296297E-2</v>
      </c>
      <c r="E85">
        <v>5</v>
      </c>
      <c r="F85" t="s">
        <v>63</v>
      </c>
      <c r="G85" t="s">
        <v>129</v>
      </c>
      <c r="H85" t="str">
        <f>VLOOKUP(G85, teams!B$2:C$36, 2, 0)</f>
        <v>Tech</v>
      </c>
      <c r="I85" t="s">
        <v>56</v>
      </c>
      <c r="J85">
        <v>0.33333333333333298</v>
      </c>
      <c r="K85">
        <v>1</v>
      </c>
      <c r="L85">
        <v>0.5</v>
      </c>
      <c r="M85">
        <v>0.4</v>
      </c>
      <c r="N85">
        <v>0.36363636363636298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t="s">
        <v>49</v>
      </c>
      <c r="AO85">
        <v>0</v>
      </c>
      <c r="AP85">
        <v>1</v>
      </c>
      <c r="AQ85">
        <v>1</v>
      </c>
      <c r="AR85">
        <v>0</v>
      </c>
      <c r="AS85">
        <v>0</v>
      </c>
      <c r="AT85">
        <v>0</v>
      </c>
    </row>
    <row r="86" spans="1:46" x14ac:dyDescent="0.2">
      <c r="A86" t="s">
        <v>134</v>
      </c>
      <c r="B86" s="4">
        <f t="shared" si="1"/>
        <v>45717</v>
      </c>
      <c r="C86" t="s">
        <v>77</v>
      </c>
      <c r="D86" s="1">
        <v>1.3900462962962963E-2</v>
      </c>
      <c r="E86">
        <v>16</v>
      </c>
      <c r="F86" t="s">
        <v>75</v>
      </c>
      <c r="G86" t="s">
        <v>106</v>
      </c>
      <c r="H86" t="str">
        <f>VLOOKUP(G86, teams!B$2:C$36, 2, 0)</f>
        <v>Service Desk</v>
      </c>
      <c r="I86" t="s">
        <v>48</v>
      </c>
      <c r="J86">
        <v>0.55555555555555503</v>
      </c>
      <c r="K86">
        <v>1</v>
      </c>
      <c r="L86">
        <v>0.5</v>
      </c>
      <c r="M86">
        <v>0.6</v>
      </c>
      <c r="N86">
        <v>0.54545454545454497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t="s">
        <v>49</v>
      </c>
      <c r="AO86">
        <v>0</v>
      </c>
      <c r="AP86">
        <v>1</v>
      </c>
      <c r="AQ86">
        <v>0</v>
      </c>
      <c r="AR86">
        <v>0</v>
      </c>
      <c r="AS86">
        <v>1</v>
      </c>
      <c r="AT86">
        <v>0</v>
      </c>
    </row>
    <row r="87" spans="1:46" x14ac:dyDescent="0.2">
      <c r="A87" t="s">
        <v>134</v>
      </c>
      <c r="B87" s="4">
        <f t="shared" si="1"/>
        <v>45717</v>
      </c>
      <c r="C87" t="s">
        <v>77</v>
      </c>
      <c r="D87" s="1">
        <v>1.292824074074074E-2</v>
      </c>
      <c r="E87">
        <v>5</v>
      </c>
      <c r="F87" t="s">
        <v>63</v>
      </c>
      <c r="G87" t="s">
        <v>132</v>
      </c>
      <c r="H87" t="str">
        <f>VLOOKUP(G87, teams!B$2:C$36, 2, 0)</f>
        <v>24/7</v>
      </c>
      <c r="I87" t="s">
        <v>56</v>
      </c>
      <c r="J87">
        <v>0.55555555555555503</v>
      </c>
      <c r="K87">
        <v>1</v>
      </c>
      <c r="L87">
        <v>0.83333333333333304</v>
      </c>
      <c r="M87">
        <v>0.33333333333333298</v>
      </c>
      <c r="N87">
        <v>0.36363636363636298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t="s">
        <v>49</v>
      </c>
      <c r="AO87">
        <v>0</v>
      </c>
      <c r="AP87">
        <v>1</v>
      </c>
      <c r="AQ87">
        <v>1</v>
      </c>
      <c r="AR87">
        <v>0</v>
      </c>
      <c r="AS87">
        <v>0</v>
      </c>
      <c r="AT87">
        <v>0</v>
      </c>
    </row>
    <row r="88" spans="1:46" x14ac:dyDescent="0.2">
      <c r="A88" t="s">
        <v>135</v>
      </c>
      <c r="B88" s="4">
        <f t="shared" si="1"/>
        <v>45717</v>
      </c>
      <c r="C88" t="s">
        <v>45</v>
      </c>
      <c r="D88" s="1">
        <v>1.3900462962962963E-2</v>
      </c>
      <c r="E88">
        <v>14</v>
      </c>
      <c r="F88" t="s">
        <v>72</v>
      </c>
      <c r="G88" t="s">
        <v>99</v>
      </c>
      <c r="H88" t="str">
        <f>VLOOKUP(G88, teams!B$2:C$36, 2, 0)</f>
        <v>Service Desk</v>
      </c>
      <c r="I88" t="s">
        <v>48</v>
      </c>
      <c r="J88">
        <v>0.44444444444444398</v>
      </c>
      <c r="K88">
        <v>1</v>
      </c>
      <c r="L88">
        <v>0.5</v>
      </c>
      <c r="M88">
        <v>0.4</v>
      </c>
      <c r="N88">
        <v>0.36363636363636298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49</v>
      </c>
      <c r="AO88">
        <v>1</v>
      </c>
      <c r="AP88">
        <v>2</v>
      </c>
      <c r="AQ88">
        <v>1</v>
      </c>
      <c r="AR88">
        <v>1</v>
      </c>
      <c r="AS88">
        <v>2</v>
      </c>
      <c r="AT88">
        <v>1</v>
      </c>
    </row>
    <row r="89" spans="1:46" x14ac:dyDescent="0.2">
      <c r="A89" t="s">
        <v>136</v>
      </c>
      <c r="B89" s="4">
        <f t="shared" si="1"/>
        <v>45717</v>
      </c>
      <c r="C89" t="s">
        <v>91</v>
      </c>
      <c r="D89" s="1">
        <v>1.3900462962962963E-2</v>
      </c>
      <c r="E89">
        <v>5</v>
      </c>
      <c r="F89" t="s">
        <v>63</v>
      </c>
      <c r="G89" t="s">
        <v>130</v>
      </c>
      <c r="H89" t="str">
        <f>VLOOKUP(G89, teams!B$2:C$36, 2, 0)</f>
        <v>24/7</v>
      </c>
      <c r="I89" t="s">
        <v>48</v>
      </c>
      <c r="J89">
        <v>0.66666666666666596</v>
      </c>
      <c r="K89">
        <v>1</v>
      </c>
      <c r="L89">
        <v>0.66666666666666596</v>
      </c>
      <c r="M89">
        <v>0.266666666666666</v>
      </c>
      <c r="N89">
        <v>0.18181818181818099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t="s">
        <v>49</v>
      </c>
      <c r="AO89">
        <v>0</v>
      </c>
      <c r="AP89">
        <v>1</v>
      </c>
      <c r="AQ89">
        <v>1</v>
      </c>
      <c r="AR89">
        <v>0</v>
      </c>
      <c r="AS89">
        <v>0</v>
      </c>
      <c r="AT89">
        <v>0</v>
      </c>
    </row>
    <row r="90" spans="1:46" x14ac:dyDescent="0.2">
      <c r="A90" t="s">
        <v>137</v>
      </c>
      <c r="B90" s="4">
        <f t="shared" si="1"/>
        <v>45748</v>
      </c>
      <c r="C90" t="s">
        <v>77</v>
      </c>
      <c r="D90" s="1">
        <v>1.3819444444444445E-2</v>
      </c>
      <c r="E90">
        <v>7</v>
      </c>
      <c r="F90" t="s">
        <v>66</v>
      </c>
      <c r="G90" t="s">
        <v>52</v>
      </c>
      <c r="H90" t="str">
        <f>VLOOKUP(G90, teams!B$2:C$36, 2, 0)</f>
        <v>Service Desk</v>
      </c>
      <c r="I90" t="s">
        <v>56</v>
      </c>
      <c r="J90">
        <v>0.55555555555555503</v>
      </c>
      <c r="K90">
        <v>1</v>
      </c>
      <c r="L90">
        <v>0.66666666666666596</v>
      </c>
      <c r="M90">
        <v>0.33333333333333298</v>
      </c>
      <c r="N90">
        <v>0.36363636363636298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 t="s">
        <v>49</v>
      </c>
      <c r="AO90">
        <v>0</v>
      </c>
      <c r="AP90">
        <v>2</v>
      </c>
      <c r="AQ90">
        <v>0</v>
      </c>
      <c r="AR90">
        <v>1</v>
      </c>
      <c r="AS90">
        <v>0</v>
      </c>
      <c r="AT90">
        <v>0</v>
      </c>
    </row>
    <row r="91" spans="1:46" x14ac:dyDescent="0.2">
      <c r="A91" t="s">
        <v>137</v>
      </c>
      <c r="B91" s="4">
        <f t="shared" si="1"/>
        <v>45748</v>
      </c>
      <c r="C91" t="s">
        <v>77</v>
      </c>
      <c r="D91" s="1">
        <v>1.3912037037037037E-2</v>
      </c>
      <c r="E91">
        <v>7</v>
      </c>
      <c r="F91" t="s">
        <v>66</v>
      </c>
      <c r="G91" t="s">
        <v>129</v>
      </c>
      <c r="H91" t="str">
        <f>VLOOKUP(G91, teams!B$2:C$36, 2, 0)</f>
        <v>Tech</v>
      </c>
      <c r="I91" t="s">
        <v>48</v>
      </c>
      <c r="J91">
        <v>0.55555555555555503</v>
      </c>
      <c r="K91">
        <v>1.5</v>
      </c>
      <c r="L91">
        <v>0.83333333333333304</v>
      </c>
      <c r="M91">
        <v>0.266666666666666</v>
      </c>
      <c r="N91">
        <v>0.54545454545454497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 t="s">
        <v>49</v>
      </c>
      <c r="AO91">
        <v>0</v>
      </c>
      <c r="AP91">
        <v>2</v>
      </c>
      <c r="AQ91">
        <v>0</v>
      </c>
      <c r="AR91">
        <v>1</v>
      </c>
      <c r="AS91">
        <v>0</v>
      </c>
      <c r="AT91">
        <v>0</v>
      </c>
    </row>
    <row r="92" spans="1:46" x14ac:dyDescent="0.2">
      <c r="A92" t="s">
        <v>138</v>
      </c>
      <c r="B92" s="4">
        <f t="shared" si="1"/>
        <v>45748</v>
      </c>
      <c r="C92" t="s">
        <v>45</v>
      </c>
      <c r="D92" s="1">
        <v>1.1828703703703704E-2</v>
      </c>
      <c r="E92">
        <v>16</v>
      </c>
      <c r="F92" t="s">
        <v>75</v>
      </c>
      <c r="G92" t="s">
        <v>99</v>
      </c>
      <c r="H92" t="str">
        <f>VLOOKUP(G92, teams!B$2:C$36, 2, 0)</f>
        <v>Service Desk</v>
      </c>
      <c r="I92" t="s">
        <v>56</v>
      </c>
      <c r="J92">
        <v>0.55555555555555503</v>
      </c>
      <c r="K92">
        <v>1</v>
      </c>
      <c r="L92">
        <v>0.83333333333333304</v>
      </c>
      <c r="M92">
        <v>0.6</v>
      </c>
      <c r="N92">
        <v>0.36363636363636298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49</v>
      </c>
      <c r="AO92">
        <v>0</v>
      </c>
      <c r="AP92">
        <v>1</v>
      </c>
      <c r="AQ92">
        <v>0</v>
      </c>
      <c r="AR92">
        <v>0</v>
      </c>
      <c r="AS92">
        <v>1</v>
      </c>
      <c r="AT92">
        <v>0</v>
      </c>
    </row>
    <row r="93" spans="1:46" x14ac:dyDescent="0.2">
      <c r="A93" t="s">
        <v>138</v>
      </c>
      <c r="B93" s="4">
        <f t="shared" si="1"/>
        <v>45748</v>
      </c>
      <c r="C93" t="s">
        <v>45</v>
      </c>
      <c r="D93" s="1">
        <v>1.3831018518518519E-2</v>
      </c>
      <c r="E93">
        <v>3</v>
      </c>
      <c r="F93" t="s">
        <v>54</v>
      </c>
      <c r="G93" t="s">
        <v>139</v>
      </c>
      <c r="H93" t="str">
        <f>VLOOKUP(G93, teams!B$2:C$36, 2, 0)</f>
        <v>24/7</v>
      </c>
      <c r="I93" t="s">
        <v>56</v>
      </c>
      <c r="J93">
        <v>0.88888888888888795</v>
      </c>
      <c r="K93">
        <v>1</v>
      </c>
      <c r="L93">
        <v>1</v>
      </c>
      <c r="M93">
        <v>0.53333333333333299</v>
      </c>
      <c r="N93">
        <v>0.18181818181818099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 t="s">
        <v>49</v>
      </c>
      <c r="AO93">
        <v>0</v>
      </c>
      <c r="AP93">
        <v>1</v>
      </c>
      <c r="AQ93">
        <v>2</v>
      </c>
      <c r="AR93">
        <v>0</v>
      </c>
      <c r="AS93">
        <v>0</v>
      </c>
      <c r="AT93">
        <v>0</v>
      </c>
    </row>
    <row r="94" spans="1:46" x14ac:dyDescent="0.2">
      <c r="A94" t="s">
        <v>140</v>
      </c>
      <c r="B94" s="4">
        <f t="shared" si="1"/>
        <v>45748</v>
      </c>
      <c r="C94" t="s">
        <v>77</v>
      </c>
      <c r="D94" s="1">
        <v>1.369212962962963E-2</v>
      </c>
      <c r="E94">
        <v>14</v>
      </c>
      <c r="F94" t="s">
        <v>72</v>
      </c>
      <c r="G94" t="s">
        <v>52</v>
      </c>
      <c r="H94" t="str">
        <f>VLOOKUP(G94, teams!B$2:C$36, 2, 0)</f>
        <v>Service Desk</v>
      </c>
      <c r="I94" t="s">
        <v>56</v>
      </c>
      <c r="J94">
        <v>0.33333333333333298</v>
      </c>
      <c r="K94">
        <v>1</v>
      </c>
      <c r="L94">
        <v>0.66666666666666596</v>
      </c>
      <c r="M94">
        <v>0.46666666666666601</v>
      </c>
      <c r="N94">
        <v>0.45454545454545398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49</v>
      </c>
      <c r="AO94">
        <v>1</v>
      </c>
      <c r="AP94">
        <v>2</v>
      </c>
      <c r="AQ94">
        <v>1</v>
      </c>
      <c r="AR94">
        <v>1</v>
      </c>
      <c r="AS94">
        <v>2</v>
      </c>
      <c r="AT94">
        <v>1</v>
      </c>
    </row>
    <row r="95" spans="1:46" x14ac:dyDescent="0.2">
      <c r="A95" t="s">
        <v>140</v>
      </c>
      <c r="B95" s="4">
        <f t="shared" si="1"/>
        <v>45748</v>
      </c>
      <c r="C95" t="s">
        <v>77</v>
      </c>
      <c r="D95" s="1">
        <v>1.255787037037037E-2</v>
      </c>
      <c r="E95">
        <v>6</v>
      </c>
      <c r="F95" t="s">
        <v>46</v>
      </c>
      <c r="G95" t="s">
        <v>129</v>
      </c>
      <c r="H95" t="str">
        <f>VLOOKUP(G95, teams!B$2:C$36, 2, 0)</f>
        <v>Tech</v>
      </c>
      <c r="I95" t="s">
        <v>56</v>
      </c>
      <c r="J95">
        <v>0.44444444444444398</v>
      </c>
      <c r="K95">
        <v>1</v>
      </c>
      <c r="L95">
        <v>0.66666666666666596</v>
      </c>
      <c r="M95">
        <v>0.46666666666666601</v>
      </c>
      <c r="N95">
        <v>0.18181818181818099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1</v>
      </c>
      <c r="AK95">
        <v>0</v>
      </c>
      <c r="AL95">
        <v>0</v>
      </c>
      <c r="AM95">
        <v>0</v>
      </c>
      <c r="AN95" t="s">
        <v>49</v>
      </c>
      <c r="AO95">
        <v>0</v>
      </c>
      <c r="AP95">
        <v>2</v>
      </c>
      <c r="AQ95">
        <v>0</v>
      </c>
      <c r="AR95">
        <v>2</v>
      </c>
      <c r="AS95">
        <v>0</v>
      </c>
      <c r="AT95">
        <v>0</v>
      </c>
    </row>
    <row r="96" spans="1:46" x14ac:dyDescent="0.2">
      <c r="A96" t="s">
        <v>140</v>
      </c>
      <c r="B96" s="4">
        <f t="shared" si="1"/>
        <v>45748</v>
      </c>
      <c r="C96" t="s">
        <v>77</v>
      </c>
      <c r="D96" s="1">
        <v>1.2638888888888889E-2</v>
      </c>
      <c r="E96">
        <v>5</v>
      </c>
      <c r="F96" t="s">
        <v>63</v>
      </c>
      <c r="G96" t="s">
        <v>139</v>
      </c>
      <c r="H96" t="str">
        <f>VLOOKUP(G96, teams!B$2:C$36, 2, 0)</f>
        <v>24/7</v>
      </c>
      <c r="I96" t="s">
        <v>56</v>
      </c>
      <c r="J96">
        <v>0.55555555555555503</v>
      </c>
      <c r="K96">
        <v>1</v>
      </c>
      <c r="L96">
        <v>1</v>
      </c>
      <c r="M96">
        <v>0.53333333333333299</v>
      </c>
      <c r="N96">
        <v>0.18181818181818099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t="s">
        <v>49</v>
      </c>
      <c r="AO96">
        <v>0</v>
      </c>
      <c r="AP96">
        <v>1</v>
      </c>
      <c r="AQ96">
        <v>1</v>
      </c>
      <c r="AR96">
        <v>0</v>
      </c>
      <c r="AS96">
        <v>0</v>
      </c>
      <c r="AT96">
        <v>0</v>
      </c>
    </row>
    <row r="97" spans="1:46" x14ac:dyDescent="0.2">
      <c r="A97" t="s">
        <v>141</v>
      </c>
      <c r="B97" s="4">
        <f t="shared" si="1"/>
        <v>45748</v>
      </c>
      <c r="C97" t="s">
        <v>45</v>
      </c>
      <c r="D97" s="1">
        <v>1.3900462962962963E-2</v>
      </c>
      <c r="E97">
        <v>16</v>
      </c>
      <c r="F97" t="s">
        <v>75</v>
      </c>
      <c r="G97" t="s">
        <v>62</v>
      </c>
      <c r="H97" t="str">
        <f>VLOOKUP(G97, teams!B$2:C$36, 2, 0)</f>
        <v>Service Desk</v>
      </c>
      <c r="I97" t="s">
        <v>48</v>
      </c>
      <c r="J97">
        <v>1</v>
      </c>
      <c r="K97">
        <v>1.5</v>
      </c>
      <c r="L97">
        <v>0.66666666666666596</v>
      </c>
      <c r="M97">
        <v>0.46666666666666601</v>
      </c>
      <c r="N97">
        <v>0.45454545454545398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s">
        <v>49</v>
      </c>
      <c r="AO97">
        <v>0</v>
      </c>
      <c r="AP97">
        <v>1</v>
      </c>
      <c r="AQ97">
        <v>0</v>
      </c>
      <c r="AR97">
        <v>0</v>
      </c>
      <c r="AS97">
        <v>1</v>
      </c>
      <c r="AT97">
        <v>0</v>
      </c>
    </row>
    <row r="98" spans="1:46" x14ac:dyDescent="0.2">
      <c r="A98" t="s">
        <v>141</v>
      </c>
      <c r="B98" s="4">
        <f t="shared" si="1"/>
        <v>45748</v>
      </c>
      <c r="C98" t="s">
        <v>45</v>
      </c>
      <c r="D98" s="1">
        <v>1.3912037037037037E-2</v>
      </c>
      <c r="E98">
        <v>16</v>
      </c>
      <c r="F98" t="s">
        <v>75</v>
      </c>
      <c r="G98" t="s">
        <v>130</v>
      </c>
      <c r="H98" t="str">
        <f>VLOOKUP(G98, teams!B$2:C$36, 2, 0)</f>
        <v>24/7</v>
      </c>
      <c r="I98" t="s">
        <v>48</v>
      </c>
      <c r="J98">
        <v>0.22222222222222199</v>
      </c>
      <c r="K98">
        <v>0.5</v>
      </c>
      <c r="L98">
        <v>0.33333333333333298</v>
      </c>
      <c r="M98">
        <v>0.133333333333333</v>
      </c>
      <c r="N98">
        <v>0.18181818181818099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t="s">
        <v>49</v>
      </c>
      <c r="AO98">
        <v>0</v>
      </c>
      <c r="AP98">
        <v>1</v>
      </c>
      <c r="AQ98">
        <v>0</v>
      </c>
      <c r="AR98">
        <v>0</v>
      </c>
      <c r="AS98">
        <v>1</v>
      </c>
      <c r="AT98">
        <v>0</v>
      </c>
    </row>
    <row r="99" spans="1:46" x14ac:dyDescent="0.2">
      <c r="A99" t="s">
        <v>141</v>
      </c>
      <c r="B99" s="4">
        <f t="shared" si="1"/>
        <v>45748</v>
      </c>
      <c r="C99" t="s">
        <v>45</v>
      </c>
      <c r="D99" s="1">
        <v>1.170138888888889E-2</v>
      </c>
      <c r="E99">
        <v>16</v>
      </c>
      <c r="F99" t="s">
        <v>75</v>
      </c>
      <c r="G99" t="s">
        <v>103</v>
      </c>
      <c r="H99" t="str">
        <f>VLOOKUP(G99, teams!B$2:C$36, 2, 0)</f>
        <v>Tech</v>
      </c>
      <c r="I99" t="s">
        <v>56</v>
      </c>
      <c r="J99">
        <v>0.77777777777777701</v>
      </c>
      <c r="K99">
        <v>1</v>
      </c>
      <c r="L99">
        <v>0.66666666666666596</v>
      </c>
      <c r="M99">
        <v>0.8</v>
      </c>
      <c r="N99">
        <v>0.45454545454545398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t="s">
        <v>49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0</v>
      </c>
    </row>
    <row r="100" spans="1:46" x14ac:dyDescent="0.2">
      <c r="A100" t="s">
        <v>142</v>
      </c>
      <c r="B100" s="4">
        <f t="shared" si="1"/>
        <v>45748</v>
      </c>
      <c r="C100" t="s">
        <v>51</v>
      </c>
      <c r="D100" s="1">
        <v>1.3900462962962963E-2</v>
      </c>
      <c r="E100">
        <v>3</v>
      </c>
      <c r="F100" t="s">
        <v>54</v>
      </c>
      <c r="G100" t="s">
        <v>143</v>
      </c>
      <c r="H100" t="str">
        <f>VLOOKUP(G100, teams!B$2:C$36, 2, 0)</f>
        <v>unidentified</v>
      </c>
      <c r="I100" t="s">
        <v>48</v>
      </c>
      <c r="J100">
        <v>0.55555555555555503</v>
      </c>
      <c r="K100">
        <v>1.5</v>
      </c>
      <c r="L100">
        <v>0.83333333333333304</v>
      </c>
      <c r="M100">
        <v>0.4</v>
      </c>
      <c r="N100">
        <v>0.18181818181818099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 t="s">
        <v>49</v>
      </c>
      <c r="AO100">
        <v>0</v>
      </c>
      <c r="AP100">
        <v>1</v>
      </c>
      <c r="AQ100">
        <v>2</v>
      </c>
      <c r="AR100">
        <v>0</v>
      </c>
      <c r="AS100">
        <v>0</v>
      </c>
      <c r="AT100">
        <v>0</v>
      </c>
    </row>
    <row r="101" spans="1:46" x14ac:dyDescent="0.2">
      <c r="A101" t="s">
        <v>144</v>
      </c>
      <c r="B101" s="4">
        <f t="shared" si="1"/>
        <v>45748</v>
      </c>
      <c r="C101" t="s">
        <v>77</v>
      </c>
      <c r="D101" s="1">
        <v>1.3900462962962963E-2</v>
      </c>
      <c r="E101">
        <v>6</v>
      </c>
      <c r="F101" t="s">
        <v>46</v>
      </c>
      <c r="G101" t="s">
        <v>132</v>
      </c>
      <c r="H101" t="str">
        <f>VLOOKUP(G101, teams!B$2:C$36, 2, 0)</f>
        <v>24/7</v>
      </c>
      <c r="I101" t="s">
        <v>48</v>
      </c>
      <c r="J101">
        <v>0.66666666666666596</v>
      </c>
      <c r="K101">
        <v>1</v>
      </c>
      <c r="L101">
        <v>0.5</v>
      </c>
      <c r="M101">
        <v>0.46666666666666601</v>
      </c>
      <c r="N101">
        <v>0.18181818181818099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0</v>
      </c>
      <c r="AN101" t="s">
        <v>49</v>
      </c>
      <c r="AO101">
        <v>0</v>
      </c>
      <c r="AP101">
        <v>2</v>
      </c>
      <c r="AQ101">
        <v>0</v>
      </c>
      <c r="AR101">
        <v>2</v>
      </c>
      <c r="AS101">
        <v>0</v>
      </c>
      <c r="AT101">
        <v>0</v>
      </c>
    </row>
    <row r="102" spans="1:46" x14ac:dyDescent="0.2">
      <c r="A102" t="s">
        <v>145</v>
      </c>
      <c r="B102" s="4">
        <f t="shared" si="1"/>
        <v>45748</v>
      </c>
      <c r="C102" t="s">
        <v>59</v>
      </c>
      <c r="D102" s="1">
        <v>1.2129629629629629E-2</v>
      </c>
      <c r="E102">
        <v>16</v>
      </c>
      <c r="F102" t="s">
        <v>75</v>
      </c>
      <c r="G102" t="s">
        <v>97</v>
      </c>
      <c r="H102" t="str">
        <f>VLOOKUP(G102, teams!B$2:C$36, 2, 0)</f>
        <v>Tech</v>
      </c>
      <c r="I102" t="s">
        <v>56</v>
      </c>
      <c r="J102">
        <v>0.33333333333333298</v>
      </c>
      <c r="K102">
        <v>1</v>
      </c>
      <c r="L102">
        <v>0.83333333333333304</v>
      </c>
      <c r="M102">
        <v>0.46666666666666601</v>
      </c>
      <c r="N102">
        <v>0.18181818181818099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49</v>
      </c>
      <c r="AO102">
        <v>0</v>
      </c>
      <c r="AP102">
        <v>1</v>
      </c>
      <c r="AQ102">
        <v>0</v>
      </c>
      <c r="AR102">
        <v>0</v>
      </c>
      <c r="AS102">
        <v>1</v>
      </c>
      <c r="AT102">
        <v>0</v>
      </c>
    </row>
    <row r="103" spans="1:46" x14ac:dyDescent="0.2">
      <c r="A103" t="s">
        <v>146</v>
      </c>
      <c r="B103" s="4">
        <f t="shared" si="1"/>
        <v>45748</v>
      </c>
      <c r="C103" t="s">
        <v>45</v>
      </c>
      <c r="D103" s="1">
        <v>1.2962962962962963E-2</v>
      </c>
      <c r="E103">
        <v>3</v>
      </c>
      <c r="F103" t="s">
        <v>54</v>
      </c>
      <c r="G103" t="s">
        <v>147</v>
      </c>
      <c r="H103" t="str">
        <f>VLOOKUP(G103, teams!B$2:C$36, 2, 0)</f>
        <v>24/7</v>
      </c>
      <c r="I103" t="s">
        <v>56</v>
      </c>
      <c r="J103">
        <v>0.55555555555555503</v>
      </c>
      <c r="K103">
        <v>1.5</v>
      </c>
      <c r="L103">
        <v>0.83333333333333304</v>
      </c>
      <c r="M103">
        <v>0.66666666666666596</v>
      </c>
      <c r="N103">
        <v>0.27272727272727199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 t="s">
        <v>49</v>
      </c>
      <c r="AO103">
        <v>0</v>
      </c>
      <c r="AP103">
        <v>1</v>
      </c>
      <c r="AQ103">
        <v>2</v>
      </c>
      <c r="AR103">
        <v>0</v>
      </c>
      <c r="AS103">
        <v>0</v>
      </c>
      <c r="AT103">
        <v>0</v>
      </c>
    </row>
    <row r="104" spans="1:46" x14ac:dyDescent="0.2">
      <c r="A104" t="s">
        <v>148</v>
      </c>
      <c r="B104" s="4">
        <f t="shared" si="1"/>
        <v>45748</v>
      </c>
      <c r="C104" t="s">
        <v>77</v>
      </c>
      <c r="D104" s="1">
        <v>1.2673611111111111E-2</v>
      </c>
      <c r="E104">
        <v>5</v>
      </c>
      <c r="F104" t="s">
        <v>63</v>
      </c>
      <c r="G104" t="s">
        <v>78</v>
      </c>
      <c r="H104" t="str">
        <f>VLOOKUP(G104, teams!B$2:C$36, 2, 0)</f>
        <v>Service Desk</v>
      </c>
      <c r="I104" t="s">
        <v>56</v>
      </c>
      <c r="J104">
        <v>0.77777777777777701</v>
      </c>
      <c r="K104">
        <v>1</v>
      </c>
      <c r="L104">
        <v>0.83333333333333304</v>
      </c>
      <c r="M104">
        <v>0.53333333333333299</v>
      </c>
      <c r="N104">
        <v>0.27272727272727199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t="s">
        <v>49</v>
      </c>
      <c r="AO104">
        <v>0</v>
      </c>
      <c r="AP104">
        <v>1</v>
      </c>
      <c r="AQ104">
        <v>1</v>
      </c>
      <c r="AR104">
        <v>0</v>
      </c>
      <c r="AS104">
        <v>0</v>
      </c>
      <c r="AT104">
        <v>0</v>
      </c>
    </row>
    <row r="105" spans="1:46" x14ac:dyDescent="0.2">
      <c r="A105" t="s">
        <v>148</v>
      </c>
      <c r="B105" s="4">
        <f t="shared" si="1"/>
        <v>45748</v>
      </c>
      <c r="C105" t="s">
        <v>77</v>
      </c>
      <c r="D105" s="1">
        <v>1.3819444444444445E-2</v>
      </c>
      <c r="E105">
        <v>16</v>
      </c>
      <c r="F105" t="s">
        <v>75</v>
      </c>
      <c r="G105" t="s">
        <v>129</v>
      </c>
      <c r="H105" t="str">
        <f>VLOOKUP(G105, teams!B$2:C$36, 2, 0)</f>
        <v>Tech</v>
      </c>
      <c r="I105" t="s">
        <v>56</v>
      </c>
      <c r="J105">
        <v>0.44444444444444398</v>
      </c>
      <c r="K105">
        <v>1</v>
      </c>
      <c r="L105">
        <v>0.83333333333333304</v>
      </c>
      <c r="M105">
        <v>0.53333333333333299</v>
      </c>
      <c r="N105">
        <v>0.27272727272727199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t="s">
        <v>49</v>
      </c>
      <c r="AO105">
        <v>0</v>
      </c>
      <c r="AP105">
        <v>1</v>
      </c>
      <c r="AQ105">
        <v>0</v>
      </c>
      <c r="AR105">
        <v>0</v>
      </c>
      <c r="AS105">
        <v>1</v>
      </c>
      <c r="AT105">
        <v>0</v>
      </c>
    </row>
    <row r="106" spans="1:46" x14ac:dyDescent="0.2">
      <c r="A106" t="s">
        <v>148</v>
      </c>
      <c r="B106" s="4">
        <f t="shared" si="1"/>
        <v>45748</v>
      </c>
      <c r="C106" t="s">
        <v>77</v>
      </c>
      <c r="D106" s="1">
        <v>1.3912037037037037E-2</v>
      </c>
      <c r="E106">
        <v>6</v>
      </c>
      <c r="F106" t="s">
        <v>46</v>
      </c>
      <c r="G106" t="s">
        <v>139</v>
      </c>
      <c r="H106" t="str">
        <f>VLOOKUP(G106, teams!B$2:C$36, 2, 0)</f>
        <v>24/7</v>
      </c>
      <c r="I106" t="s">
        <v>48</v>
      </c>
      <c r="J106">
        <v>0.55555555555555503</v>
      </c>
      <c r="K106">
        <v>1</v>
      </c>
      <c r="L106">
        <v>0.5</v>
      </c>
      <c r="M106">
        <v>0.46666666666666601</v>
      </c>
      <c r="N106">
        <v>0.45454545454545398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1</v>
      </c>
      <c r="AK106">
        <v>0</v>
      </c>
      <c r="AL106">
        <v>0</v>
      </c>
      <c r="AM106">
        <v>0</v>
      </c>
      <c r="AN106" t="s">
        <v>49</v>
      </c>
      <c r="AO106">
        <v>0</v>
      </c>
      <c r="AP106">
        <v>2</v>
      </c>
      <c r="AQ106">
        <v>0</v>
      </c>
      <c r="AR106">
        <v>2</v>
      </c>
      <c r="AS106">
        <v>0</v>
      </c>
      <c r="AT106">
        <v>0</v>
      </c>
    </row>
    <row r="107" spans="1:46" x14ac:dyDescent="0.2">
      <c r="A107" t="s">
        <v>148</v>
      </c>
      <c r="B107" s="4">
        <f t="shared" si="1"/>
        <v>45748</v>
      </c>
      <c r="C107" t="s">
        <v>77</v>
      </c>
      <c r="D107" s="1">
        <v>1.3981481481481482E-2</v>
      </c>
      <c r="E107">
        <v>14</v>
      </c>
      <c r="F107" t="s">
        <v>72</v>
      </c>
      <c r="G107" t="s">
        <v>132</v>
      </c>
      <c r="H107" t="str">
        <f>VLOOKUP(G107, teams!B$2:C$36, 2, 0)</f>
        <v>24/7</v>
      </c>
      <c r="I107" t="s">
        <v>56</v>
      </c>
      <c r="J107">
        <v>0.66666666666666596</v>
      </c>
      <c r="K107">
        <v>1</v>
      </c>
      <c r="L107">
        <v>1</v>
      </c>
      <c r="M107">
        <v>0.66666666666666596</v>
      </c>
      <c r="N107">
        <v>0.72727272727272696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t="s">
        <v>49</v>
      </c>
      <c r="AO107">
        <v>1</v>
      </c>
      <c r="AP107">
        <v>2</v>
      </c>
      <c r="AQ107">
        <v>1</v>
      </c>
      <c r="AR107">
        <v>1</v>
      </c>
      <c r="AS107">
        <v>2</v>
      </c>
      <c r="AT107">
        <v>1</v>
      </c>
    </row>
    <row r="108" spans="1:46" x14ac:dyDescent="0.2">
      <c r="A108" t="s">
        <v>149</v>
      </c>
      <c r="B108" s="4">
        <f t="shared" si="1"/>
        <v>45748</v>
      </c>
      <c r="C108" t="s">
        <v>59</v>
      </c>
      <c r="D108" s="1">
        <v>1.3900462962962963E-2</v>
      </c>
      <c r="E108">
        <v>14</v>
      </c>
      <c r="F108" t="s">
        <v>72</v>
      </c>
      <c r="G108" t="s">
        <v>60</v>
      </c>
      <c r="H108" t="str">
        <f>VLOOKUP(G108, teams!B$2:C$36, 2, 0)</f>
        <v>Service Desk</v>
      </c>
      <c r="I108" t="s">
        <v>48</v>
      </c>
      <c r="J108">
        <v>0.44444444444444398</v>
      </c>
      <c r="K108">
        <v>1</v>
      </c>
      <c r="L108">
        <v>0.5</v>
      </c>
      <c r="M108">
        <v>0.6</v>
      </c>
      <c r="N108">
        <v>0.36363636363636298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49</v>
      </c>
      <c r="AO108">
        <v>1</v>
      </c>
      <c r="AP108">
        <v>2</v>
      </c>
      <c r="AQ108">
        <v>1</v>
      </c>
      <c r="AR108">
        <v>1</v>
      </c>
      <c r="AS108">
        <v>2</v>
      </c>
      <c r="AT108">
        <v>1</v>
      </c>
    </row>
    <row r="109" spans="1:46" x14ac:dyDescent="0.2">
      <c r="A109" t="s">
        <v>149</v>
      </c>
      <c r="B109" s="4">
        <f t="shared" si="1"/>
        <v>45748</v>
      </c>
      <c r="C109" t="s">
        <v>59</v>
      </c>
      <c r="D109" s="1">
        <v>1.3900462962962963E-2</v>
      </c>
      <c r="E109">
        <v>3</v>
      </c>
      <c r="F109" t="s">
        <v>54</v>
      </c>
      <c r="G109" t="s">
        <v>150</v>
      </c>
      <c r="H109" t="str">
        <f>VLOOKUP(G109, teams!B$2:C$36, 2, 0)</f>
        <v>24/7</v>
      </c>
      <c r="I109" t="s">
        <v>48</v>
      </c>
      <c r="J109">
        <v>0.33333333333333298</v>
      </c>
      <c r="K109">
        <v>0.5</v>
      </c>
      <c r="L109">
        <v>0.33333333333333298</v>
      </c>
      <c r="M109">
        <v>0.2</v>
      </c>
      <c r="N109">
        <v>0.18181818181818099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 t="s">
        <v>49</v>
      </c>
      <c r="AO109">
        <v>0</v>
      </c>
      <c r="AP109">
        <v>1</v>
      </c>
      <c r="AQ109">
        <v>2</v>
      </c>
      <c r="AR109">
        <v>0</v>
      </c>
      <c r="AS109">
        <v>0</v>
      </c>
      <c r="AT109">
        <v>0</v>
      </c>
    </row>
    <row r="110" spans="1:46" x14ac:dyDescent="0.2">
      <c r="A110" t="s">
        <v>151</v>
      </c>
      <c r="B110" s="4">
        <f t="shared" si="1"/>
        <v>45748</v>
      </c>
      <c r="C110" t="s">
        <v>45</v>
      </c>
      <c r="D110" s="1">
        <v>1.2453703703703703E-2</v>
      </c>
      <c r="E110">
        <v>4</v>
      </c>
      <c r="F110" t="s">
        <v>82</v>
      </c>
      <c r="G110" t="s">
        <v>62</v>
      </c>
      <c r="H110" t="str">
        <f>VLOOKUP(G110, teams!B$2:C$36, 2, 0)</f>
        <v>Service Desk</v>
      </c>
      <c r="I110" t="s">
        <v>56</v>
      </c>
      <c r="J110">
        <v>0.77777777777777701</v>
      </c>
      <c r="K110">
        <v>1</v>
      </c>
      <c r="L110">
        <v>0.66666666666666596</v>
      </c>
      <c r="M110">
        <v>0.46666666666666601</v>
      </c>
      <c r="N110">
        <v>0.18181818181818099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1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49</v>
      </c>
      <c r="AO110">
        <v>1</v>
      </c>
      <c r="AP110">
        <v>4</v>
      </c>
      <c r="AQ110">
        <v>1</v>
      </c>
      <c r="AR110">
        <v>1</v>
      </c>
      <c r="AS110">
        <v>1</v>
      </c>
      <c r="AT110">
        <v>1</v>
      </c>
    </row>
    <row r="111" spans="1:46" x14ac:dyDescent="0.2">
      <c r="A111" t="s">
        <v>151</v>
      </c>
      <c r="B111" s="4">
        <f t="shared" si="1"/>
        <v>45748</v>
      </c>
      <c r="C111" t="s">
        <v>45</v>
      </c>
      <c r="D111" s="1">
        <v>1.2870370370370371E-2</v>
      </c>
      <c r="E111">
        <v>8</v>
      </c>
      <c r="F111" t="s">
        <v>89</v>
      </c>
      <c r="G111" t="s">
        <v>103</v>
      </c>
      <c r="H111" t="str">
        <f>VLOOKUP(G111, teams!B$2:C$36, 2, 0)</f>
        <v>Tech</v>
      </c>
      <c r="I111" t="s">
        <v>56</v>
      </c>
      <c r="J111">
        <v>0.66666666666666596</v>
      </c>
      <c r="K111">
        <v>1</v>
      </c>
      <c r="L111">
        <v>0.83333333333333304</v>
      </c>
      <c r="M111">
        <v>0.53333333333333299</v>
      </c>
      <c r="N111">
        <v>0.45454545454545398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 t="s">
        <v>49</v>
      </c>
      <c r="AO111">
        <v>0</v>
      </c>
      <c r="AP111">
        <v>1</v>
      </c>
      <c r="AQ111">
        <v>2</v>
      </c>
      <c r="AR111">
        <v>0</v>
      </c>
      <c r="AS111">
        <v>0</v>
      </c>
      <c r="AT111">
        <v>1</v>
      </c>
    </row>
    <row r="112" spans="1:46" x14ac:dyDescent="0.2">
      <c r="A112" t="s">
        <v>152</v>
      </c>
      <c r="B112" s="4">
        <f t="shared" si="1"/>
        <v>45748</v>
      </c>
      <c r="C112" t="s">
        <v>51</v>
      </c>
      <c r="D112" s="1">
        <v>1.3912037037037037E-2</v>
      </c>
      <c r="E112">
        <v>4</v>
      </c>
      <c r="F112" t="s">
        <v>82</v>
      </c>
      <c r="G112" t="s">
        <v>106</v>
      </c>
      <c r="H112" t="str">
        <f>VLOOKUP(G112, teams!B$2:C$36, 2, 0)</f>
        <v>Service Desk</v>
      </c>
      <c r="I112" t="s">
        <v>48</v>
      </c>
      <c r="J112">
        <v>0.55555555555555503</v>
      </c>
      <c r="K112">
        <v>1</v>
      </c>
      <c r="L112">
        <v>1</v>
      </c>
      <c r="M112">
        <v>0.4</v>
      </c>
      <c r="N112">
        <v>0.18181818181818099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49</v>
      </c>
      <c r="AO112">
        <v>1</v>
      </c>
      <c r="AP112">
        <v>4</v>
      </c>
      <c r="AQ112">
        <v>1</v>
      </c>
      <c r="AR112">
        <v>1</v>
      </c>
      <c r="AS112">
        <v>1</v>
      </c>
      <c r="AT112">
        <v>1</v>
      </c>
    </row>
    <row r="113" spans="1:46" x14ac:dyDescent="0.2">
      <c r="A113" t="s">
        <v>153</v>
      </c>
      <c r="B113" s="4">
        <f t="shared" si="1"/>
        <v>45748</v>
      </c>
      <c r="C113" t="s">
        <v>77</v>
      </c>
      <c r="D113" s="1">
        <v>1.3912037037037037E-2</v>
      </c>
      <c r="E113">
        <v>14</v>
      </c>
      <c r="F113" t="s">
        <v>72</v>
      </c>
      <c r="G113" t="s">
        <v>129</v>
      </c>
      <c r="H113" t="str">
        <f>VLOOKUP(G113, teams!B$2:C$36, 2, 0)</f>
        <v>Tech</v>
      </c>
      <c r="I113" t="s">
        <v>48</v>
      </c>
      <c r="J113">
        <v>0.55555555555555503</v>
      </c>
      <c r="K113">
        <v>1</v>
      </c>
      <c r="L113">
        <v>0.33333333333333298</v>
      </c>
      <c r="M113">
        <v>0.46666666666666601</v>
      </c>
      <c r="N113">
        <v>0.54545454545454497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49</v>
      </c>
      <c r="AO113">
        <v>1</v>
      </c>
      <c r="AP113">
        <v>2</v>
      </c>
      <c r="AQ113">
        <v>1</v>
      </c>
      <c r="AR113">
        <v>1</v>
      </c>
      <c r="AS113">
        <v>2</v>
      </c>
      <c r="AT113">
        <v>1</v>
      </c>
    </row>
    <row r="114" spans="1:46" x14ac:dyDescent="0.2">
      <c r="A114" t="s">
        <v>153</v>
      </c>
      <c r="B114" s="4">
        <f t="shared" si="1"/>
        <v>45748</v>
      </c>
      <c r="C114" t="s">
        <v>77</v>
      </c>
      <c r="D114" s="1">
        <v>1.3900462962962963E-2</v>
      </c>
      <c r="E114">
        <v>6</v>
      </c>
      <c r="F114" t="s">
        <v>46</v>
      </c>
      <c r="G114" t="s">
        <v>130</v>
      </c>
      <c r="H114" t="str">
        <f>VLOOKUP(G114, teams!B$2:C$36, 2, 0)</f>
        <v>24/7</v>
      </c>
      <c r="I114" t="s">
        <v>48</v>
      </c>
      <c r="J114">
        <v>0.55555555555555503</v>
      </c>
      <c r="K114">
        <v>1</v>
      </c>
      <c r="L114">
        <v>0.33333333333333298</v>
      </c>
      <c r="M114">
        <v>0.266666666666666</v>
      </c>
      <c r="N114">
        <v>0.45454545454545398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1</v>
      </c>
      <c r="AK114">
        <v>0</v>
      </c>
      <c r="AL114">
        <v>0</v>
      </c>
      <c r="AM114">
        <v>0</v>
      </c>
      <c r="AN114" t="s">
        <v>49</v>
      </c>
      <c r="AO114">
        <v>0</v>
      </c>
      <c r="AP114">
        <v>2</v>
      </c>
      <c r="AQ114">
        <v>0</v>
      </c>
      <c r="AR114">
        <v>2</v>
      </c>
      <c r="AS114">
        <v>0</v>
      </c>
      <c r="AT114">
        <v>0</v>
      </c>
    </row>
    <row r="115" spans="1:46" x14ac:dyDescent="0.2">
      <c r="A115" t="s">
        <v>153</v>
      </c>
      <c r="B115" s="4">
        <f t="shared" si="1"/>
        <v>45748</v>
      </c>
      <c r="C115" t="s">
        <v>77</v>
      </c>
      <c r="D115" s="1">
        <v>6.2152777777777779E-3</v>
      </c>
      <c r="E115">
        <v>7</v>
      </c>
      <c r="F115" t="s">
        <v>66</v>
      </c>
      <c r="G115" t="s">
        <v>132</v>
      </c>
      <c r="H115" t="str">
        <f>VLOOKUP(G115, teams!B$2:C$36, 2, 0)</f>
        <v>24/7</v>
      </c>
      <c r="I115" t="s">
        <v>56</v>
      </c>
      <c r="J115">
        <v>0.66666666666666596</v>
      </c>
      <c r="K115">
        <v>1.5</v>
      </c>
      <c r="L115">
        <v>0.66666666666666596</v>
      </c>
      <c r="M115">
        <v>0.33333333333333298</v>
      </c>
      <c r="N115">
        <v>0.36363636363636298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 t="s">
        <v>49</v>
      </c>
      <c r="AO115">
        <v>0</v>
      </c>
      <c r="AP115">
        <v>2</v>
      </c>
      <c r="AQ115">
        <v>0</v>
      </c>
      <c r="AR115">
        <v>1</v>
      </c>
      <c r="AS115">
        <v>0</v>
      </c>
      <c r="AT115">
        <v>0</v>
      </c>
    </row>
    <row r="116" spans="1:46" x14ac:dyDescent="0.2">
      <c r="A116" t="s">
        <v>154</v>
      </c>
      <c r="B116" s="4">
        <f t="shared" si="1"/>
        <v>45748</v>
      </c>
      <c r="C116" t="s">
        <v>59</v>
      </c>
      <c r="D116" s="1">
        <v>1.3356481481481481E-2</v>
      </c>
      <c r="E116">
        <v>5</v>
      </c>
      <c r="F116" t="s">
        <v>63</v>
      </c>
      <c r="G116" t="s">
        <v>143</v>
      </c>
      <c r="H116" t="str">
        <f>VLOOKUP(G116, teams!B$2:C$36, 2, 0)</f>
        <v>unidentified</v>
      </c>
      <c r="I116" t="s">
        <v>56</v>
      </c>
      <c r="J116">
        <v>0.77777777777777701</v>
      </c>
      <c r="K116">
        <v>1</v>
      </c>
      <c r="L116">
        <v>0.83333333333333304</v>
      </c>
      <c r="M116">
        <v>0.73333333333333295</v>
      </c>
      <c r="N116">
        <v>0.45454545454545398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49</v>
      </c>
      <c r="AO116">
        <v>0</v>
      </c>
      <c r="AP116">
        <v>1</v>
      </c>
      <c r="AQ116">
        <v>1</v>
      </c>
      <c r="AR116">
        <v>0</v>
      </c>
      <c r="AS116">
        <v>0</v>
      </c>
      <c r="AT116">
        <v>0</v>
      </c>
    </row>
    <row r="117" spans="1:46" x14ac:dyDescent="0.2">
      <c r="A117" t="s">
        <v>155</v>
      </c>
      <c r="B117" s="4">
        <f t="shared" si="1"/>
        <v>45778</v>
      </c>
      <c r="C117" t="s">
        <v>77</v>
      </c>
      <c r="D117" s="1">
        <v>1.3703703703703704E-2</v>
      </c>
      <c r="E117">
        <v>4</v>
      </c>
      <c r="F117" t="s">
        <v>82</v>
      </c>
      <c r="G117" t="s">
        <v>97</v>
      </c>
      <c r="H117" t="str">
        <f>VLOOKUP(G117, teams!B$2:C$36, 2, 0)</f>
        <v>Tech</v>
      </c>
      <c r="I117" t="s">
        <v>56</v>
      </c>
      <c r="J117">
        <v>0.88888888888888795</v>
      </c>
      <c r="K117">
        <v>1</v>
      </c>
      <c r="L117">
        <v>0.83333333333333304</v>
      </c>
      <c r="M117">
        <v>0.86666666666666603</v>
      </c>
      <c r="N117">
        <v>0.81818181818181801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t="s">
        <v>49</v>
      </c>
      <c r="AO117">
        <v>1</v>
      </c>
      <c r="AP117">
        <v>4</v>
      </c>
      <c r="AQ117">
        <v>1</v>
      </c>
      <c r="AR117">
        <v>1</v>
      </c>
      <c r="AS117">
        <v>1</v>
      </c>
      <c r="AT117">
        <v>1</v>
      </c>
    </row>
    <row r="118" spans="1:46" x14ac:dyDescent="0.2">
      <c r="A118" t="s">
        <v>155</v>
      </c>
      <c r="B118" s="4">
        <f t="shared" si="1"/>
        <v>45778</v>
      </c>
      <c r="C118" t="s">
        <v>77</v>
      </c>
      <c r="D118" s="1">
        <v>9.7222222222222224E-3</v>
      </c>
      <c r="E118">
        <v>4</v>
      </c>
      <c r="F118" t="s">
        <v>82</v>
      </c>
      <c r="G118" t="s">
        <v>78</v>
      </c>
      <c r="H118" t="str">
        <f>VLOOKUP(G118, teams!B$2:C$36, 2, 0)</f>
        <v>Service Desk</v>
      </c>
      <c r="I118" t="s">
        <v>56</v>
      </c>
      <c r="J118">
        <v>0.44444444444444398</v>
      </c>
      <c r="K118">
        <v>1</v>
      </c>
      <c r="L118">
        <v>0.83333333333333304</v>
      </c>
      <c r="M118">
        <v>0.53333333333333299</v>
      </c>
      <c r="N118">
        <v>0.27272727272727199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t="s">
        <v>49</v>
      </c>
      <c r="AO118">
        <v>1</v>
      </c>
      <c r="AP118">
        <v>4</v>
      </c>
      <c r="AQ118">
        <v>1</v>
      </c>
      <c r="AR118">
        <v>1</v>
      </c>
      <c r="AS118">
        <v>1</v>
      </c>
      <c r="AT118">
        <v>1</v>
      </c>
    </row>
    <row r="119" spans="1:46" x14ac:dyDescent="0.2">
      <c r="A119" t="s">
        <v>155</v>
      </c>
      <c r="B119" s="4">
        <f t="shared" si="1"/>
        <v>45778</v>
      </c>
      <c r="C119" t="s">
        <v>77</v>
      </c>
      <c r="D119" s="1">
        <v>1.3900462962962963E-2</v>
      </c>
      <c r="E119">
        <v>16</v>
      </c>
      <c r="F119" t="s">
        <v>75</v>
      </c>
      <c r="G119" t="s">
        <v>52</v>
      </c>
      <c r="H119" t="str">
        <f>VLOOKUP(G119, teams!B$2:C$36, 2, 0)</f>
        <v>Service Desk</v>
      </c>
      <c r="I119" t="s">
        <v>48</v>
      </c>
      <c r="J119">
        <v>0.77777777777777701</v>
      </c>
      <c r="K119">
        <v>1</v>
      </c>
      <c r="L119">
        <v>0.83333333333333304</v>
      </c>
      <c r="M119">
        <v>0.53333333333333299</v>
      </c>
      <c r="N119">
        <v>0.36363636363636298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t="s">
        <v>49</v>
      </c>
      <c r="AO119">
        <v>0</v>
      </c>
      <c r="AP119">
        <v>1</v>
      </c>
      <c r="AQ119">
        <v>0</v>
      </c>
      <c r="AR119">
        <v>0</v>
      </c>
      <c r="AS119">
        <v>1</v>
      </c>
      <c r="AT119">
        <v>0</v>
      </c>
    </row>
    <row r="120" spans="1:46" x14ac:dyDescent="0.2">
      <c r="A120" t="s">
        <v>155</v>
      </c>
      <c r="B120" s="4">
        <f t="shared" si="1"/>
        <v>45778</v>
      </c>
      <c r="C120" t="s">
        <v>77</v>
      </c>
      <c r="D120" s="1">
        <v>1.0162037037037037E-2</v>
      </c>
      <c r="E120">
        <v>3</v>
      </c>
      <c r="F120" t="s">
        <v>54</v>
      </c>
      <c r="G120" t="s">
        <v>156</v>
      </c>
      <c r="H120" t="str">
        <f>VLOOKUP(G120, teams!B$2:C$36, 2, 0)</f>
        <v>24/7</v>
      </c>
      <c r="I120" t="s">
        <v>56</v>
      </c>
      <c r="J120">
        <v>0.33333333333333298</v>
      </c>
      <c r="K120">
        <v>1</v>
      </c>
      <c r="L120">
        <v>0.83333333333333304</v>
      </c>
      <c r="M120">
        <v>0.4</v>
      </c>
      <c r="N120">
        <v>0.18181818181818099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 t="s">
        <v>49</v>
      </c>
      <c r="AO120">
        <v>0</v>
      </c>
      <c r="AP120">
        <v>1</v>
      </c>
      <c r="AQ120">
        <v>2</v>
      </c>
      <c r="AR120">
        <v>0</v>
      </c>
      <c r="AS120">
        <v>0</v>
      </c>
      <c r="AT120">
        <v>0</v>
      </c>
    </row>
    <row r="121" spans="1:46" x14ac:dyDescent="0.2">
      <c r="A121" t="s">
        <v>155</v>
      </c>
      <c r="B121" s="4">
        <f t="shared" si="1"/>
        <v>45778</v>
      </c>
      <c r="C121" t="s">
        <v>77</v>
      </c>
      <c r="D121" s="1">
        <v>1.3912037037037037E-2</v>
      </c>
      <c r="E121">
        <v>4</v>
      </c>
      <c r="F121" t="s">
        <v>82</v>
      </c>
      <c r="G121" t="s">
        <v>129</v>
      </c>
      <c r="H121" t="str">
        <f>VLOOKUP(G121, teams!B$2:C$36, 2, 0)</f>
        <v>Tech</v>
      </c>
      <c r="I121" t="s">
        <v>48</v>
      </c>
      <c r="J121">
        <v>0.33333333333333298</v>
      </c>
      <c r="K121">
        <v>1</v>
      </c>
      <c r="L121">
        <v>0.66666666666666596</v>
      </c>
      <c r="M121">
        <v>0.4</v>
      </c>
      <c r="N121">
        <v>0.27272727272727199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1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49</v>
      </c>
      <c r="AO121">
        <v>1</v>
      </c>
      <c r="AP121">
        <v>4</v>
      </c>
      <c r="AQ121">
        <v>1</v>
      </c>
      <c r="AR121">
        <v>1</v>
      </c>
      <c r="AS121">
        <v>1</v>
      </c>
      <c r="AT121">
        <v>1</v>
      </c>
    </row>
    <row r="122" spans="1:46" x14ac:dyDescent="0.2">
      <c r="A122" t="s">
        <v>157</v>
      </c>
      <c r="B122" s="4">
        <f t="shared" si="1"/>
        <v>45778</v>
      </c>
      <c r="C122" t="s">
        <v>59</v>
      </c>
      <c r="D122" s="1">
        <v>1.3553240740740741E-2</v>
      </c>
      <c r="E122">
        <v>4</v>
      </c>
      <c r="F122" t="s">
        <v>82</v>
      </c>
      <c r="G122" t="s">
        <v>60</v>
      </c>
      <c r="H122" t="str">
        <f>VLOOKUP(G122, teams!B$2:C$36, 2, 0)</f>
        <v>Service Desk</v>
      </c>
      <c r="I122" t="s">
        <v>56</v>
      </c>
      <c r="J122">
        <v>0.55555555555555503</v>
      </c>
      <c r="K122">
        <v>1.5</v>
      </c>
      <c r="L122">
        <v>0.66666666666666596</v>
      </c>
      <c r="M122">
        <v>0.6</v>
      </c>
      <c r="N122">
        <v>0.45454545454545398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 t="s">
        <v>49</v>
      </c>
      <c r="AO122">
        <v>1</v>
      </c>
      <c r="AP122">
        <v>4</v>
      </c>
      <c r="AQ122">
        <v>1</v>
      </c>
      <c r="AR122">
        <v>1</v>
      </c>
      <c r="AS122">
        <v>1</v>
      </c>
      <c r="AT122">
        <v>1</v>
      </c>
    </row>
    <row r="123" spans="1:46" x14ac:dyDescent="0.2">
      <c r="A123" t="s">
        <v>158</v>
      </c>
      <c r="B123" s="4">
        <f t="shared" si="1"/>
        <v>45778</v>
      </c>
      <c r="C123" t="s">
        <v>51</v>
      </c>
      <c r="D123" s="1">
        <v>1.3912037037037037E-2</v>
      </c>
      <c r="E123">
        <v>14</v>
      </c>
      <c r="F123" t="s">
        <v>72</v>
      </c>
      <c r="G123" t="s">
        <v>103</v>
      </c>
      <c r="H123" t="str">
        <f>VLOOKUP(G123, teams!B$2:C$36, 2, 0)</f>
        <v>Tech</v>
      </c>
      <c r="I123" t="s">
        <v>48</v>
      </c>
      <c r="J123">
        <v>0.11111111111111099</v>
      </c>
      <c r="K123">
        <v>0.5</v>
      </c>
      <c r="L123">
        <v>0.66666666666666596</v>
      </c>
      <c r="M123">
        <v>0.46666666666666601</v>
      </c>
      <c r="N123">
        <v>0.18181818181818099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49</v>
      </c>
      <c r="AO123">
        <v>1</v>
      </c>
      <c r="AP123">
        <v>2</v>
      </c>
      <c r="AQ123">
        <v>1</v>
      </c>
      <c r="AR123">
        <v>1</v>
      </c>
      <c r="AS123">
        <v>2</v>
      </c>
      <c r="AT123">
        <v>1</v>
      </c>
    </row>
    <row r="124" spans="1:46" x14ac:dyDescent="0.2">
      <c r="A124" t="s">
        <v>158</v>
      </c>
      <c r="B124" s="4">
        <f t="shared" si="1"/>
        <v>45778</v>
      </c>
      <c r="C124" t="s">
        <v>51</v>
      </c>
      <c r="D124" s="1">
        <v>1.7384259259259259E-2</v>
      </c>
      <c r="E124">
        <v>8</v>
      </c>
      <c r="F124" t="s">
        <v>89</v>
      </c>
      <c r="G124" t="s">
        <v>106</v>
      </c>
      <c r="H124" t="str">
        <f>VLOOKUP(G124, teams!B$2:C$36, 2, 0)</f>
        <v>Service Desk</v>
      </c>
      <c r="I124" t="s">
        <v>48</v>
      </c>
      <c r="J124">
        <v>0.77777777777777701</v>
      </c>
      <c r="K124">
        <v>1</v>
      </c>
      <c r="L124">
        <v>0.83333333333333304</v>
      </c>
      <c r="M124">
        <v>0.73333333333333295</v>
      </c>
      <c r="N124">
        <v>0.54545454545454497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 t="s">
        <v>49</v>
      </c>
      <c r="AO124">
        <v>0</v>
      </c>
      <c r="AP124">
        <v>1</v>
      </c>
      <c r="AQ124">
        <v>2</v>
      </c>
      <c r="AR124">
        <v>0</v>
      </c>
      <c r="AS124">
        <v>0</v>
      </c>
      <c r="AT124">
        <v>1</v>
      </c>
    </row>
    <row r="125" spans="1:46" x14ac:dyDescent="0.2">
      <c r="A125" t="s">
        <v>159</v>
      </c>
      <c r="B125" s="4">
        <f t="shared" si="1"/>
        <v>45778</v>
      </c>
      <c r="C125" t="s">
        <v>91</v>
      </c>
      <c r="D125" s="1">
        <v>1.3900462962962963E-2</v>
      </c>
      <c r="E125">
        <v>5</v>
      </c>
      <c r="F125" t="s">
        <v>63</v>
      </c>
      <c r="G125" t="s">
        <v>147</v>
      </c>
      <c r="H125" t="str">
        <f>VLOOKUP(G125, teams!B$2:C$36, 2, 0)</f>
        <v>24/7</v>
      </c>
      <c r="I125" t="s">
        <v>48</v>
      </c>
      <c r="J125">
        <v>0.77777777777777701</v>
      </c>
      <c r="K125">
        <v>1.5</v>
      </c>
      <c r="L125">
        <v>0.5</v>
      </c>
      <c r="M125">
        <v>0.33333333333333298</v>
      </c>
      <c r="N125">
        <v>0.18181818181818099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t="s">
        <v>49</v>
      </c>
      <c r="AO125">
        <v>0</v>
      </c>
      <c r="AP125">
        <v>1</v>
      </c>
      <c r="AQ125">
        <v>1</v>
      </c>
      <c r="AR125">
        <v>0</v>
      </c>
      <c r="AS125">
        <v>0</v>
      </c>
      <c r="AT125">
        <v>0</v>
      </c>
    </row>
    <row r="126" spans="1:46" x14ac:dyDescent="0.2">
      <c r="A126" t="s">
        <v>160</v>
      </c>
      <c r="B126" s="4">
        <f t="shared" si="1"/>
        <v>45778</v>
      </c>
      <c r="C126" t="s">
        <v>51</v>
      </c>
      <c r="D126" s="1">
        <v>1.3912037037037037E-2</v>
      </c>
      <c r="E126">
        <v>6</v>
      </c>
      <c r="F126" t="s">
        <v>46</v>
      </c>
      <c r="G126" t="s">
        <v>147</v>
      </c>
      <c r="H126" t="str">
        <f>VLOOKUP(G126, teams!B$2:C$36, 2, 0)</f>
        <v>24/7</v>
      </c>
      <c r="I126" t="s">
        <v>48</v>
      </c>
      <c r="J126">
        <v>1</v>
      </c>
      <c r="K126">
        <v>1</v>
      </c>
      <c r="L126">
        <v>0.5</v>
      </c>
      <c r="M126">
        <v>0.53333333333333299</v>
      </c>
      <c r="N126">
        <v>0.36363636363636298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0</v>
      </c>
      <c r="AL126">
        <v>0</v>
      </c>
      <c r="AM126">
        <v>0</v>
      </c>
      <c r="AN126" t="s">
        <v>49</v>
      </c>
      <c r="AO126">
        <v>0</v>
      </c>
      <c r="AP126">
        <v>2</v>
      </c>
      <c r="AQ126">
        <v>0</v>
      </c>
      <c r="AR126">
        <v>2</v>
      </c>
      <c r="AS126">
        <v>0</v>
      </c>
      <c r="AT126">
        <v>0</v>
      </c>
    </row>
    <row r="127" spans="1:46" x14ac:dyDescent="0.2">
      <c r="A127" t="s">
        <v>161</v>
      </c>
      <c r="B127" s="4">
        <f t="shared" si="1"/>
        <v>45778</v>
      </c>
      <c r="C127" t="s">
        <v>77</v>
      </c>
      <c r="D127" s="1">
        <v>1.7164351851851851E-2</v>
      </c>
      <c r="E127">
        <v>8</v>
      </c>
      <c r="F127" t="s">
        <v>89</v>
      </c>
      <c r="G127" t="s">
        <v>97</v>
      </c>
      <c r="H127" t="str">
        <f>VLOOKUP(G127, teams!B$2:C$36, 2, 0)</f>
        <v>Tech</v>
      </c>
      <c r="I127" t="s">
        <v>56</v>
      </c>
      <c r="J127">
        <v>0.55555555555555503</v>
      </c>
      <c r="K127">
        <v>1</v>
      </c>
      <c r="L127">
        <v>0.83333333333333304</v>
      </c>
      <c r="M127">
        <v>0.6</v>
      </c>
      <c r="N127">
        <v>0.36363636363636298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 t="s">
        <v>49</v>
      </c>
      <c r="AO127">
        <v>0</v>
      </c>
      <c r="AP127">
        <v>1</v>
      </c>
      <c r="AQ127">
        <v>2</v>
      </c>
      <c r="AR127">
        <v>0</v>
      </c>
      <c r="AS127">
        <v>0</v>
      </c>
      <c r="AT127">
        <v>1</v>
      </c>
    </row>
    <row r="128" spans="1:46" x14ac:dyDescent="0.2">
      <c r="A128" t="s">
        <v>161</v>
      </c>
      <c r="B128" s="4">
        <f t="shared" si="1"/>
        <v>45778</v>
      </c>
      <c r="C128" t="s">
        <v>77</v>
      </c>
      <c r="D128" s="1">
        <v>1.4687499999999999E-2</v>
      </c>
      <c r="E128">
        <v>8</v>
      </c>
      <c r="F128" t="s">
        <v>89</v>
      </c>
      <c r="G128" t="s">
        <v>78</v>
      </c>
      <c r="H128" t="str">
        <f>VLOOKUP(G128, teams!B$2:C$36, 2, 0)</f>
        <v>Service Desk</v>
      </c>
      <c r="I128" t="s">
        <v>56</v>
      </c>
      <c r="J128">
        <v>0.55555555555555503</v>
      </c>
      <c r="K128">
        <v>1</v>
      </c>
      <c r="L128">
        <v>0.66666666666666596</v>
      </c>
      <c r="M128">
        <v>0.53333333333333299</v>
      </c>
      <c r="N128">
        <v>0.36363636363636298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 t="s">
        <v>49</v>
      </c>
      <c r="AO128">
        <v>0</v>
      </c>
      <c r="AP128">
        <v>1</v>
      </c>
      <c r="AQ128">
        <v>2</v>
      </c>
      <c r="AR128">
        <v>0</v>
      </c>
      <c r="AS128">
        <v>0</v>
      </c>
      <c r="AT128">
        <v>1</v>
      </c>
    </row>
    <row r="129" spans="1:46" x14ac:dyDescent="0.2">
      <c r="A129" t="s">
        <v>161</v>
      </c>
      <c r="B129" s="4">
        <f t="shared" si="1"/>
        <v>45778</v>
      </c>
      <c r="C129" t="s">
        <v>77</v>
      </c>
      <c r="D129" s="1">
        <v>1.3854166666666667E-2</v>
      </c>
      <c r="E129">
        <v>5</v>
      </c>
      <c r="F129" t="s">
        <v>63</v>
      </c>
      <c r="G129" t="s">
        <v>156</v>
      </c>
      <c r="H129" t="str">
        <f>VLOOKUP(G129, teams!B$2:C$36, 2, 0)</f>
        <v>24/7</v>
      </c>
      <c r="I129" t="s">
        <v>56</v>
      </c>
      <c r="J129">
        <v>0.66666666666666596</v>
      </c>
      <c r="K129">
        <v>1</v>
      </c>
      <c r="L129">
        <v>0.66666666666666596</v>
      </c>
      <c r="M129">
        <v>0.6</v>
      </c>
      <c r="N129">
        <v>0.45454545454545398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49</v>
      </c>
      <c r="AO129">
        <v>0</v>
      </c>
      <c r="AP129">
        <v>1</v>
      </c>
      <c r="AQ129">
        <v>1</v>
      </c>
      <c r="AR129">
        <v>0</v>
      </c>
      <c r="AS129">
        <v>0</v>
      </c>
      <c r="AT129">
        <v>0</v>
      </c>
    </row>
    <row r="130" spans="1:46" x14ac:dyDescent="0.2">
      <c r="A130" t="s">
        <v>162</v>
      </c>
      <c r="B130" s="4">
        <f t="shared" si="1"/>
        <v>45778</v>
      </c>
      <c r="C130" t="s">
        <v>59</v>
      </c>
      <c r="D130" s="1">
        <v>1.2349537037037037E-2</v>
      </c>
      <c r="E130">
        <v>3</v>
      </c>
      <c r="F130" t="s">
        <v>54</v>
      </c>
      <c r="G130" t="s">
        <v>163</v>
      </c>
      <c r="H130" t="str">
        <f>VLOOKUP(G130, teams!B$2:C$36, 2, 0)</f>
        <v>24/7</v>
      </c>
      <c r="I130" t="s">
        <v>56</v>
      </c>
      <c r="J130">
        <v>0.66666666666666596</v>
      </c>
      <c r="K130">
        <v>1</v>
      </c>
      <c r="L130">
        <v>0.83333333333333304</v>
      </c>
      <c r="M130">
        <v>0.33333333333333298</v>
      </c>
      <c r="N130">
        <v>9.0909090909090898E-2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 t="s">
        <v>49</v>
      </c>
      <c r="AO130">
        <v>0</v>
      </c>
      <c r="AP130">
        <v>1</v>
      </c>
      <c r="AQ130">
        <v>2</v>
      </c>
      <c r="AR130">
        <v>0</v>
      </c>
      <c r="AS130">
        <v>0</v>
      </c>
      <c r="AT130">
        <v>0</v>
      </c>
    </row>
    <row r="131" spans="1:46" x14ac:dyDescent="0.2">
      <c r="A131" t="s">
        <v>164</v>
      </c>
      <c r="B131" s="4">
        <f t="shared" ref="B131:B194" si="2">DATE(YEAR(DATEVALUE(LEFT(A131,10))), MONTH(DATEVALUE(LEFT(A131,10))), 1)</f>
        <v>45778</v>
      </c>
      <c r="C131" t="s">
        <v>45</v>
      </c>
      <c r="D131" s="1">
        <v>1.3900462962962963E-2</v>
      </c>
      <c r="E131">
        <v>4</v>
      </c>
      <c r="F131" t="s">
        <v>82</v>
      </c>
      <c r="G131" t="s">
        <v>99</v>
      </c>
      <c r="H131" t="str">
        <f>VLOOKUP(G131, teams!B$2:C$36, 2, 0)</f>
        <v>Service Desk</v>
      </c>
      <c r="I131" t="s">
        <v>48</v>
      </c>
      <c r="J131">
        <v>0.33333333333333298</v>
      </c>
      <c r="K131">
        <v>1.5</v>
      </c>
      <c r="L131">
        <v>0.5</v>
      </c>
      <c r="M131">
        <v>0.33333333333333298</v>
      </c>
      <c r="N131">
        <v>0.27272727272727199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t="s">
        <v>49</v>
      </c>
      <c r="AO131">
        <v>1</v>
      </c>
      <c r="AP131">
        <v>4</v>
      </c>
      <c r="AQ131">
        <v>1</v>
      </c>
      <c r="AR131">
        <v>1</v>
      </c>
      <c r="AS131">
        <v>1</v>
      </c>
      <c r="AT131">
        <v>1</v>
      </c>
    </row>
    <row r="132" spans="1:46" x14ac:dyDescent="0.2">
      <c r="A132" t="s">
        <v>164</v>
      </c>
      <c r="B132" s="4">
        <f t="shared" si="2"/>
        <v>45778</v>
      </c>
      <c r="C132" t="s">
        <v>45</v>
      </c>
      <c r="D132" s="1">
        <v>1.7372685185185185E-2</v>
      </c>
      <c r="E132">
        <v>8</v>
      </c>
      <c r="F132" t="s">
        <v>89</v>
      </c>
      <c r="G132" t="s">
        <v>62</v>
      </c>
      <c r="H132" t="str">
        <f>VLOOKUP(G132, teams!B$2:C$36, 2, 0)</f>
        <v>Service Desk</v>
      </c>
      <c r="I132" t="s">
        <v>48</v>
      </c>
      <c r="J132">
        <v>0.55555555555555503</v>
      </c>
      <c r="K132">
        <v>1</v>
      </c>
      <c r="L132">
        <v>1</v>
      </c>
      <c r="M132">
        <v>0.73333333333333295</v>
      </c>
      <c r="N132">
        <v>0.36363636363636298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 t="s">
        <v>49</v>
      </c>
      <c r="AO132">
        <v>0</v>
      </c>
      <c r="AP132">
        <v>1</v>
      </c>
      <c r="AQ132">
        <v>2</v>
      </c>
      <c r="AR132">
        <v>0</v>
      </c>
      <c r="AS132">
        <v>0</v>
      </c>
      <c r="AT132">
        <v>1</v>
      </c>
    </row>
    <row r="133" spans="1:46" x14ac:dyDescent="0.2">
      <c r="A133" t="s">
        <v>164</v>
      </c>
      <c r="B133" s="4">
        <f t="shared" si="2"/>
        <v>45778</v>
      </c>
      <c r="C133" t="s">
        <v>45</v>
      </c>
      <c r="D133" s="1">
        <v>1.3900462962962963E-2</v>
      </c>
      <c r="E133">
        <v>3</v>
      </c>
      <c r="F133" t="s">
        <v>54</v>
      </c>
      <c r="G133" t="s">
        <v>165</v>
      </c>
      <c r="H133" t="str">
        <f>VLOOKUP(G133, teams!B$2:C$36, 2, 0)</f>
        <v>Tech</v>
      </c>
      <c r="I133" t="s">
        <v>48</v>
      </c>
      <c r="J133">
        <v>0.55555555555555503</v>
      </c>
      <c r="K133">
        <v>1.5</v>
      </c>
      <c r="L133">
        <v>1</v>
      </c>
      <c r="M133">
        <v>0.33333333333333298</v>
      </c>
      <c r="N133">
        <v>0.18181818181818099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 t="s">
        <v>49</v>
      </c>
      <c r="AO133">
        <v>0</v>
      </c>
      <c r="AP133">
        <v>1</v>
      </c>
      <c r="AQ133">
        <v>2</v>
      </c>
      <c r="AR133">
        <v>0</v>
      </c>
      <c r="AS133">
        <v>0</v>
      </c>
      <c r="AT133">
        <v>0</v>
      </c>
    </row>
    <row r="134" spans="1:46" x14ac:dyDescent="0.2">
      <c r="A134" t="s">
        <v>164</v>
      </c>
      <c r="B134" s="4">
        <f t="shared" si="2"/>
        <v>45778</v>
      </c>
      <c r="C134" t="s">
        <v>45</v>
      </c>
      <c r="D134" s="1">
        <v>1.306712962962963E-2</v>
      </c>
      <c r="E134">
        <v>4</v>
      </c>
      <c r="F134" t="s">
        <v>82</v>
      </c>
      <c r="G134" t="s">
        <v>103</v>
      </c>
      <c r="H134" t="str">
        <f>VLOOKUP(G134, teams!B$2:C$36, 2, 0)</f>
        <v>Tech</v>
      </c>
      <c r="I134" t="s">
        <v>56</v>
      </c>
      <c r="J134">
        <v>0.44444444444444398</v>
      </c>
      <c r="K134">
        <v>1</v>
      </c>
      <c r="L134">
        <v>0.83333333333333304</v>
      </c>
      <c r="M134">
        <v>0.53333333333333299</v>
      </c>
      <c r="N134">
        <v>0.36363636363636298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49</v>
      </c>
      <c r="AO134">
        <v>1</v>
      </c>
      <c r="AP134">
        <v>4</v>
      </c>
      <c r="AQ134">
        <v>1</v>
      </c>
      <c r="AR134">
        <v>1</v>
      </c>
      <c r="AS134">
        <v>1</v>
      </c>
      <c r="AT134">
        <v>1</v>
      </c>
    </row>
    <row r="135" spans="1:46" x14ac:dyDescent="0.2">
      <c r="A135" t="s">
        <v>166</v>
      </c>
      <c r="B135" s="4">
        <f t="shared" si="2"/>
        <v>45778</v>
      </c>
      <c r="C135" t="s">
        <v>77</v>
      </c>
      <c r="D135" s="1">
        <v>1.380787037037037E-2</v>
      </c>
      <c r="E135">
        <v>8</v>
      </c>
      <c r="F135" t="s">
        <v>89</v>
      </c>
      <c r="G135" t="s">
        <v>129</v>
      </c>
      <c r="H135" t="str">
        <f>VLOOKUP(G135, teams!B$2:C$36, 2, 0)</f>
        <v>Tech</v>
      </c>
      <c r="I135" t="s">
        <v>56</v>
      </c>
      <c r="J135">
        <v>0.44444444444444398</v>
      </c>
      <c r="K135">
        <v>1</v>
      </c>
      <c r="L135">
        <v>1</v>
      </c>
      <c r="M135">
        <v>0.53333333333333299</v>
      </c>
      <c r="N135">
        <v>0.45454545454545398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 t="s">
        <v>49</v>
      </c>
      <c r="AO135">
        <v>0</v>
      </c>
      <c r="AP135">
        <v>1</v>
      </c>
      <c r="AQ135">
        <v>2</v>
      </c>
      <c r="AR135">
        <v>0</v>
      </c>
      <c r="AS135">
        <v>0</v>
      </c>
      <c r="AT135">
        <v>1</v>
      </c>
    </row>
    <row r="136" spans="1:46" x14ac:dyDescent="0.2">
      <c r="A136" t="s">
        <v>166</v>
      </c>
      <c r="B136" s="4">
        <f t="shared" si="2"/>
        <v>45778</v>
      </c>
      <c r="C136" t="s">
        <v>77</v>
      </c>
      <c r="D136" s="1">
        <v>1.3912037037037037E-2</v>
      </c>
      <c r="E136">
        <v>7</v>
      </c>
      <c r="F136" t="s">
        <v>66</v>
      </c>
      <c r="G136" t="s">
        <v>139</v>
      </c>
      <c r="H136" t="str">
        <f>VLOOKUP(G136, teams!B$2:C$36, 2, 0)</f>
        <v>24/7</v>
      </c>
      <c r="I136" t="s">
        <v>48</v>
      </c>
      <c r="J136">
        <v>0.66666666666666596</v>
      </c>
      <c r="K136">
        <v>1</v>
      </c>
      <c r="L136">
        <v>0.83333333333333304</v>
      </c>
      <c r="M136">
        <v>0.4</v>
      </c>
      <c r="N136">
        <v>0.45454545454545398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 t="s">
        <v>49</v>
      </c>
      <c r="AO136">
        <v>0</v>
      </c>
      <c r="AP136">
        <v>2</v>
      </c>
      <c r="AQ136">
        <v>0</v>
      </c>
      <c r="AR136">
        <v>1</v>
      </c>
      <c r="AS136">
        <v>0</v>
      </c>
      <c r="AT136">
        <v>0</v>
      </c>
    </row>
    <row r="137" spans="1:46" x14ac:dyDescent="0.2">
      <c r="A137" t="s">
        <v>166</v>
      </c>
      <c r="B137" s="4">
        <f t="shared" si="2"/>
        <v>45778</v>
      </c>
      <c r="C137" t="s">
        <v>77</v>
      </c>
      <c r="D137" s="1">
        <v>1.3460648148148149E-2</v>
      </c>
      <c r="E137">
        <v>5</v>
      </c>
      <c r="F137" t="s">
        <v>63</v>
      </c>
      <c r="G137" t="s">
        <v>150</v>
      </c>
      <c r="H137" t="str">
        <f>VLOOKUP(G137, teams!B$2:C$36, 2, 0)</f>
        <v>24/7</v>
      </c>
      <c r="I137" t="s">
        <v>56</v>
      </c>
      <c r="J137">
        <v>0.44444444444444398</v>
      </c>
      <c r="K137">
        <v>1</v>
      </c>
      <c r="L137">
        <v>1</v>
      </c>
      <c r="M137">
        <v>0.53333333333333299</v>
      </c>
      <c r="N137">
        <v>0.36363636363636298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49</v>
      </c>
      <c r="AO137">
        <v>0</v>
      </c>
      <c r="AP137">
        <v>1</v>
      </c>
      <c r="AQ137">
        <v>1</v>
      </c>
      <c r="AR137">
        <v>0</v>
      </c>
      <c r="AS137">
        <v>0</v>
      </c>
      <c r="AT137">
        <v>0</v>
      </c>
    </row>
    <row r="138" spans="1:46" x14ac:dyDescent="0.2">
      <c r="A138" t="s">
        <v>167</v>
      </c>
      <c r="B138" s="4">
        <f t="shared" si="2"/>
        <v>45809</v>
      </c>
      <c r="C138" t="s">
        <v>51</v>
      </c>
      <c r="D138" s="1">
        <v>1.3900462962962963E-2</v>
      </c>
      <c r="E138">
        <v>5</v>
      </c>
      <c r="F138" t="s">
        <v>63</v>
      </c>
      <c r="G138" t="s">
        <v>165</v>
      </c>
      <c r="H138" t="str">
        <f>VLOOKUP(G138, teams!B$2:C$36, 2, 0)</f>
        <v>Tech</v>
      </c>
      <c r="I138" t="s">
        <v>48</v>
      </c>
      <c r="J138">
        <v>0.66666666666666596</v>
      </c>
      <c r="K138">
        <v>0.5</v>
      </c>
      <c r="L138">
        <v>0.16666666666666599</v>
      </c>
      <c r="M138">
        <v>0.33333333333333298</v>
      </c>
      <c r="N138">
        <v>9.0909090909090898E-2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t="s">
        <v>49</v>
      </c>
      <c r="AO138">
        <v>0</v>
      </c>
      <c r="AP138">
        <v>1</v>
      </c>
      <c r="AQ138">
        <v>1</v>
      </c>
      <c r="AR138">
        <v>0</v>
      </c>
      <c r="AS138">
        <v>0</v>
      </c>
      <c r="AT138">
        <v>0</v>
      </c>
    </row>
    <row r="139" spans="1:46" x14ac:dyDescent="0.2">
      <c r="A139" t="s">
        <v>167</v>
      </c>
      <c r="B139" s="4">
        <f t="shared" si="2"/>
        <v>45809</v>
      </c>
      <c r="C139" t="s">
        <v>51</v>
      </c>
      <c r="D139" s="1">
        <v>1.3900462962962963E-2</v>
      </c>
      <c r="E139">
        <v>3</v>
      </c>
      <c r="F139" t="s">
        <v>54</v>
      </c>
      <c r="G139" t="s">
        <v>168</v>
      </c>
      <c r="H139" t="str">
        <f>VLOOKUP(G139, teams!B$2:C$36, 2, 0)</f>
        <v>24/7</v>
      </c>
      <c r="I139" t="s">
        <v>48</v>
      </c>
      <c r="J139">
        <v>0.55555555555555503</v>
      </c>
      <c r="K139">
        <v>1.5</v>
      </c>
      <c r="L139">
        <v>1</v>
      </c>
      <c r="M139">
        <v>0.46666666666666601</v>
      </c>
      <c r="N139">
        <v>0.18181818181818099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 t="s">
        <v>49</v>
      </c>
      <c r="AO139">
        <v>0</v>
      </c>
      <c r="AP139">
        <v>1</v>
      </c>
      <c r="AQ139">
        <v>2</v>
      </c>
      <c r="AR139">
        <v>0</v>
      </c>
      <c r="AS139">
        <v>0</v>
      </c>
      <c r="AT139">
        <v>0</v>
      </c>
    </row>
    <row r="140" spans="1:46" x14ac:dyDescent="0.2">
      <c r="A140" t="s">
        <v>169</v>
      </c>
      <c r="B140" s="4">
        <f t="shared" si="2"/>
        <v>45809</v>
      </c>
      <c r="C140" t="s">
        <v>77</v>
      </c>
      <c r="D140" s="1">
        <v>1.6215277777777776E-2</v>
      </c>
      <c r="E140">
        <v>18</v>
      </c>
      <c r="F140" t="s">
        <v>170</v>
      </c>
      <c r="G140" t="s">
        <v>97</v>
      </c>
      <c r="H140" t="str">
        <f>VLOOKUP(G140, teams!B$2:C$36, 2, 0)</f>
        <v>Tech</v>
      </c>
      <c r="I140" t="s">
        <v>56</v>
      </c>
      <c r="J140">
        <v>0.77777777777777701</v>
      </c>
      <c r="K140">
        <v>1.5</v>
      </c>
      <c r="L140">
        <v>1</v>
      </c>
      <c r="M140">
        <v>0.8</v>
      </c>
      <c r="N140">
        <v>0.63636363636363602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 t="s">
        <v>49</v>
      </c>
      <c r="AO140">
        <v>0</v>
      </c>
      <c r="AP140">
        <v>3</v>
      </c>
      <c r="AQ140">
        <v>1</v>
      </c>
      <c r="AR140">
        <v>0</v>
      </c>
      <c r="AS140">
        <v>1</v>
      </c>
      <c r="AT140">
        <v>1</v>
      </c>
    </row>
    <row r="141" spans="1:46" x14ac:dyDescent="0.2">
      <c r="A141" t="s">
        <v>169</v>
      </c>
      <c r="B141" s="4">
        <f t="shared" si="2"/>
        <v>45809</v>
      </c>
      <c r="C141" t="s">
        <v>77</v>
      </c>
      <c r="D141" s="1">
        <v>1.4849537037037038E-2</v>
      </c>
      <c r="E141">
        <v>18</v>
      </c>
      <c r="F141" t="s">
        <v>170</v>
      </c>
      <c r="G141" t="s">
        <v>78</v>
      </c>
      <c r="H141" t="str">
        <f>VLOOKUP(G141, teams!B$2:C$36, 2, 0)</f>
        <v>Service Desk</v>
      </c>
      <c r="I141" t="s">
        <v>56</v>
      </c>
      <c r="J141">
        <v>0.66666666666666596</v>
      </c>
      <c r="K141">
        <v>1</v>
      </c>
      <c r="L141">
        <v>0.83333333333333304</v>
      </c>
      <c r="M141">
        <v>0.266666666666666</v>
      </c>
      <c r="N141">
        <v>0.27272727272727199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 t="s">
        <v>49</v>
      </c>
      <c r="AO141">
        <v>0</v>
      </c>
      <c r="AP141">
        <v>3</v>
      </c>
      <c r="AQ141">
        <v>1</v>
      </c>
      <c r="AR141">
        <v>0</v>
      </c>
      <c r="AS141">
        <v>1</v>
      </c>
      <c r="AT141">
        <v>1</v>
      </c>
    </row>
    <row r="142" spans="1:46" x14ac:dyDescent="0.2">
      <c r="A142" t="s">
        <v>171</v>
      </c>
      <c r="B142" s="4">
        <f t="shared" si="2"/>
        <v>45809</v>
      </c>
      <c r="C142" t="s">
        <v>59</v>
      </c>
      <c r="D142" s="1">
        <v>1.7384259259259259E-2</v>
      </c>
      <c r="E142">
        <v>8</v>
      </c>
      <c r="F142" t="s">
        <v>89</v>
      </c>
      <c r="G142" t="s">
        <v>60</v>
      </c>
      <c r="H142" t="str">
        <f>VLOOKUP(G142, teams!B$2:C$36, 2, 0)</f>
        <v>Service Desk</v>
      </c>
      <c r="I142" t="s">
        <v>48</v>
      </c>
      <c r="J142">
        <v>0.55555555555555503</v>
      </c>
      <c r="K142">
        <v>1.5</v>
      </c>
      <c r="L142">
        <v>0.83333333333333304</v>
      </c>
      <c r="M142">
        <v>0.46666666666666601</v>
      </c>
      <c r="N142">
        <v>0.36363636363636298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 t="s">
        <v>49</v>
      </c>
      <c r="AO142">
        <v>0</v>
      </c>
      <c r="AP142">
        <v>1</v>
      </c>
      <c r="AQ142">
        <v>2</v>
      </c>
      <c r="AR142">
        <v>0</v>
      </c>
      <c r="AS142">
        <v>0</v>
      </c>
      <c r="AT142">
        <v>1</v>
      </c>
    </row>
    <row r="143" spans="1:46" x14ac:dyDescent="0.2">
      <c r="A143" t="s">
        <v>172</v>
      </c>
      <c r="B143" s="4">
        <f t="shared" si="2"/>
        <v>45809</v>
      </c>
      <c r="C143" t="s">
        <v>45</v>
      </c>
      <c r="D143" s="1">
        <v>1.3912037037037037E-2</v>
      </c>
      <c r="E143">
        <v>6</v>
      </c>
      <c r="F143" t="s">
        <v>46</v>
      </c>
      <c r="G143" t="s">
        <v>165</v>
      </c>
      <c r="H143" t="str">
        <f>VLOOKUP(G143, teams!B$2:C$36, 2, 0)</f>
        <v>Tech</v>
      </c>
      <c r="I143" t="s">
        <v>48</v>
      </c>
      <c r="J143">
        <v>0.55555555555555503</v>
      </c>
      <c r="K143">
        <v>1</v>
      </c>
      <c r="L143">
        <v>1</v>
      </c>
      <c r="M143">
        <v>0.66666666666666596</v>
      </c>
      <c r="N143">
        <v>0.45454545454545398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1</v>
      </c>
      <c r="AK143">
        <v>0</v>
      </c>
      <c r="AL143">
        <v>0</v>
      </c>
      <c r="AM143">
        <v>0</v>
      </c>
      <c r="AN143" t="s">
        <v>49</v>
      </c>
      <c r="AO143">
        <v>0</v>
      </c>
      <c r="AP143">
        <v>2</v>
      </c>
      <c r="AQ143">
        <v>0</v>
      </c>
      <c r="AR143">
        <v>2</v>
      </c>
      <c r="AS143">
        <v>0</v>
      </c>
      <c r="AT143">
        <v>0</v>
      </c>
    </row>
    <row r="144" spans="1:46" x14ac:dyDescent="0.2">
      <c r="A144" t="s">
        <v>172</v>
      </c>
      <c r="B144" s="4">
        <f t="shared" si="2"/>
        <v>45809</v>
      </c>
      <c r="C144" t="s">
        <v>45</v>
      </c>
      <c r="D144" s="1">
        <v>1.3900462962962963E-2</v>
      </c>
      <c r="E144">
        <v>6</v>
      </c>
      <c r="F144" t="s">
        <v>46</v>
      </c>
      <c r="G144" t="s">
        <v>156</v>
      </c>
      <c r="H144" t="str">
        <f>VLOOKUP(G144, teams!B$2:C$36, 2, 0)</f>
        <v>24/7</v>
      </c>
      <c r="I144" t="s">
        <v>48</v>
      </c>
      <c r="J144">
        <v>0.55555555555555503</v>
      </c>
      <c r="K144">
        <v>1</v>
      </c>
      <c r="L144">
        <v>0.66666666666666596</v>
      </c>
      <c r="M144">
        <v>0.46666666666666601</v>
      </c>
      <c r="N144">
        <v>0.36363636363636298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1</v>
      </c>
      <c r="AK144">
        <v>0</v>
      </c>
      <c r="AL144">
        <v>0</v>
      </c>
      <c r="AM144">
        <v>0</v>
      </c>
      <c r="AN144" t="s">
        <v>49</v>
      </c>
      <c r="AO144">
        <v>0</v>
      </c>
      <c r="AP144">
        <v>2</v>
      </c>
      <c r="AQ144">
        <v>0</v>
      </c>
      <c r="AR144">
        <v>2</v>
      </c>
      <c r="AS144">
        <v>0</v>
      </c>
      <c r="AT144">
        <v>0</v>
      </c>
    </row>
    <row r="145" spans="1:46" x14ac:dyDescent="0.2">
      <c r="A145" t="s">
        <v>172</v>
      </c>
      <c r="B145" s="4">
        <f t="shared" si="2"/>
        <v>45809</v>
      </c>
      <c r="C145" t="s">
        <v>45</v>
      </c>
      <c r="D145" s="1">
        <v>1.2743055555555556E-2</v>
      </c>
      <c r="E145">
        <v>18</v>
      </c>
      <c r="F145" t="s">
        <v>170</v>
      </c>
      <c r="G145" t="s">
        <v>103</v>
      </c>
      <c r="H145" t="str">
        <f>VLOOKUP(G145, teams!B$2:C$36, 2, 0)</f>
        <v>Tech</v>
      </c>
      <c r="I145" t="s">
        <v>56</v>
      </c>
      <c r="J145">
        <v>0.66666666666666596</v>
      </c>
      <c r="K145">
        <v>1</v>
      </c>
      <c r="L145">
        <v>1</v>
      </c>
      <c r="M145">
        <v>0.66666666666666596</v>
      </c>
      <c r="N145">
        <v>0.45454545454545398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 t="s">
        <v>49</v>
      </c>
      <c r="AO145">
        <v>0</v>
      </c>
      <c r="AP145">
        <v>3</v>
      </c>
      <c r="AQ145">
        <v>1</v>
      </c>
      <c r="AR145">
        <v>0</v>
      </c>
      <c r="AS145">
        <v>1</v>
      </c>
      <c r="AT145">
        <v>1</v>
      </c>
    </row>
    <row r="146" spans="1:46" x14ac:dyDescent="0.2">
      <c r="A146" t="s">
        <v>173</v>
      </c>
      <c r="B146" s="4">
        <f t="shared" si="2"/>
        <v>45809</v>
      </c>
      <c r="C146" t="s">
        <v>77</v>
      </c>
      <c r="D146" s="1">
        <v>1.6377314814814813E-2</v>
      </c>
      <c r="E146">
        <v>18</v>
      </c>
      <c r="F146" t="s">
        <v>170</v>
      </c>
      <c r="G146" t="s">
        <v>129</v>
      </c>
      <c r="H146" t="str">
        <f>VLOOKUP(G146, teams!B$2:C$36, 2, 0)</f>
        <v>Tech</v>
      </c>
      <c r="I146" t="s">
        <v>56</v>
      </c>
      <c r="J146">
        <v>0.44444444444444398</v>
      </c>
      <c r="K146">
        <v>1</v>
      </c>
      <c r="L146">
        <v>1</v>
      </c>
      <c r="M146">
        <v>0.46666666666666601</v>
      </c>
      <c r="N146">
        <v>0.45454545454545398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 t="s">
        <v>49</v>
      </c>
      <c r="AO146">
        <v>0</v>
      </c>
      <c r="AP146">
        <v>3</v>
      </c>
      <c r="AQ146">
        <v>1</v>
      </c>
      <c r="AR146">
        <v>0</v>
      </c>
      <c r="AS146">
        <v>1</v>
      </c>
      <c r="AT146">
        <v>1</v>
      </c>
    </row>
    <row r="147" spans="1:46" x14ac:dyDescent="0.2">
      <c r="A147" t="s">
        <v>174</v>
      </c>
      <c r="B147" s="4">
        <f t="shared" si="2"/>
        <v>45809</v>
      </c>
      <c r="C147" t="s">
        <v>59</v>
      </c>
      <c r="D147" s="1">
        <v>1.3912037037037037E-2</v>
      </c>
      <c r="E147">
        <v>6</v>
      </c>
      <c r="F147" t="s">
        <v>46</v>
      </c>
      <c r="G147" t="s">
        <v>150</v>
      </c>
      <c r="H147" t="str">
        <f>VLOOKUP(G147, teams!B$2:C$36, 2, 0)</f>
        <v>24/7</v>
      </c>
      <c r="I147" t="s">
        <v>48</v>
      </c>
      <c r="J147">
        <v>0.44444444444444398</v>
      </c>
      <c r="K147">
        <v>1.5</v>
      </c>
      <c r="L147">
        <v>1</v>
      </c>
      <c r="M147">
        <v>0.33333333333333298</v>
      </c>
      <c r="N147">
        <v>0.27272727272727199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1</v>
      </c>
      <c r="AK147">
        <v>0</v>
      </c>
      <c r="AL147">
        <v>0</v>
      </c>
      <c r="AM147">
        <v>0</v>
      </c>
      <c r="AN147" t="s">
        <v>49</v>
      </c>
      <c r="AO147">
        <v>0</v>
      </c>
      <c r="AP147">
        <v>2</v>
      </c>
      <c r="AQ147">
        <v>0</v>
      </c>
      <c r="AR147">
        <v>2</v>
      </c>
      <c r="AS147">
        <v>0</v>
      </c>
      <c r="AT147">
        <v>0</v>
      </c>
    </row>
    <row r="148" spans="1:46" x14ac:dyDescent="0.2">
      <c r="A148" t="s">
        <v>175</v>
      </c>
      <c r="B148" s="4">
        <f t="shared" si="2"/>
        <v>45809</v>
      </c>
      <c r="C148" t="s">
        <v>77</v>
      </c>
      <c r="D148" s="1">
        <v>1.3796296296296296E-2</v>
      </c>
      <c r="E148">
        <v>5</v>
      </c>
      <c r="F148" t="s">
        <v>63</v>
      </c>
      <c r="G148" t="s">
        <v>168</v>
      </c>
      <c r="H148" t="str">
        <f>VLOOKUP(G148, teams!B$2:C$36, 2, 0)</f>
        <v>24/7</v>
      </c>
      <c r="I148" t="s">
        <v>56</v>
      </c>
      <c r="J148">
        <v>0.66666666666666596</v>
      </c>
      <c r="K148">
        <v>1.5</v>
      </c>
      <c r="L148">
        <v>0.83333333333333304</v>
      </c>
      <c r="M148">
        <v>0.53333333333333299</v>
      </c>
      <c r="N148">
        <v>0.36363636363636298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t="s">
        <v>49</v>
      </c>
      <c r="AO148">
        <v>0</v>
      </c>
      <c r="AP148">
        <v>1</v>
      </c>
      <c r="AQ148">
        <v>1</v>
      </c>
      <c r="AR148">
        <v>0</v>
      </c>
      <c r="AS148">
        <v>0</v>
      </c>
      <c r="AT148">
        <v>0</v>
      </c>
    </row>
    <row r="149" spans="1:46" x14ac:dyDescent="0.2">
      <c r="A149" t="s">
        <v>176</v>
      </c>
      <c r="B149" s="4">
        <f t="shared" si="2"/>
        <v>45809</v>
      </c>
      <c r="C149" t="s">
        <v>59</v>
      </c>
      <c r="D149" s="1">
        <v>1.7372685185185185E-2</v>
      </c>
      <c r="E149">
        <v>18</v>
      </c>
      <c r="F149" t="s">
        <v>170</v>
      </c>
      <c r="G149" t="s">
        <v>60</v>
      </c>
      <c r="H149" t="str">
        <f>VLOOKUP(G149, teams!B$2:C$36, 2, 0)</f>
        <v>Service Desk</v>
      </c>
      <c r="I149" t="s">
        <v>48</v>
      </c>
      <c r="J149">
        <v>0.55555555555555503</v>
      </c>
      <c r="K149">
        <v>1.5</v>
      </c>
      <c r="L149">
        <v>1</v>
      </c>
      <c r="M149">
        <v>0.66666666666666596</v>
      </c>
      <c r="N149">
        <v>0.45454545454545398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 t="s">
        <v>49</v>
      </c>
      <c r="AO149">
        <v>0</v>
      </c>
      <c r="AP149">
        <v>3</v>
      </c>
      <c r="AQ149">
        <v>1</v>
      </c>
      <c r="AR149">
        <v>0</v>
      </c>
      <c r="AS149">
        <v>1</v>
      </c>
      <c r="AT149">
        <v>1</v>
      </c>
    </row>
    <row r="150" spans="1:46" x14ac:dyDescent="0.2">
      <c r="A150" t="s">
        <v>177</v>
      </c>
      <c r="B150" s="4">
        <f t="shared" si="2"/>
        <v>45809</v>
      </c>
      <c r="C150" t="s">
        <v>45</v>
      </c>
      <c r="D150" s="1">
        <v>1.5717592592592592E-2</v>
      </c>
      <c r="E150">
        <v>18</v>
      </c>
      <c r="F150" t="s">
        <v>170</v>
      </c>
      <c r="G150" t="s">
        <v>62</v>
      </c>
      <c r="H150" t="str">
        <f>VLOOKUP(G150, teams!B$2:C$36, 2, 0)</f>
        <v>Service Desk</v>
      </c>
      <c r="I150" t="s">
        <v>56</v>
      </c>
      <c r="J150">
        <v>0.44444444444444398</v>
      </c>
      <c r="K150">
        <v>1.5</v>
      </c>
      <c r="L150">
        <v>1</v>
      </c>
      <c r="M150">
        <v>0.66666666666666596</v>
      </c>
      <c r="N150">
        <v>0.45454545454545398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 t="s">
        <v>49</v>
      </c>
      <c r="AO150">
        <v>0</v>
      </c>
      <c r="AP150">
        <v>3</v>
      </c>
      <c r="AQ150">
        <v>1</v>
      </c>
      <c r="AR150">
        <v>0</v>
      </c>
      <c r="AS150">
        <v>1</v>
      </c>
      <c r="AT150">
        <v>1</v>
      </c>
    </row>
    <row r="151" spans="1:46" x14ac:dyDescent="0.2">
      <c r="A151" t="s">
        <v>177</v>
      </c>
      <c r="B151" s="4">
        <f t="shared" si="2"/>
        <v>45809</v>
      </c>
      <c r="C151" t="s">
        <v>45</v>
      </c>
      <c r="D151" s="1">
        <v>1.2719907407407407E-2</v>
      </c>
      <c r="E151">
        <v>7</v>
      </c>
      <c r="F151" t="s">
        <v>66</v>
      </c>
      <c r="G151" t="s">
        <v>165</v>
      </c>
      <c r="H151" t="str">
        <f>VLOOKUP(G151, teams!B$2:C$36, 2, 0)</f>
        <v>Tech</v>
      </c>
      <c r="I151" t="s">
        <v>56</v>
      </c>
      <c r="J151">
        <v>0.55555555555555503</v>
      </c>
      <c r="K151">
        <v>1</v>
      </c>
      <c r="L151">
        <v>0.16666666666666599</v>
      </c>
      <c r="M151">
        <v>6.6666666666666596E-2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 t="s">
        <v>49</v>
      </c>
      <c r="AO151">
        <v>0</v>
      </c>
      <c r="AP151">
        <v>2</v>
      </c>
      <c r="AQ151">
        <v>0</v>
      </c>
      <c r="AR151">
        <v>1</v>
      </c>
      <c r="AS151">
        <v>0</v>
      </c>
      <c r="AT151">
        <v>0</v>
      </c>
    </row>
    <row r="152" spans="1:46" x14ac:dyDescent="0.2">
      <c r="A152" t="s">
        <v>178</v>
      </c>
      <c r="B152" s="4">
        <f t="shared" si="2"/>
        <v>45809</v>
      </c>
      <c r="C152" t="s">
        <v>51</v>
      </c>
      <c r="D152" s="1">
        <v>1.3726851851851851E-2</v>
      </c>
      <c r="E152">
        <v>4</v>
      </c>
      <c r="F152" t="s">
        <v>82</v>
      </c>
      <c r="G152" t="s">
        <v>156</v>
      </c>
      <c r="H152" t="str">
        <f>VLOOKUP(G152, teams!B$2:C$36, 2, 0)</f>
        <v>24/7</v>
      </c>
      <c r="I152" t="s">
        <v>56</v>
      </c>
      <c r="J152">
        <v>0.66666666666666596</v>
      </c>
      <c r="K152">
        <v>1</v>
      </c>
      <c r="L152">
        <v>0.83333333333333304</v>
      </c>
      <c r="M152">
        <v>0.46666666666666601</v>
      </c>
      <c r="N152">
        <v>0.45454545454545398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49</v>
      </c>
      <c r="AO152">
        <v>1</v>
      </c>
      <c r="AP152">
        <v>4</v>
      </c>
      <c r="AQ152">
        <v>1</v>
      </c>
      <c r="AR152">
        <v>1</v>
      </c>
      <c r="AS152">
        <v>1</v>
      </c>
      <c r="AT152">
        <v>1</v>
      </c>
    </row>
    <row r="153" spans="1:46" x14ac:dyDescent="0.2">
      <c r="A153" t="s">
        <v>179</v>
      </c>
      <c r="B153" s="4">
        <f t="shared" si="2"/>
        <v>45809</v>
      </c>
      <c r="C153" t="s">
        <v>59</v>
      </c>
      <c r="D153" s="1">
        <v>1.1620370370370371E-2</v>
      </c>
      <c r="E153">
        <v>7</v>
      </c>
      <c r="F153" t="s">
        <v>66</v>
      </c>
      <c r="G153" t="s">
        <v>150</v>
      </c>
      <c r="H153" t="str">
        <f>VLOOKUP(G153, teams!B$2:C$36, 2, 0)</f>
        <v>24/7</v>
      </c>
      <c r="I153" t="s">
        <v>56</v>
      </c>
      <c r="J153">
        <v>0.55555555555555503</v>
      </c>
      <c r="K153">
        <v>1</v>
      </c>
      <c r="L153">
        <v>0.5</v>
      </c>
      <c r="M153">
        <v>0.33333333333333298</v>
      </c>
      <c r="N153">
        <v>0.36363636363636298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 t="s">
        <v>49</v>
      </c>
      <c r="AO153">
        <v>0</v>
      </c>
      <c r="AP153">
        <v>2</v>
      </c>
      <c r="AQ153">
        <v>0</v>
      </c>
      <c r="AR153">
        <v>1</v>
      </c>
      <c r="AS153">
        <v>0</v>
      </c>
      <c r="AT153">
        <v>0</v>
      </c>
    </row>
    <row r="154" spans="1:46" x14ac:dyDescent="0.2">
      <c r="A154" t="s">
        <v>180</v>
      </c>
      <c r="B154" s="4">
        <f t="shared" si="2"/>
        <v>45809</v>
      </c>
      <c r="C154" t="s">
        <v>45</v>
      </c>
      <c r="D154" s="1">
        <v>1.3900462962962963E-2</v>
      </c>
      <c r="E154">
        <v>14</v>
      </c>
      <c r="F154" t="s">
        <v>72</v>
      </c>
      <c r="G154" t="s">
        <v>165</v>
      </c>
      <c r="H154" t="str">
        <f>VLOOKUP(G154, teams!B$2:C$36, 2, 0)</f>
        <v>Tech</v>
      </c>
      <c r="I154" t="s">
        <v>48</v>
      </c>
      <c r="J154">
        <v>0.44444444444444398</v>
      </c>
      <c r="K154">
        <v>1.5</v>
      </c>
      <c r="L154">
        <v>0.83333333333333304</v>
      </c>
      <c r="M154">
        <v>0.33333333333333298</v>
      </c>
      <c r="N154">
        <v>0.36363636363636298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t="s">
        <v>49</v>
      </c>
      <c r="AO154">
        <v>1</v>
      </c>
      <c r="AP154">
        <v>2</v>
      </c>
      <c r="AQ154">
        <v>1</v>
      </c>
      <c r="AR154">
        <v>1</v>
      </c>
      <c r="AS154">
        <v>2</v>
      </c>
      <c r="AT154">
        <v>1</v>
      </c>
    </row>
    <row r="155" spans="1:46" x14ac:dyDescent="0.2">
      <c r="A155" t="s">
        <v>181</v>
      </c>
      <c r="B155" s="4">
        <f t="shared" si="2"/>
        <v>45809</v>
      </c>
      <c r="C155" t="s">
        <v>51</v>
      </c>
      <c r="D155" s="1">
        <v>1.15625E-2</v>
      </c>
      <c r="E155">
        <v>3</v>
      </c>
      <c r="F155" t="s">
        <v>54</v>
      </c>
      <c r="G155" t="s">
        <v>182</v>
      </c>
      <c r="H155" t="str">
        <f>VLOOKUP(G155, teams!B$2:C$36, 2, 0)</f>
        <v>Service Desk</v>
      </c>
      <c r="I155" t="s">
        <v>56</v>
      </c>
      <c r="J155">
        <v>0.33333333333333298</v>
      </c>
      <c r="K155">
        <v>1.5</v>
      </c>
      <c r="L155">
        <v>1</v>
      </c>
      <c r="M155">
        <v>0.46666666666666601</v>
      </c>
      <c r="N155">
        <v>0.27272727272727199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 t="s">
        <v>49</v>
      </c>
      <c r="AO155">
        <v>0</v>
      </c>
      <c r="AP155">
        <v>1</v>
      </c>
      <c r="AQ155">
        <v>2</v>
      </c>
      <c r="AR155">
        <v>0</v>
      </c>
      <c r="AS155">
        <v>0</v>
      </c>
      <c r="AT155">
        <v>0</v>
      </c>
    </row>
    <row r="156" spans="1:46" x14ac:dyDescent="0.2">
      <c r="A156" t="s">
        <v>183</v>
      </c>
      <c r="B156" s="4">
        <f t="shared" si="2"/>
        <v>45839</v>
      </c>
      <c r="C156" t="s">
        <v>77</v>
      </c>
      <c r="D156" s="1">
        <v>1.3946759259259259E-2</v>
      </c>
      <c r="E156">
        <v>17</v>
      </c>
      <c r="F156" t="s">
        <v>184</v>
      </c>
      <c r="G156" t="s">
        <v>97</v>
      </c>
      <c r="H156" t="str">
        <f>VLOOKUP(G156, teams!B$2:C$36, 2, 0)</f>
        <v>Tech</v>
      </c>
      <c r="I156" t="s">
        <v>56</v>
      </c>
      <c r="J156">
        <v>0.66666666666666596</v>
      </c>
      <c r="K156">
        <v>1</v>
      </c>
      <c r="L156">
        <v>0.83333333333333304</v>
      </c>
      <c r="M156">
        <v>0.73333333333333295</v>
      </c>
      <c r="N156">
        <v>0.45454545454545398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49</v>
      </c>
      <c r="AO156">
        <v>0</v>
      </c>
      <c r="AP156">
        <v>2</v>
      </c>
      <c r="AQ156">
        <v>0</v>
      </c>
      <c r="AR156">
        <v>0</v>
      </c>
      <c r="AS156">
        <v>1</v>
      </c>
      <c r="AT156">
        <v>0</v>
      </c>
    </row>
    <row r="157" spans="1:46" x14ac:dyDescent="0.2">
      <c r="A157" t="s">
        <v>183</v>
      </c>
      <c r="B157" s="4">
        <f t="shared" si="2"/>
        <v>45839</v>
      </c>
      <c r="C157" t="s">
        <v>77</v>
      </c>
      <c r="D157" s="1">
        <v>1.4097222222222223E-2</v>
      </c>
      <c r="E157">
        <v>17</v>
      </c>
      <c r="F157" t="s">
        <v>184</v>
      </c>
      <c r="G157" t="s">
        <v>78</v>
      </c>
      <c r="H157" t="str">
        <f>VLOOKUP(G157, teams!B$2:C$36, 2, 0)</f>
        <v>Service Desk</v>
      </c>
      <c r="I157" t="s">
        <v>56</v>
      </c>
      <c r="J157">
        <v>0.33333333333333298</v>
      </c>
      <c r="K157">
        <v>1</v>
      </c>
      <c r="L157">
        <v>0.5</v>
      </c>
      <c r="M157">
        <v>0.33333333333333298</v>
      </c>
      <c r="N157">
        <v>0.36363636363636298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t="s">
        <v>49</v>
      </c>
      <c r="AO157">
        <v>0</v>
      </c>
      <c r="AP157">
        <v>2</v>
      </c>
      <c r="AQ157">
        <v>0</v>
      </c>
      <c r="AR157">
        <v>0</v>
      </c>
      <c r="AS157">
        <v>1</v>
      </c>
      <c r="AT157">
        <v>0</v>
      </c>
    </row>
    <row r="158" spans="1:46" x14ac:dyDescent="0.2">
      <c r="A158" t="s">
        <v>183</v>
      </c>
      <c r="B158" s="4">
        <f t="shared" si="2"/>
        <v>45839</v>
      </c>
      <c r="C158" t="s">
        <v>77</v>
      </c>
      <c r="D158" s="1">
        <v>1.3900462962962963E-2</v>
      </c>
      <c r="E158">
        <v>3</v>
      </c>
      <c r="F158" t="s">
        <v>54</v>
      </c>
      <c r="G158" t="s">
        <v>185</v>
      </c>
      <c r="H158" t="str">
        <f>VLOOKUP(G158, teams!B$2:C$36, 2, 0)</f>
        <v>Tech</v>
      </c>
      <c r="I158" t="s">
        <v>48</v>
      </c>
      <c r="J158">
        <v>0.33333333333333298</v>
      </c>
      <c r="K158">
        <v>1</v>
      </c>
      <c r="L158">
        <v>0.5</v>
      </c>
      <c r="M158">
        <v>0.133333333333333</v>
      </c>
      <c r="N158">
        <v>9.0909090909090898E-2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 t="s">
        <v>49</v>
      </c>
      <c r="AO158">
        <v>0</v>
      </c>
      <c r="AP158">
        <v>1</v>
      </c>
      <c r="AQ158">
        <v>2</v>
      </c>
      <c r="AR158">
        <v>0</v>
      </c>
      <c r="AS158">
        <v>0</v>
      </c>
      <c r="AT158">
        <v>0</v>
      </c>
    </row>
    <row r="159" spans="1:46" x14ac:dyDescent="0.2">
      <c r="A159" t="s">
        <v>183</v>
      </c>
      <c r="B159" s="4">
        <f t="shared" si="2"/>
        <v>45839</v>
      </c>
      <c r="C159" t="s">
        <v>77</v>
      </c>
      <c r="D159" s="1">
        <v>1.1539351851851851E-2</v>
      </c>
      <c r="E159">
        <v>16</v>
      </c>
      <c r="F159" t="s">
        <v>75</v>
      </c>
      <c r="G159" t="s">
        <v>132</v>
      </c>
      <c r="H159" t="str">
        <f>VLOOKUP(G159, teams!B$2:C$36, 2, 0)</f>
        <v>24/7</v>
      </c>
      <c r="I159" t="s">
        <v>56</v>
      </c>
      <c r="J159">
        <v>0.11111111111111099</v>
      </c>
      <c r="K159">
        <v>0.5</v>
      </c>
      <c r="L159">
        <v>0.83333333333333304</v>
      </c>
      <c r="M159">
        <v>0.53333333333333299</v>
      </c>
      <c r="N159">
        <v>0.27272727272727199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t="s">
        <v>49</v>
      </c>
      <c r="AO159">
        <v>0</v>
      </c>
      <c r="AP159">
        <v>1</v>
      </c>
      <c r="AQ159">
        <v>0</v>
      </c>
      <c r="AR159">
        <v>0</v>
      </c>
      <c r="AS159">
        <v>1</v>
      </c>
      <c r="AT159">
        <v>0</v>
      </c>
    </row>
    <row r="160" spans="1:46" x14ac:dyDescent="0.2">
      <c r="A160" t="s">
        <v>186</v>
      </c>
      <c r="B160" s="4">
        <f t="shared" si="2"/>
        <v>45839</v>
      </c>
      <c r="C160" t="s">
        <v>45</v>
      </c>
      <c r="D160" s="1">
        <v>1.9386574074074073E-2</v>
      </c>
      <c r="E160">
        <v>28</v>
      </c>
      <c r="F160" t="s">
        <v>187</v>
      </c>
      <c r="G160" t="s">
        <v>103</v>
      </c>
      <c r="H160" t="str">
        <f>VLOOKUP(G160, teams!B$2:C$36, 2, 0)</f>
        <v>Tech</v>
      </c>
      <c r="I160" t="s">
        <v>56</v>
      </c>
      <c r="J160">
        <v>0.44444444444444398</v>
      </c>
      <c r="K160">
        <v>1</v>
      </c>
      <c r="L160">
        <v>0.66666666666666596</v>
      </c>
      <c r="M160">
        <v>0.46666666666666601</v>
      </c>
      <c r="N160">
        <v>0.45454545454545398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 t="s">
        <v>49</v>
      </c>
      <c r="AO160">
        <v>0</v>
      </c>
      <c r="AP160">
        <v>1</v>
      </c>
      <c r="AQ160">
        <v>1</v>
      </c>
      <c r="AR160">
        <v>1</v>
      </c>
      <c r="AS160">
        <v>0</v>
      </c>
      <c r="AT160">
        <v>1</v>
      </c>
    </row>
    <row r="161" spans="1:46" x14ac:dyDescent="0.2">
      <c r="A161" t="s">
        <v>186</v>
      </c>
      <c r="B161" s="4">
        <f t="shared" si="2"/>
        <v>45839</v>
      </c>
      <c r="C161" t="s">
        <v>45</v>
      </c>
      <c r="D161" s="1">
        <v>1.1412037037037037E-2</v>
      </c>
      <c r="E161">
        <v>7</v>
      </c>
      <c r="F161" t="s">
        <v>66</v>
      </c>
      <c r="G161" t="s">
        <v>147</v>
      </c>
      <c r="H161" t="str">
        <f>VLOOKUP(G161, teams!B$2:C$36, 2, 0)</f>
        <v>24/7</v>
      </c>
      <c r="I161" t="s">
        <v>56</v>
      </c>
      <c r="J161">
        <v>0.66666666666666596</v>
      </c>
      <c r="K161">
        <v>1</v>
      </c>
      <c r="L161">
        <v>0.5</v>
      </c>
      <c r="M161">
        <v>0.4</v>
      </c>
      <c r="N161">
        <v>0.27272727272727199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 t="s">
        <v>49</v>
      </c>
      <c r="AO161">
        <v>0</v>
      </c>
      <c r="AP161">
        <v>2</v>
      </c>
      <c r="AQ161">
        <v>0</v>
      </c>
      <c r="AR161">
        <v>1</v>
      </c>
      <c r="AS161">
        <v>0</v>
      </c>
      <c r="AT161">
        <v>0</v>
      </c>
    </row>
    <row r="162" spans="1:46" x14ac:dyDescent="0.2">
      <c r="A162" t="s">
        <v>188</v>
      </c>
      <c r="B162" s="4">
        <f t="shared" si="2"/>
        <v>45839</v>
      </c>
      <c r="C162" t="s">
        <v>91</v>
      </c>
      <c r="D162" s="1">
        <v>5.8796296296296296E-3</v>
      </c>
      <c r="E162">
        <v>7</v>
      </c>
      <c r="F162" t="s">
        <v>66</v>
      </c>
      <c r="G162" t="s">
        <v>168</v>
      </c>
      <c r="H162" t="str">
        <f>VLOOKUP(G162, teams!B$2:C$36, 2, 0)</f>
        <v>24/7</v>
      </c>
      <c r="I162" t="s">
        <v>56</v>
      </c>
      <c r="J162">
        <v>0.44444444444444398</v>
      </c>
      <c r="K162">
        <v>1</v>
      </c>
      <c r="L162">
        <v>0.5</v>
      </c>
      <c r="M162">
        <v>0.266666666666666</v>
      </c>
      <c r="N162">
        <v>0.27272727272727199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 t="s">
        <v>49</v>
      </c>
      <c r="AO162">
        <v>0</v>
      </c>
      <c r="AP162">
        <v>2</v>
      </c>
      <c r="AQ162">
        <v>0</v>
      </c>
      <c r="AR162">
        <v>1</v>
      </c>
      <c r="AS162">
        <v>0</v>
      </c>
      <c r="AT162">
        <v>0</v>
      </c>
    </row>
    <row r="163" spans="1:46" x14ac:dyDescent="0.2">
      <c r="A163" t="s">
        <v>189</v>
      </c>
      <c r="B163" s="4">
        <f t="shared" si="2"/>
        <v>45839</v>
      </c>
      <c r="C163" t="s">
        <v>51</v>
      </c>
      <c r="D163" s="1">
        <v>1.0150462962962964E-2</v>
      </c>
      <c r="E163">
        <v>7</v>
      </c>
      <c r="F163" t="s">
        <v>66</v>
      </c>
      <c r="G163" t="s">
        <v>156</v>
      </c>
      <c r="H163" t="str">
        <f>VLOOKUP(G163, teams!B$2:C$36, 2, 0)</f>
        <v>24/7</v>
      </c>
      <c r="I163" t="s">
        <v>56</v>
      </c>
      <c r="J163">
        <v>0.55555555555555503</v>
      </c>
      <c r="K163">
        <v>1</v>
      </c>
      <c r="L163">
        <v>0.66666666666666596</v>
      </c>
      <c r="M163">
        <v>0.46666666666666601</v>
      </c>
      <c r="N163">
        <v>0.27272727272727199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 t="s">
        <v>49</v>
      </c>
      <c r="AO163">
        <v>0</v>
      </c>
      <c r="AP163">
        <v>2</v>
      </c>
      <c r="AQ163">
        <v>0</v>
      </c>
      <c r="AR163">
        <v>1</v>
      </c>
      <c r="AS163">
        <v>0</v>
      </c>
      <c r="AT163">
        <v>0</v>
      </c>
    </row>
    <row r="164" spans="1:46" x14ac:dyDescent="0.2">
      <c r="A164" t="s">
        <v>189</v>
      </c>
      <c r="B164" s="4">
        <f t="shared" si="2"/>
        <v>45839</v>
      </c>
      <c r="C164" t="s">
        <v>51</v>
      </c>
      <c r="D164" s="1">
        <v>1.2650462962962962E-2</v>
      </c>
      <c r="E164">
        <v>5</v>
      </c>
      <c r="F164" t="s">
        <v>63</v>
      </c>
      <c r="G164" t="s">
        <v>182</v>
      </c>
      <c r="H164" t="str">
        <f>VLOOKUP(G164, teams!B$2:C$36, 2, 0)</f>
        <v>Service Desk</v>
      </c>
      <c r="I164" t="s">
        <v>56</v>
      </c>
      <c r="J164">
        <v>0.55555555555555503</v>
      </c>
      <c r="K164">
        <v>1</v>
      </c>
      <c r="L164">
        <v>0.83333333333333304</v>
      </c>
      <c r="M164">
        <v>0.53333333333333299</v>
      </c>
      <c r="N164">
        <v>0.18181818181818099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t="s">
        <v>49</v>
      </c>
      <c r="AO164">
        <v>0</v>
      </c>
      <c r="AP164">
        <v>1</v>
      </c>
      <c r="AQ164">
        <v>1</v>
      </c>
      <c r="AR164">
        <v>0</v>
      </c>
      <c r="AS164">
        <v>0</v>
      </c>
      <c r="AT164">
        <v>0</v>
      </c>
    </row>
    <row r="165" spans="1:46" x14ac:dyDescent="0.2">
      <c r="A165" t="s">
        <v>190</v>
      </c>
      <c r="B165" s="4">
        <f t="shared" si="2"/>
        <v>45839</v>
      </c>
      <c r="C165" t="s">
        <v>77</v>
      </c>
      <c r="D165" s="1">
        <v>1.3900462962962963E-2</v>
      </c>
      <c r="E165">
        <v>5</v>
      </c>
      <c r="F165" t="s">
        <v>63</v>
      </c>
      <c r="G165" t="s">
        <v>185</v>
      </c>
      <c r="H165" t="str">
        <f>VLOOKUP(G165, teams!B$2:C$36, 2, 0)</f>
        <v>Tech</v>
      </c>
      <c r="I165" t="s">
        <v>48</v>
      </c>
      <c r="J165">
        <v>0.33333333333333298</v>
      </c>
      <c r="K165">
        <v>1</v>
      </c>
      <c r="L165">
        <v>0.5</v>
      </c>
      <c r="M165">
        <v>0.266666666666666</v>
      </c>
      <c r="N165">
        <v>0.27272727272727199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t="s">
        <v>49</v>
      </c>
      <c r="AO165">
        <v>0</v>
      </c>
      <c r="AP165">
        <v>1</v>
      </c>
      <c r="AQ165">
        <v>1</v>
      </c>
      <c r="AR165">
        <v>0</v>
      </c>
      <c r="AS165">
        <v>0</v>
      </c>
      <c r="AT165">
        <v>0</v>
      </c>
    </row>
    <row r="166" spans="1:46" x14ac:dyDescent="0.2">
      <c r="A166" t="s">
        <v>191</v>
      </c>
      <c r="B166" s="4">
        <f t="shared" si="2"/>
        <v>45839</v>
      </c>
      <c r="C166" t="s">
        <v>59</v>
      </c>
      <c r="D166" s="1">
        <v>1.3935185185185186E-2</v>
      </c>
      <c r="E166">
        <v>5</v>
      </c>
      <c r="F166" t="s">
        <v>63</v>
      </c>
      <c r="G166" t="s">
        <v>163</v>
      </c>
      <c r="H166" t="str">
        <f>VLOOKUP(G166, teams!B$2:C$36, 2, 0)</f>
        <v>24/7</v>
      </c>
      <c r="I166" t="s">
        <v>56</v>
      </c>
      <c r="J166">
        <v>0.44444444444444398</v>
      </c>
      <c r="K166">
        <v>1</v>
      </c>
      <c r="L166">
        <v>0.83333333333333304</v>
      </c>
      <c r="M166">
        <v>0.66666666666666596</v>
      </c>
      <c r="N166">
        <v>0.36363636363636298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t="s">
        <v>49</v>
      </c>
      <c r="AO166">
        <v>0</v>
      </c>
      <c r="AP166">
        <v>1</v>
      </c>
      <c r="AQ166">
        <v>1</v>
      </c>
      <c r="AR166">
        <v>0</v>
      </c>
      <c r="AS166">
        <v>0</v>
      </c>
      <c r="AT166">
        <v>0</v>
      </c>
    </row>
    <row r="167" spans="1:46" x14ac:dyDescent="0.2">
      <c r="A167" t="s">
        <v>192</v>
      </c>
      <c r="B167" s="4">
        <f t="shared" si="2"/>
        <v>45839</v>
      </c>
      <c r="C167" t="s">
        <v>91</v>
      </c>
      <c r="D167" s="1">
        <v>1.3900462962962963E-2</v>
      </c>
      <c r="E167">
        <v>16</v>
      </c>
      <c r="F167" t="s">
        <v>75</v>
      </c>
      <c r="G167" t="s">
        <v>165</v>
      </c>
      <c r="H167" t="str">
        <f>VLOOKUP(G167, teams!B$2:C$36, 2, 0)</f>
        <v>Tech</v>
      </c>
      <c r="I167" t="s">
        <v>48</v>
      </c>
      <c r="J167">
        <v>0.55555555555555503</v>
      </c>
      <c r="K167">
        <v>1</v>
      </c>
      <c r="L167">
        <v>0.66666666666666596</v>
      </c>
      <c r="M167">
        <v>0.53333333333333299</v>
      </c>
      <c r="N167">
        <v>0.45454545454545398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t="s">
        <v>49</v>
      </c>
      <c r="AO167">
        <v>0</v>
      </c>
      <c r="AP167">
        <v>1</v>
      </c>
      <c r="AQ167">
        <v>0</v>
      </c>
      <c r="AR167">
        <v>0</v>
      </c>
      <c r="AS167">
        <v>1</v>
      </c>
      <c r="AT167">
        <v>0</v>
      </c>
    </row>
    <row r="168" spans="1:46" x14ac:dyDescent="0.2">
      <c r="A168" t="s">
        <v>192</v>
      </c>
      <c r="B168" s="4">
        <f t="shared" si="2"/>
        <v>45839</v>
      </c>
      <c r="C168" t="s">
        <v>91</v>
      </c>
      <c r="D168" s="1">
        <v>1.3900462962962963E-2</v>
      </c>
      <c r="E168">
        <v>5</v>
      </c>
      <c r="F168" t="s">
        <v>63</v>
      </c>
      <c r="G168" t="s">
        <v>193</v>
      </c>
      <c r="H168" t="str">
        <f>VLOOKUP(G168, teams!B$2:C$36, 2, 0)</f>
        <v>24/7</v>
      </c>
      <c r="I168" t="s">
        <v>48</v>
      </c>
      <c r="J168">
        <v>0.66666666666666596</v>
      </c>
      <c r="K168">
        <v>1</v>
      </c>
      <c r="L168">
        <v>0.66666666666666596</v>
      </c>
      <c r="M168">
        <v>0.53333333333333299</v>
      </c>
      <c r="N168">
        <v>0.36363636363636298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t="s">
        <v>49</v>
      </c>
      <c r="AO168">
        <v>0</v>
      </c>
      <c r="AP168">
        <v>1</v>
      </c>
      <c r="AQ168">
        <v>1</v>
      </c>
      <c r="AR168">
        <v>0</v>
      </c>
      <c r="AS168">
        <v>0</v>
      </c>
      <c r="AT168">
        <v>0</v>
      </c>
    </row>
    <row r="169" spans="1:46" x14ac:dyDescent="0.2">
      <c r="A169" t="s">
        <v>194</v>
      </c>
      <c r="B169" s="4">
        <f t="shared" si="2"/>
        <v>45839</v>
      </c>
      <c r="C169" t="s">
        <v>51</v>
      </c>
      <c r="D169" s="1">
        <v>1.3900462962962963E-2</v>
      </c>
      <c r="E169">
        <v>14</v>
      </c>
      <c r="F169" t="s">
        <v>72</v>
      </c>
      <c r="G169" t="s">
        <v>139</v>
      </c>
      <c r="H169" t="str">
        <f>VLOOKUP(G169, teams!B$2:C$36, 2, 0)</f>
        <v>24/7</v>
      </c>
      <c r="I169" t="s">
        <v>48</v>
      </c>
      <c r="J169">
        <v>0.55555555555555503</v>
      </c>
      <c r="K169">
        <v>1</v>
      </c>
      <c r="L169">
        <v>0.83333333333333304</v>
      </c>
      <c r="M169">
        <v>0.133333333333333</v>
      </c>
      <c r="N169">
        <v>0.18181818181818099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t="s">
        <v>49</v>
      </c>
      <c r="AO169">
        <v>1</v>
      </c>
      <c r="AP169">
        <v>2</v>
      </c>
      <c r="AQ169">
        <v>1</v>
      </c>
      <c r="AR169">
        <v>1</v>
      </c>
      <c r="AS169">
        <v>2</v>
      </c>
      <c r="AT169">
        <v>1</v>
      </c>
    </row>
    <row r="170" spans="1:46" x14ac:dyDescent="0.2">
      <c r="A170" t="s">
        <v>194</v>
      </c>
      <c r="B170" s="4">
        <f t="shared" si="2"/>
        <v>45839</v>
      </c>
      <c r="C170" t="s">
        <v>51</v>
      </c>
      <c r="D170" s="1">
        <v>1.2037037037037037E-2</v>
      </c>
      <c r="E170">
        <v>6</v>
      </c>
      <c r="F170" t="s">
        <v>46</v>
      </c>
      <c r="G170" t="s">
        <v>182</v>
      </c>
      <c r="H170" t="str">
        <f>VLOOKUP(G170, teams!B$2:C$36, 2, 0)</f>
        <v>Service Desk</v>
      </c>
      <c r="I170" t="s">
        <v>56</v>
      </c>
      <c r="J170">
        <v>0.66666666666666596</v>
      </c>
      <c r="K170">
        <v>1</v>
      </c>
      <c r="L170">
        <v>0.83333333333333304</v>
      </c>
      <c r="M170">
        <v>0.53333333333333299</v>
      </c>
      <c r="N170">
        <v>0.45454545454545398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1</v>
      </c>
      <c r="AK170">
        <v>0</v>
      </c>
      <c r="AL170">
        <v>0</v>
      </c>
      <c r="AM170">
        <v>0</v>
      </c>
      <c r="AN170" t="s">
        <v>49</v>
      </c>
      <c r="AO170">
        <v>0</v>
      </c>
      <c r="AP170">
        <v>2</v>
      </c>
      <c r="AQ170">
        <v>0</v>
      </c>
      <c r="AR170">
        <v>2</v>
      </c>
      <c r="AS170">
        <v>0</v>
      </c>
      <c r="AT170">
        <v>0</v>
      </c>
    </row>
    <row r="171" spans="1:46" x14ac:dyDescent="0.2">
      <c r="A171" t="s">
        <v>194</v>
      </c>
      <c r="B171" s="4">
        <f t="shared" si="2"/>
        <v>45839</v>
      </c>
      <c r="C171" t="s">
        <v>51</v>
      </c>
      <c r="D171" s="1">
        <v>1.3900462962962963E-2</v>
      </c>
      <c r="E171">
        <v>14</v>
      </c>
      <c r="F171" t="s">
        <v>72</v>
      </c>
      <c r="G171" t="s">
        <v>150</v>
      </c>
      <c r="H171" t="str">
        <f>VLOOKUP(G171, teams!B$2:C$36, 2, 0)</f>
        <v>24/7</v>
      </c>
      <c r="I171" t="s">
        <v>48</v>
      </c>
      <c r="J171">
        <v>0.55555555555555503</v>
      </c>
      <c r="K171">
        <v>1.5</v>
      </c>
      <c r="L171">
        <v>0.66666666666666596</v>
      </c>
      <c r="M171">
        <v>0.33333333333333298</v>
      </c>
      <c r="N171">
        <v>0.18181818181818099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t="s">
        <v>49</v>
      </c>
      <c r="AO171">
        <v>1</v>
      </c>
      <c r="AP171">
        <v>2</v>
      </c>
      <c r="AQ171">
        <v>1</v>
      </c>
      <c r="AR171">
        <v>1</v>
      </c>
      <c r="AS171">
        <v>2</v>
      </c>
      <c r="AT171">
        <v>1</v>
      </c>
    </row>
    <row r="172" spans="1:46" x14ac:dyDescent="0.2">
      <c r="A172" t="s">
        <v>195</v>
      </c>
      <c r="B172" s="4">
        <f t="shared" si="2"/>
        <v>45839</v>
      </c>
      <c r="C172" t="s">
        <v>77</v>
      </c>
      <c r="D172" s="1">
        <v>1.7303240740740741E-2</v>
      </c>
      <c r="E172">
        <v>28</v>
      </c>
      <c r="F172" t="s">
        <v>187</v>
      </c>
      <c r="G172" t="s">
        <v>97</v>
      </c>
      <c r="H172" t="str">
        <f>VLOOKUP(G172, teams!B$2:C$36, 2, 0)</f>
        <v>Tech</v>
      </c>
      <c r="I172" t="s">
        <v>56</v>
      </c>
      <c r="J172">
        <v>0.77777777777777701</v>
      </c>
      <c r="K172">
        <v>1.5</v>
      </c>
      <c r="L172">
        <v>1.1666666666666601</v>
      </c>
      <c r="M172">
        <v>0.6</v>
      </c>
      <c r="N172">
        <v>0.63636363636363602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 t="s">
        <v>49</v>
      </c>
      <c r="AO172">
        <v>0</v>
      </c>
      <c r="AP172">
        <v>1</v>
      </c>
      <c r="AQ172">
        <v>1</v>
      </c>
      <c r="AR172">
        <v>1</v>
      </c>
      <c r="AS172">
        <v>0</v>
      </c>
      <c r="AT172">
        <v>1</v>
      </c>
    </row>
    <row r="173" spans="1:46" x14ac:dyDescent="0.2">
      <c r="A173" t="s">
        <v>195</v>
      </c>
      <c r="B173" s="4">
        <f t="shared" si="2"/>
        <v>45839</v>
      </c>
      <c r="C173" t="s">
        <v>77</v>
      </c>
      <c r="D173" s="1">
        <v>1.4108796296296296E-2</v>
      </c>
      <c r="E173">
        <v>6</v>
      </c>
      <c r="F173" t="s">
        <v>46</v>
      </c>
      <c r="G173" t="s">
        <v>185</v>
      </c>
      <c r="H173" t="str">
        <f>VLOOKUP(G173, teams!B$2:C$36, 2, 0)</f>
        <v>Tech</v>
      </c>
      <c r="I173" t="s">
        <v>56</v>
      </c>
      <c r="J173">
        <v>0.66666666666666596</v>
      </c>
      <c r="K173">
        <v>1</v>
      </c>
      <c r="L173">
        <v>1</v>
      </c>
      <c r="M173">
        <v>0.53333333333333299</v>
      </c>
      <c r="N173">
        <v>0.27272727272727199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1</v>
      </c>
      <c r="AK173">
        <v>0</v>
      </c>
      <c r="AL173">
        <v>0</v>
      </c>
      <c r="AM173">
        <v>0</v>
      </c>
      <c r="AN173" t="s">
        <v>49</v>
      </c>
      <c r="AO173">
        <v>0</v>
      </c>
      <c r="AP173">
        <v>2</v>
      </c>
      <c r="AQ173">
        <v>0</v>
      </c>
      <c r="AR173">
        <v>2</v>
      </c>
      <c r="AS173">
        <v>0</v>
      </c>
      <c r="AT173">
        <v>0</v>
      </c>
    </row>
    <row r="174" spans="1:46" x14ac:dyDescent="0.2">
      <c r="A174" t="s">
        <v>195</v>
      </c>
      <c r="B174" s="4">
        <f t="shared" si="2"/>
        <v>45839</v>
      </c>
      <c r="C174" t="s">
        <v>77</v>
      </c>
      <c r="D174" s="1">
        <v>1.3854166666666667E-2</v>
      </c>
      <c r="E174">
        <v>4</v>
      </c>
      <c r="F174" t="s">
        <v>82</v>
      </c>
      <c r="G174" t="s">
        <v>132</v>
      </c>
      <c r="H174" t="str">
        <f>VLOOKUP(G174, teams!B$2:C$36, 2, 0)</f>
        <v>24/7</v>
      </c>
      <c r="I174" t="s">
        <v>56</v>
      </c>
      <c r="J174">
        <v>0.66666666666666596</v>
      </c>
      <c r="K174">
        <v>1</v>
      </c>
      <c r="L174">
        <v>0.83333333333333304</v>
      </c>
      <c r="M174">
        <v>0.33333333333333298</v>
      </c>
      <c r="N174">
        <v>0.27272727272727199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t="s">
        <v>49</v>
      </c>
      <c r="AO174">
        <v>1</v>
      </c>
      <c r="AP174">
        <v>4</v>
      </c>
      <c r="AQ174">
        <v>1</v>
      </c>
      <c r="AR174">
        <v>1</v>
      </c>
      <c r="AS174">
        <v>1</v>
      </c>
      <c r="AT174">
        <v>1</v>
      </c>
    </row>
    <row r="175" spans="1:46" x14ac:dyDescent="0.2">
      <c r="A175" t="s">
        <v>196</v>
      </c>
      <c r="B175" s="4">
        <f t="shared" si="2"/>
        <v>45839</v>
      </c>
      <c r="C175" t="s">
        <v>59</v>
      </c>
      <c r="D175" s="1">
        <v>1.2280092592592592E-2</v>
      </c>
      <c r="E175">
        <v>14</v>
      </c>
      <c r="F175" t="s">
        <v>72</v>
      </c>
      <c r="G175" t="s">
        <v>130</v>
      </c>
      <c r="H175" t="str">
        <f>VLOOKUP(G175, teams!B$2:C$36, 2, 0)</f>
        <v>24/7</v>
      </c>
      <c r="I175" t="s">
        <v>56</v>
      </c>
      <c r="J175">
        <v>0.77777777777777701</v>
      </c>
      <c r="K175">
        <v>1</v>
      </c>
      <c r="L175">
        <v>0.5</v>
      </c>
      <c r="M175">
        <v>0.66666666666666596</v>
      </c>
      <c r="N175">
        <v>0.63636363636363602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t="s">
        <v>49</v>
      </c>
      <c r="AO175">
        <v>1</v>
      </c>
      <c r="AP175">
        <v>2</v>
      </c>
      <c r="AQ175">
        <v>1</v>
      </c>
      <c r="AR175">
        <v>1</v>
      </c>
      <c r="AS175">
        <v>2</v>
      </c>
      <c r="AT175">
        <v>1</v>
      </c>
    </row>
    <row r="176" spans="1:46" x14ac:dyDescent="0.2">
      <c r="A176" t="s">
        <v>196</v>
      </c>
      <c r="B176" s="4">
        <f t="shared" si="2"/>
        <v>45839</v>
      </c>
      <c r="C176" t="s">
        <v>59</v>
      </c>
      <c r="D176" s="1">
        <v>1.40625E-2</v>
      </c>
      <c r="E176">
        <v>29</v>
      </c>
      <c r="F176" t="s">
        <v>197</v>
      </c>
      <c r="G176" t="s">
        <v>198</v>
      </c>
      <c r="H176" t="str">
        <f>VLOOKUP(G176, teams!B$2:C$36, 2, 0)</f>
        <v>24/7</v>
      </c>
      <c r="I176" t="s">
        <v>56</v>
      </c>
      <c r="J176">
        <v>0.55555555555555503</v>
      </c>
      <c r="K176">
        <v>1.5</v>
      </c>
      <c r="L176">
        <v>0.83333333333333304</v>
      </c>
      <c r="M176">
        <v>0.266666666666666</v>
      </c>
      <c r="N176">
        <v>0.18181818181818099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 t="s">
        <v>49</v>
      </c>
      <c r="AO176">
        <v>0</v>
      </c>
      <c r="AP176">
        <v>1</v>
      </c>
      <c r="AQ176">
        <v>2</v>
      </c>
      <c r="AR176">
        <v>0</v>
      </c>
      <c r="AS176">
        <v>0</v>
      </c>
      <c r="AT176">
        <v>0</v>
      </c>
    </row>
    <row r="177" spans="1:46" x14ac:dyDescent="0.2">
      <c r="A177" t="s">
        <v>199</v>
      </c>
      <c r="B177" s="4">
        <f t="shared" si="2"/>
        <v>45839</v>
      </c>
      <c r="C177" t="s">
        <v>45</v>
      </c>
      <c r="D177" s="1">
        <v>1.6747685185185185E-2</v>
      </c>
      <c r="E177">
        <v>8</v>
      </c>
      <c r="F177" t="s">
        <v>89</v>
      </c>
      <c r="G177" t="s">
        <v>99</v>
      </c>
      <c r="H177" t="str">
        <f>VLOOKUP(G177, teams!B$2:C$36, 2, 0)</f>
        <v>Service Desk</v>
      </c>
      <c r="I177" t="s">
        <v>56</v>
      </c>
      <c r="J177">
        <v>1</v>
      </c>
      <c r="K177">
        <v>1.5</v>
      </c>
      <c r="L177">
        <v>0.66666666666666596</v>
      </c>
      <c r="M177">
        <v>0.73333333333333295</v>
      </c>
      <c r="N177">
        <v>0.45454545454545398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 t="s">
        <v>49</v>
      </c>
      <c r="AO177">
        <v>0</v>
      </c>
      <c r="AP177">
        <v>1</v>
      </c>
      <c r="AQ177">
        <v>2</v>
      </c>
      <c r="AR177">
        <v>0</v>
      </c>
      <c r="AS177">
        <v>0</v>
      </c>
      <c r="AT177">
        <v>1</v>
      </c>
    </row>
    <row r="178" spans="1:46" x14ac:dyDescent="0.2">
      <c r="A178" t="s">
        <v>199</v>
      </c>
      <c r="B178" s="4">
        <f t="shared" si="2"/>
        <v>45839</v>
      </c>
      <c r="C178" t="s">
        <v>45</v>
      </c>
      <c r="D178" s="1">
        <v>2.0856481481481483E-2</v>
      </c>
      <c r="E178">
        <v>28</v>
      </c>
      <c r="F178" t="s">
        <v>187</v>
      </c>
      <c r="G178" t="s">
        <v>60</v>
      </c>
      <c r="H178" t="str">
        <f>VLOOKUP(G178, teams!B$2:C$36, 2, 0)</f>
        <v>Service Desk</v>
      </c>
      <c r="I178" t="s">
        <v>48</v>
      </c>
      <c r="J178">
        <v>0.55555555555555503</v>
      </c>
      <c r="K178">
        <v>1</v>
      </c>
      <c r="L178">
        <v>1</v>
      </c>
      <c r="M178">
        <v>0.53333333333333299</v>
      </c>
      <c r="N178">
        <v>0.36363636363636298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 t="s">
        <v>49</v>
      </c>
      <c r="AO178">
        <v>0</v>
      </c>
      <c r="AP178">
        <v>1</v>
      </c>
      <c r="AQ178">
        <v>1</v>
      </c>
      <c r="AR178">
        <v>1</v>
      </c>
      <c r="AS178">
        <v>0</v>
      </c>
      <c r="AT178">
        <v>1</v>
      </c>
    </row>
    <row r="179" spans="1:46" x14ac:dyDescent="0.2">
      <c r="A179" t="s">
        <v>200</v>
      </c>
      <c r="B179" s="4">
        <f t="shared" si="2"/>
        <v>45839</v>
      </c>
      <c r="C179" t="s">
        <v>51</v>
      </c>
      <c r="D179" s="1">
        <v>1.2777777777777779E-2</v>
      </c>
      <c r="E179">
        <v>29</v>
      </c>
      <c r="F179" t="s">
        <v>197</v>
      </c>
      <c r="G179" t="s">
        <v>201</v>
      </c>
      <c r="H179" t="str">
        <f>VLOOKUP(G179, teams!B$2:C$36, 2, 0)</f>
        <v>24/7</v>
      </c>
      <c r="I179" t="s">
        <v>56</v>
      </c>
      <c r="J179">
        <v>0.33333333333333298</v>
      </c>
      <c r="K179">
        <v>1</v>
      </c>
      <c r="L179">
        <v>0.66666666666666596</v>
      </c>
      <c r="M179">
        <v>0.33333333333333298</v>
      </c>
      <c r="N179">
        <v>9.0909090909090898E-2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 t="s">
        <v>49</v>
      </c>
      <c r="AO179">
        <v>0</v>
      </c>
      <c r="AP179">
        <v>1</v>
      </c>
      <c r="AQ179">
        <v>2</v>
      </c>
      <c r="AR179">
        <v>0</v>
      </c>
      <c r="AS179">
        <v>0</v>
      </c>
      <c r="AT179">
        <v>0</v>
      </c>
    </row>
    <row r="180" spans="1:46" x14ac:dyDescent="0.2">
      <c r="A180" t="s">
        <v>202</v>
      </c>
      <c r="B180" s="4">
        <f t="shared" si="2"/>
        <v>45839</v>
      </c>
      <c r="C180" t="s">
        <v>77</v>
      </c>
      <c r="D180" s="1">
        <v>1.2222222222222223E-2</v>
      </c>
      <c r="E180">
        <v>14</v>
      </c>
      <c r="F180" t="s">
        <v>72</v>
      </c>
      <c r="G180" t="s">
        <v>147</v>
      </c>
      <c r="H180" t="str">
        <f>VLOOKUP(G180, teams!B$2:C$36, 2, 0)</f>
        <v>24/7</v>
      </c>
      <c r="I180" t="s">
        <v>56</v>
      </c>
      <c r="J180">
        <v>0.88888888888888795</v>
      </c>
      <c r="K180">
        <v>1</v>
      </c>
      <c r="L180">
        <v>0.66666666666666596</v>
      </c>
      <c r="M180">
        <v>0.46666666666666601</v>
      </c>
      <c r="N180">
        <v>0.45454545454545398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49</v>
      </c>
      <c r="AO180">
        <v>1</v>
      </c>
      <c r="AP180">
        <v>2</v>
      </c>
      <c r="AQ180">
        <v>1</v>
      </c>
      <c r="AR180">
        <v>1</v>
      </c>
      <c r="AS180">
        <v>2</v>
      </c>
      <c r="AT180">
        <v>1</v>
      </c>
    </row>
    <row r="181" spans="1:46" x14ac:dyDescent="0.2">
      <c r="A181" t="s">
        <v>203</v>
      </c>
      <c r="B181" s="4">
        <f t="shared" si="2"/>
        <v>45839</v>
      </c>
      <c r="C181" t="s">
        <v>51</v>
      </c>
      <c r="D181" s="1">
        <v>8.726851851851852E-3</v>
      </c>
      <c r="E181">
        <v>14</v>
      </c>
      <c r="F181" t="s">
        <v>72</v>
      </c>
      <c r="G181" t="s">
        <v>182</v>
      </c>
      <c r="H181" t="str">
        <f>VLOOKUP(G181, teams!B$2:C$36, 2, 0)</f>
        <v>Service Desk</v>
      </c>
      <c r="I181" t="s">
        <v>56</v>
      </c>
      <c r="J181">
        <v>0.44444444444444398</v>
      </c>
      <c r="K181">
        <v>1</v>
      </c>
      <c r="L181">
        <v>0.83333333333333304</v>
      </c>
      <c r="M181">
        <v>0.33333333333333298</v>
      </c>
      <c r="N181">
        <v>0.36363636363636298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t="s">
        <v>49</v>
      </c>
      <c r="AO181">
        <v>1</v>
      </c>
      <c r="AP181">
        <v>2</v>
      </c>
      <c r="AQ181">
        <v>1</v>
      </c>
      <c r="AR181">
        <v>1</v>
      </c>
      <c r="AS181">
        <v>2</v>
      </c>
      <c r="AT181">
        <v>1</v>
      </c>
    </row>
    <row r="182" spans="1:46" x14ac:dyDescent="0.2">
      <c r="A182" t="s">
        <v>204</v>
      </c>
      <c r="B182" s="4">
        <f t="shared" si="2"/>
        <v>45839</v>
      </c>
      <c r="C182" t="s">
        <v>77</v>
      </c>
      <c r="D182" s="1">
        <v>1.7719907407407406E-2</v>
      </c>
      <c r="E182">
        <v>28</v>
      </c>
      <c r="F182" t="s">
        <v>187</v>
      </c>
      <c r="G182" t="s">
        <v>78</v>
      </c>
      <c r="H182" t="str">
        <f>VLOOKUP(G182, teams!B$2:C$36, 2, 0)</f>
        <v>Service Desk</v>
      </c>
      <c r="I182" t="s">
        <v>56</v>
      </c>
      <c r="J182">
        <v>0.55555555555555503</v>
      </c>
      <c r="K182">
        <v>1</v>
      </c>
      <c r="L182">
        <v>1</v>
      </c>
      <c r="M182">
        <v>0.66666666666666596</v>
      </c>
      <c r="N182">
        <v>0.54545454545454497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 t="s">
        <v>49</v>
      </c>
      <c r="AO182">
        <v>0</v>
      </c>
      <c r="AP182">
        <v>1</v>
      </c>
      <c r="AQ182">
        <v>1</v>
      </c>
      <c r="AR182">
        <v>1</v>
      </c>
      <c r="AS182">
        <v>0</v>
      </c>
      <c r="AT182">
        <v>1</v>
      </c>
    </row>
    <row r="183" spans="1:46" x14ac:dyDescent="0.2">
      <c r="A183" t="s">
        <v>204</v>
      </c>
      <c r="B183" s="4">
        <f t="shared" si="2"/>
        <v>45839</v>
      </c>
      <c r="C183" t="s">
        <v>77</v>
      </c>
      <c r="D183" s="1">
        <v>1.3900462962962963E-2</v>
      </c>
      <c r="E183">
        <v>16</v>
      </c>
      <c r="F183" t="s">
        <v>75</v>
      </c>
      <c r="G183" t="s">
        <v>139</v>
      </c>
      <c r="H183" t="str">
        <f>VLOOKUP(G183, teams!B$2:C$36, 2, 0)</f>
        <v>24/7</v>
      </c>
      <c r="I183" t="s">
        <v>48</v>
      </c>
      <c r="J183">
        <v>0.66666666666666596</v>
      </c>
      <c r="K183">
        <v>1</v>
      </c>
      <c r="L183">
        <v>0.33333333333333298</v>
      </c>
      <c r="M183">
        <v>0.4</v>
      </c>
      <c r="N183">
        <v>0.45454545454545398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t="s">
        <v>49</v>
      </c>
      <c r="AO183">
        <v>0</v>
      </c>
      <c r="AP183">
        <v>1</v>
      </c>
      <c r="AQ183">
        <v>0</v>
      </c>
      <c r="AR183">
        <v>0</v>
      </c>
      <c r="AS183">
        <v>1</v>
      </c>
      <c r="AT183">
        <v>0</v>
      </c>
    </row>
    <row r="184" spans="1:46" x14ac:dyDescent="0.2">
      <c r="A184" t="s">
        <v>205</v>
      </c>
      <c r="B184" s="4">
        <f t="shared" si="2"/>
        <v>45839</v>
      </c>
      <c r="C184" t="s">
        <v>59</v>
      </c>
      <c r="D184" s="1">
        <v>1.2430555555555556E-2</v>
      </c>
      <c r="E184">
        <v>16</v>
      </c>
      <c r="F184" t="s">
        <v>75</v>
      </c>
      <c r="G184" t="s">
        <v>150</v>
      </c>
      <c r="H184" t="str">
        <f>VLOOKUP(G184, teams!B$2:C$36, 2, 0)</f>
        <v>24/7</v>
      </c>
      <c r="I184" t="s">
        <v>56</v>
      </c>
      <c r="J184">
        <v>0.55555555555555503</v>
      </c>
      <c r="K184">
        <v>1</v>
      </c>
      <c r="L184">
        <v>1</v>
      </c>
      <c r="M184">
        <v>0.46666666666666601</v>
      </c>
      <c r="N184">
        <v>0.27272727272727199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 t="s">
        <v>49</v>
      </c>
      <c r="AO184">
        <v>0</v>
      </c>
      <c r="AP184">
        <v>1</v>
      </c>
      <c r="AQ184">
        <v>0</v>
      </c>
      <c r="AR184">
        <v>0</v>
      </c>
      <c r="AS184">
        <v>1</v>
      </c>
      <c r="AT184">
        <v>0</v>
      </c>
    </row>
    <row r="185" spans="1:46" x14ac:dyDescent="0.2">
      <c r="A185" t="s">
        <v>206</v>
      </c>
      <c r="B185" s="4">
        <f t="shared" si="2"/>
        <v>45839</v>
      </c>
      <c r="C185" t="s">
        <v>45</v>
      </c>
      <c r="D185" s="1">
        <v>1.8738425925925926E-2</v>
      </c>
      <c r="E185">
        <v>28</v>
      </c>
      <c r="F185" t="s">
        <v>187</v>
      </c>
      <c r="G185" t="s">
        <v>99</v>
      </c>
      <c r="H185" t="str">
        <f>VLOOKUP(G185, teams!B$2:C$36, 2, 0)</f>
        <v>Service Desk</v>
      </c>
      <c r="I185" t="s">
        <v>56</v>
      </c>
      <c r="J185">
        <v>0.44444444444444398</v>
      </c>
      <c r="K185">
        <v>1</v>
      </c>
      <c r="L185">
        <v>0.83333333333333304</v>
      </c>
      <c r="M185">
        <v>0.66666666666666596</v>
      </c>
      <c r="N185">
        <v>0.45454545454545398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 t="s">
        <v>49</v>
      </c>
      <c r="AO185">
        <v>0</v>
      </c>
      <c r="AP185">
        <v>1</v>
      </c>
      <c r="AQ185">
        <v>1</v>
      </c>
      <c r="AR185">
        <v>1</v>
      </c>
      <c r="AS185">
        <v>0</v>
      </c>
      <c r="AT185">
        <v>1</v>
      </c>
    </row>
    <row r="186" spans="1:46" x14ac:dyDescent="0.2">
      <c r="A186" t="s">
        <v>206</v>
      </c>
      <c r="B186" s="4">
        <f t="shared" si="2"/>
        <v>45839</v>
      </c>
      <c r="C186" t="s">
        <v>45</v>
      </c>
      <c r="D186" s="1">
        <v>1.3900462962962963E-2</v>
      </c>
      <c r="E186">
        <v>5</v>
      </c>
      <c r="F186" t="s">
        <v>63</v>
      </c>
      <c r="G186" t="s">
        <v>198</v>
      </c>
      <c r="H186" t="str">
        <f>VLOOKUP(G186, teams!B$2:C$36, 2, 0)</f>
        <v>24/7</v>
      </c>
      <c r="I186" t="s">
        <v>48</v>
      </c>
      <c r="J186">
        <v>0.66666666666666596</v>
      </c>
      <c r="K186">
        <v>1</v>
      </c>
      <c r="L186">
        <v>0.5</v>
      </c>
      <c r="M186">
        <v>0.4</v>
      </c>
      <c r="N186">
        <v>0.18181818181818099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49</v>
      </c>
      <c r="AO186">
        <v>0</v>
      </c>
      <c r="AP186">
        <v>1</v>
      </c>
      <c r="AQ186">
        <v>1</v>
      </c>
      <c r="AR186">
        <v>0</v>
      </c>
      <c r="AS186">
        <v>0</v>
      </c>
      <c r="AT186">
        <v>0</v>
      </c>
    </row>
    <row r="187" spans="1:46" x14ac:dyDescent="0.2">
      <c r="A187" t="s">
        <v>206</v>
      </c>
      <c r="B187" s="4">
        <f t="shared" si="2"/>
        <v>45839</v>
      </c>
      <c r="C187" t="s">
        <v>45</v>
      </c>
      <c r="D187" s="1">
        <v>1.1770833333333333E-2</v>
      </c>
      <c r="E187">
        <v>7</v>
      </c>
      <c r="F187" t="s">
        <v>66</v>
      </c>
      <c r="G187" t="s">
        <v>130</v>
      </c>
      <c r="H187" t="str">
        <f>VLOOKUP(G187, teams!B$2:C$36, 2, 0)</f>
        <v>24/7</v>
      </c>
      <c r="I187" t="s">
        <v>56</v>
      </c>
      <c r="J187">
        <v>0.33333333333333298</v>
      </c>
      <c r="K187">
        <v>1</v>
      </c>
      <c r="L187">
        <v>0.66666666666666596</v>
      </c>
      <c r="M187">
        <v>0.133333333333333</v>
      </c>
      <c r="N187">
        <v>9.0909090909090898E-2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 t="s">
        <v>49</v>
      </c>
      <c r="AO187">
        <v>0</v>
      </c>
      <c r="AP187">
        <v>2</v>
      </c>
      <c r="AQ187">
        <v>0</v>
      </c>
      <c r="AR187">
        <v>1</v>
      </c>
      <c r="AS187">
        <v>0</v>
      </c>
      <c r="AT187">
        <v>0</v>
      </c>
    </row>
    <row r="188" spans="1:46" x14ac:dyDescent="0.2">
      <c r="A188" t="s">
        <v>206</v>
      </c>
      <c r="B188" s="4">
        <f t="shared" si="2"/>
        <v>45839</v>
      </c>
      <c r="C188" t="s">
        <v>45</v>
      </c>
      <c r="D188" s="1">
        <v>1.3912037037037037E-2</v>
      </c>
      <c r="E188">
        <v>9</v>
      </c>
      <c r="F188" t="s">
        <v>207</v>
      </c>
      <c r="G188" t="s">
        <v>103</v>
      </c>
      <c r="H188" t="str">
        <f>VLOOKUP(G188, teams!B$2:C$36, 2, 0)</f>
        <v>Tech</v>
      </c>
      <c r="I188" t="s">
        <v>48</v>
      </c>
      <c r="J188">
        <v>0.77777777777777701</v>
      </c>
      <c r="K188">
        <v>1</v>
      </c>
      <c r="L188">
        <v>0.66666666666666596</v>
      </c>
      <c r="M188">
        <v>0.53333333333333299</v>
      </c>
      <c r="N188">
        <v>0.45454545454545398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49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2">
      <c r="A189" t="s">
        <v>208</v>
      </c>
      <c r="B189" s="4">
        <f t="shared" si="2"/>
        <v>45870</v>
      </c>
      <c r="C189" t="s">
        <v>91</v>
      </c>
      <c r="D189" s="1">
        <v>1.3912037037037037E-2</v>
      </c>
      <c r="E189">
        <v>5</v>
      </c>
      <c r="F189" t="s">
        <v>63</v>
      </c>
      <c r="G189" t="s">
        <v>185</v>
      </c>
      <c r="H189" t="str">
        <f>VLOOKUP(G189, teams!B$2:C$36, 2, 0)</f>
        <v>Tech</v>
      </c>
      <c r="I189" t="s">
        <v>48</v>
      </c>
      <c r="J189">
        <v>0.55555555555555503</v>
      </c>
      <c r="K189">
        <v>1</v>
      </c>
      <c r="L189">
        <v>0.66666666666666596</v>
      </c>
      <c r="M189">
        <v>0.33333333333333298</v>
      </c>
      <c r="N189">
        <v>0.18181818181818099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t="s">
        <v>49</v>
      </c>
      <c r="AO189">
        <v>0</v>
      </c>
      <c r="AP189">
        <v>1</v>
      </c>
      <c r="AQ189">
        <v>1</v>
      </c>
      <c r="AR189">
        <v>0</v>
      </c>
      <c r="AS189">
        <v>0</v>
      </c>
      <c r="AT189">
        <v>0</v>
      </c>
    </row>
    <row r="190" spans="1:46" x14ac:dyDescent="0.2">
      <c r="A190" t="s">
        <v>209</v>
      </c>
      <c r="B190" s="4">
        <f t="shared" si="2"/>
        <v>45870</v>
      </c>
      <c r="C190" t="s">
        <v>51</v>
      </c>
      <c r="D190" s="1">
        <v>1.3865740740740741E-2</v>
      </c>
      <c r="E190">
        <v>5</v>
      </c>
      <c r="F190" t="s">
        <v>63</v>
      </c>
      <c r="G190" t="s">
        <v>201</v>
      </c>
      <c r="H190" t="str">
        <f>VLOOKUP(G190, teams!B$2:C$36, 2, 0)</f>
        <v>24/7</v>
      </c>
      <c r="I190" t="s">
        <v>56</v>
      </c>
      <c r="J190">
        <v>0.33333333333333298</v>
      </c>
      <c r="K190">
        <v>0.5</v>
      </c>
      <c r="L190">
        <v>0.83333333333333304</v>
      </c>
      <c r="M190">
        <v>0.4</v>
      </c>
      <c r="N190">
        <v>0.18181818181818099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t="s">
        <v>49</v>
      </c>
      <c r="AO190">
        <v>0</v>
      </c>
      <c r="AP190">
        <v>1</v>
      </c>
      <c r="AQ190">
        <v>1</v>
      </c>
      <c r="AR190">
        <v>0</v>
      </c>
      <c r="AS190">
        <v>0</v>
      </c>
      <c r="AT190">
        <v>0</v>
      </c>
    </row>
    <row r="191" spans="1:46" x14ac:dyDescent="0.2">
      <c r="A191" t="s">
        <v>209</v>
      </c>
      <c r="B191" s="4">
        <f t="shared" si="2"/>
        <v>45870</v>
      </c>
      <c r="C191" t="s">
        <v>51</v>
      </c>
      <c r="D191" s="1">
        <v>9.0277777777777769E-3</v>
      </c>
      <c r="E191">
        <v>7</v>
      </c>
      <c r="F191" t="s">
        <v>66</v>
      </c>
      <c r="G191" t="s">
        <v>182</v>
      </c>
      <c r="H191" t="str">
        <f>VLOOKUP(G191, teams!B$2:C$36, 2, 0)</f>
        <v>Service Desk</v>
      </c>
      <c r="I191" t="s">
        <v>56</v>
      </c>
      <c r="J191">
        <v>0.88888888888888795</v>
      </c>
      <c r="K191">
        <v>1</v>
      </c>
      <c r="L191">
        <v>0.33333333333333298</v>
      </c>
      <c r="M191">
        <v>0.4</v>
      </c>
      <c r="N191">
        <v>0.45454545454545398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 t="s">
        <v>49</v>
      </c>
      <c r="AO191">
        <v>0</v>
      </c>
      <c r="AP191">
        <v>2</v>
      </c>
      <c r="AQ191">
        <v>0</v>
      </c>
      <c r="AR191">
        <v>1</v>
      </c>
      <c r="AS191">
        <v>0</v>
      </c>
      <c r="AT191">
        <v>0</v>
      </c>
    </row>
    <row r="192" spans="1:46" x14ac:dyDescent="0.2">
      <c r="A192" t="s">
        <v>210</v>
      </c>
      <c r="B192" s="4">
        <f t="shared" si="2"/>
        <v>45870</v>
      </c>
      <c r="C192" t="s">
        <v>77</v>
      </c>
      <c r="D192" s="1">
        <v>2.0868055555555556E-2</v>
      </c>
      <c r="E192">
        <v>28</v>
      </c>
      <c r="F192" t="s">
        <v>187</v>
      </c>
      <c r="G192" t="s">
        <v>211</v>
      </c>
      <c r="H192" t="str">
        <f>VLOOKUP(G192, teams!B$2:C$36, 2, 0)</f>
        <v>Service Desk</v>
      </c>
      <c r="I192" t="s">
        <v>48</v>
      </c>
      <c r="J192">
        <v>0.44444444444444398</v>
      </c>
      <c r="K192">
        <v>0.5</v>
      </c>
      <c r="L192">
        <v>0.33333333333333298</v>
      </c>
      <c r="M192">
        <v>0.266666666666666</v>
      </c>
      <c r="N192">
        <v>9.0909090909090898E-2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 t="s">
        <v>49</v>
      </c>
      <c r="AO192">
        <v>0</v>
      </c>
      <c r="AP192">
        <v>1</v>
      </c>
      <c r="AQ192">
        <v>1</v>
      </c>
      <c r="AR192">
        <v>1</v>
      </c>
      <c r="AS192">
        <v>0</v>
      </c>
      <c r="AT192">
        <v>1</v>
      </c>
    </row>
    <row r="193" spans="1:46" x14ac:dyDescent="0.2">
      <c r="A193" t="s">
        <v>210</v>
      </c>
      <c r="B193" s="4">
        <f t="shared" si="2"/>
        <v>45870</v>
      </c>
      <c r="C193" t="s">
        <v>77</v>
      </c>
      <c r="D193" s="1">
        <v>1.9293981481481481E-2</v>
      </c>
      <c r="E193">
        <v>28</v>
      </c>
      <c r="F193" t="s">
        <v>187</v>
      </c>
      <c r="G193" t="s">
        <v>129</v>
      </c>
      <c r="H193" t="str">
        <f>VLOOKUP(G193, teams!B$2:C$36, 2, 0)</f>
        <v>Tech</v>
      </c>
      <c r="I193" t="s">
        <v>56</v>
      </c>
      <c r="J193">
        <v>0.66666666666666596</v>
      </c>
      <c r="K193">
        <v>1</v>
      </c>
      <c r="L193">
        <v>0.5</v>
      </c>
      <c r="M193">
        <v>0.53333333333333299</v>
      </c>
      <c r="N193">
        <v>0.45454545454545398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 t="s">
        <v>49</v>
      </c>
      <c r="AO193">
        <v>0</v>
      </c>
      <c r="AP193">
        <v>1</v>
      </c>
      <c r="AQ193">
        <v>1</v>
      </c>
      <c r="AR193">
        <v>1</v>
      </c>
      <c r="AS193">
        <v>0</v>
      </c>
      <c r="AT193">
        <v>1</v>
      </c>
    </row>
    <row r="194" spans="1:46" x14ac:dyDescent="0.2">
      <c r="A194" t="s">
        <v>210</v>
      </c>
      <c r="B194" s="4">
        <f t="shared" si="2"/>
        <v>45870</v>
      </c>
      <c r="C194" t="s">
        <v>77</v>
      </c>
      <c r="D194" s="1">
        <v>1.2048611111111111E-2</v>
      </c>
      <c r="E194">
        <v>7</v>
      </c>
      <c r="F194" t="s">
        <v>66</v>
      </c>
      <c r="G194" t="s">
        <v>185</v>
      </c>
      <c r="H194" t="str">
        <f>VLOOKUP(G194, teams!B$2:C$36, 2, 0)</f>
        <v>Tech</v>
      </c>
      <c r="I194" t="s">
        <v>56</v>
      </c>
      <c r="J194">
        <v>0.44444444444444398</v>
      </c>
      <c r="K194">
        <v>1.5</v>
      </c>
      <c r="L194">
        <v>0.66666666666666596</v>
      </c>
      <c r="M194">
        <v>0.133333333333333</v>
      </c>
      <c r="N194">
        <v>0.27272727272727199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 t="s">
        <v>49</v>
      </c>
      <c r="AO194">
        <v>0</v>
      </c>
      <c r="AP194">
        <v>2</v>
      </c>
      <c r="AQ194">
        <v>0</v>
      </c>
      <c r="AR194">
        <v>1</v>
      </c>
      <c r="AS194">
        <v>0</v>
      </c>
      <c r="AT194">
        <v>0</v>
      </c>
    </row>
    <row r="195" spans="1:46" x14ac:dyDescent="0.2">
      <c r="A195" t="s">
        <v>212</v>
      </c>
      <c r="B195" s="4">
        <f t="shared" ref="B195:B258" si="3">DATE(YEAR(DATEVALUE(LEFT(A195,10))), MONTH(DATEVALUE(LEFT(A195,10))), 1)</f>
        <v>45870</v>
      </c>
      <c r="C195" t="s">
        <v>59</v>
      </c>
      <c r="D195" s="1">
        <v>1.3900462962962963E-2</v>
      </c>
      <c r="E195">
        <v>16</v>
      </c>
      <c r="F195" t="s">
        <v>75</v>
      </c>
      <c r="G195" t="s">
        <v>147</v>
      </c>
      <c r="H195" t="str">
        <f>VLOOKUP(G195, teams!B$2:C$36, 2, 0)</f>
        <v>24/7</v>
      </c>
      <c r="I195" t="s">
        <v>48</v>
      </c>
      <c r="J195">
        <v>0.33333333333333298</v>
      </c>
      <c r="K195">
        <v>1.5</v>
      </c>
      <c r="L195">
        <v>0.5</v>
      </c>
      <c r="M195">
        <v>0.2</v>
      </c>
      <c r="N195">
        <v>9.0909090909090898E-2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t="s">
        <v>49</v>
      </c>
      <c r="AO195">
        <v>0</v>
      </c>
      <c r="AP195">
        <v>1</v>
      </c>
      <c r="AQ195">
        <v>0</v>
      </c>
      <c r="AR195">
        <v>0</v>
      </c>
      <c r="AS195">
        <v>1</v>
      </c>
      <c r="AT195">
        <v>0</v>
      </c>
    </row>
    <row r="196" spans="1:46" x14ac:dyDescent="0.2">
      <c r="A196" t="s">
        <v>213</v>
      </c>
      <c r="B196" s="4">
        <f t="shared" si="3"/>
        <v>45870</v>
      </c>
      <c r="C196" t="s">
        <v>91</v>
      </c>
      <c r="D196" s="1">
        <v>1.2731481481481481E-2</v>
      </c>
      <c r="E196">
        <v>29</v>
      </c>
      <c r="F196" t="s">
        <v>197</v>
      </c>
      <c r="G196" t="s">
        <v>214</v>
      </c>
      <c r="H196" t="str">
        <f>VLOOKUP(G196, teams!B$2:C$36, 2, 0)</f>
        <v>24/7</v>
      </c>
      <c r="I196" t="s">
        <v>56</v>
      </c>
      <c r="J196">
        <v>0.66666666666666596</v>
      </c>
      <c r="K196">
        <v>1</v>
      </c>
      <c r="L196">
        <v>0.66666666666666596</v>
      </c>
      <c r="M196">
        <v>0.53333333333333299</v>
      </c>
      <c r="N196">
        <v>0.36363636363636298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 t="s">
        <v>49</v>
      </c>
      <c r="AO196">
        <v>0</v>
      </c>
      <c r="AP196">
        <v>1</v>
      </c>
      <c r="AQ196">
        <v>2</v>
      </c>
      <c r="AR196">
        <v>0</v>
      </c>
      <c r="AS196">
        <v>0</v>
      </c>
      <c r="AT196">
        <v>0</v>
      </c>
    </row>
    <row r="197" spans="1:46" x14ac:dyDescent="0.2">
      <c r="A197" t="s">
        <v>213</v>
      </c>
      <c r="B197" s="4">
        <f t="shared" si="3"/>
        <v>45870</v>
      </c>
      <c r="C197" t="s">
        <v>91</v>
      </c>
      <c r="D197" s="1">
        <v>1.2800925925925926E-2</v>
      </c>
      <c r="E197">
        <v>14</v>
      </c>
      <c r="F197" t="s">
        <v>72</v>
      </c>
      <c r="G197" t="s">
        <v>156</v>
      </c>
      <c r="H197" t="str">
        <f>VLOOKUP(G197, teams!B$2:C$36, 2, 0)</f>
        <v>24/7</v>
      </c>
      <c r="I197" t="s">
        <v>56</v>
      </c>
      <c r="J197">
        <v>0.55555555555555503</v>
      </c>
      <c r="K197">
        <v>1</v>
      </c>
      <c r="L197">
        <v>0.66666666666666596</v>
      </c>
      <c r="M197">
        <v>0.46666666666666601</v>
      </c>
      <c r="N197">
        <v>0.36363636363636298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t="s">
        <v>49</v>
      </c>
      <c r="AO197">
        <v>1</v>
      </c>
      <c r="AP197">
        <v>2</v>
      </c>
      <c r="AQ197">
        <v>1</v>
      </c>
      <c r="AR197">
        <v>1</v>
      </c>
      <c r="AS197">
        <v>2</v>
      </c>
      <c r="AT197">
        <v>1</v>
      </c>
    </row>
    <row r="198" spans="1:46" x14ac:dyDescent="0.2">
      <c r="A198" t="s">
        <v>213</v>
      </c>
      <c r="B198" s="4">
        <f t="shared" si="3"/>
        <v>45870</v>
      </c>
      <c r="C198" t="s">
        <v>91</v>
      </c>
      <c r="D198" s="1">
        <v>1.2858796296296297E-2</v>
      </c>
      <c r="E198">
        <v>6</v>
      </c>
      <c r="F198" t="s">
        <v>46</v>
      </c>
      <c r="G198" t="s">
        <v>163</v>
      </c>
      <c r="H198" t="str">
        <f>VLOOKUP(G198, teams!B$2:C$36, 2, 0)</f>
        <v>24/7</v>
      </c>
      <c r="I198" t="s">
        <v>56</v>
      </c>
      <c r="J198">
        <v>0.44444444444444398</v>
      </c>
      <c r="K198">
        <v>1.5</v>
      </c>
      <c r="L198">
        <v>0.83333333333333304</v>
      </c>
      <c r="M198">
        <v>0.4</v>
      </c>
      <c r="N198">
        <v>0.36363636363636298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1</v>
      </c>
      <c r="AK198">
        <v>0</v>
      </c>
      <c r="AL198">
        <v>0</v>
      </c>
      <c r="AM198">
        <v>0</v>
      </c>
      <c r="AN198" t="s">
        <v>49</v>
      </c>
      <c r="AO198">
        <v>0</v>
      </c>
      <c r="AP198">
        <v>2</v>
      </c>
      <c r="AQ198">
        <v>0</v>
      </c>
      <c r="AR198">
        <v>2</v>
      </c>
      <c r="AS198">
        <v>0</v>
      </c>
      <c r="AT198">
        <v>0</v>
      </c>
    </row>
    <row r="199" spans="1:46" x14ac:dyDescent="0.2">
      <c r="A199" t="s">
        <v>215</v>
      </c>
      <c r="B199" s="4">
        <f t="shared" si="3"/>
        <v>45870</v>
      </c>
      <c r="C199" t="s">
        <v>51</v>
      </c>
      <c r="D199" s="1">
        <v>1.3912037037037037E-2</v>
      </c>
      <c r="E199">
        <v>5</v>
      </c>
      <c r="F199" t="s">
        <v>63</v>
      </c>
      <c r="G199" t="s">
        <v>214</v>
      </c>
      <c r="H199" t="str">
        <f>VLOOKUP(G199, teams!B$2:C$36, 2, 0)</f>
        <v>24/7</v>
      </c>
      <c r="I199" t="s">
        <v>48</v>
      </c>
      <c r="J199">
        <v>0.88888888888888795</v>
      </c>
      <c r="K199">
        <v>1.5</v>
      </c>
      <c r="L199">
        <v>0.16666666666666599</v>
      </c>
      <c r="M199">
        <v>0.53333333333333299</v>
      </c>
      <c r="N199">
        <v>0.36363636363636298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t="s">
        <v>49</v>
      </c>
      <c r="AO199">
        <v>0</v>
      </c>
      <c r="AP199">
        <v>1</v>
      </c>
      <c r="AQ199">
        <v>1</v>
      </c>
      <c r="AR199">
        <v>0</v>
      </c>
      <c r="AS199">
        <v>0</v>
      </c>
      <c r="AT199">
        <v>0</v>
      </c>
    </row>
    <row r="200" spans="1:46" x14ac:dyDescent="0.2">
      <c r="A200" t="s">
        <v>216</v>
      </c>
      <c r="B200" s="4">
        <f t="shared" si="3"/>
        <v>45870</v>
      </c>
      <c r="C200" t="s">
        <v>77</v>
      </c>
      <c r="D200" s="1">
        <v>1.2222222222222223E-2</v>
      </c>
      <c r="E200">
        <v>29</v>
      </c>
      <c r="F200" t="s">
        <v>197</v>
      </c>
      <c r="G200" t="s">
        <v>217</v>
      </c>
      <c r="H200" t="str">
        <f>VLOOKUP(G200, teams!B$2:C$36, 2, 0)</f>
        <v>24/7</v>
      </c>
      <c r="I200" t="s">
        <v>56</v>
      </c>
      <c r="J200">
        <v>0.88888888888888795</v>
      </c>
      <c r="K200">
        <v>1.5</v>
      </c>
      <c r="L200">
        <v>0.83333333333333304</v>
      </c>
      <c r="M200">
        <v>0.46666666666666601</v>
      </c>
      <c r="N200">
        <v>0.27272727272727199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 t="s">
        <v>49</v>
      </c>
      <c r="AO200">
        <v>0</v>
      </c>
      <c r="AP200">
        <v>1</v>
      </c>
      <c r="AQ200">
        <v>2</v>
      </c>
      <c r="AR200">
        <v>0</v>
      </c>
      <c r="AS200">
        <v>0</v>
      </c>
      <c r="AT200">
        <v>0</v>
      </c>
    </row>
    <row r="201" spans="1:46" x14ac:dyDescent="0.2">
      <c r="A201" t="s">
        <v>218</v>
      </c>
      <c r="B201" s="4">
        <f t="shared" si="3"/>
        <v>45870</v>
      </c>
      <c r="C201" t="s">
        <v>59</v>
      </c>
      <c r="D201" s="1">
        <v>1.7673611111111112E-2</v>
      </c>
      <c r="E201">
        <v>19</v>
      </c>
      <c r="F201" t="s">
        <v>219</v>
      </c>
      <c r="G201" t="s">
        <v>60</v>
      </c>
      <c r="H201" t="str">
        <f>VLOOKUP(G201, teams!B$2:C$36, 2, 0)</f>
        <v>Service Desk</v>
      </c>
      <c r="I201" t="s">
        <v>56</v>
      </c>
      <c r="J201">
        <v>0.55555555555555503</v>
      </c>
      <c r="K201">
        <v>1</v>
      </c>
      <c r="L201">
        <v>0.83333333333333304</v>
      </c>
      <c r="M201">
        <v>0.33333333333333298</v>
      </c>
      <c r="N201">
        <v>9.0909090909090898E-2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 t="s">
        <v>49</v>
      </c>
      <c r="AO201">
        <v>1</v>
      </c>
      <c r="AP201">
        <v>3</v>
      </c>
      <c r="AQ201">
        <v>1</v>
      </c>
      <c r="AR201">
        <v>1</v>
      </c>
      <c r="AS201">
        <v>1</v>
      </c>
      <c r="AT201">
        <v>1</v>
      </c>
    </row>
    <row r="202" spans="1:46" x14ac:dyDescent="0.2">
      <c r="A202" t="s">
        <v>218</v>
      </c>
      <c r="B202" s="4">
        <f t="shared" si="3"/>
        <v>45870</v>
      </c>
      <c r="C202" t="s">
        <v>59</v>
      </c>
      <c r="D202" s="1">
        <v>1.4004629629629629E-2</v>
      </c>
      <c r="E202">
        <v>4</v>
      </c>
      <c r="F202" t="s">
        <v>82</v>
      </c>
      <c r="G202" t="s">
        <v>150</v>
      </c>
      <c r="H202" t="str">
        <f>VLOOKUP(G202, teams!B$2:C$36, 2, 0)</f>
        <v>24/7</v>
      </c>
      <c r="I202" t="s">
        <v>56</v>
      </c>
      <c r="J202">
        <v>0.44444444444444398</v>
      </c>
      <c r="K202">
        <v>1</v>
      </c>
      <c r="L202">
        <v>0.66666666666666596</v>
      </c>
      <c r="M202">
        <v>0.266666666666666</v>
      </c>
      <c r="N202">
        <v>0.27272727272727199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49</v>
      </c>
      <c r="AO202">
        <v>1</v>
      </c>
      <c r="AP202">
        <v>4</v>
      </c>
      <c r="AQ202">
        <v>1</v>
      </c>
      <c r="AR202">
        <v>1</v>
      </c>
      <c r="AS202">
        <v>1</v>
      </c>
      <c r="AT202">
        <v>1</v>
      </c>
    </row>
    <row r="203" spans="1:46" x14ac:dyDescent="0.2">
      <c r="A203" t="s">
        <v>220</v>
      </c>
      <c r="B203" s="4">
        <f t="shared" si="3"/>
        <v>45870</v>
      </c>
      <c r="C203" t="s">
        <v>45</v>
      </c>
      <c r="D203" s="1">
        <v>2.0520833333333332E-2</v>
      </c>
      <c r="E203">
        <v>28</v>
      </c>
      <c r="F203" t="s">
        <v>187</v>
      </c>
      <c r="G203" t="s">
        <v>62</v>
      </c>
      <c r="H203" t="str">
        <f>VLOOKUP(G203, teams!B$2:C$36, 2, 0)</f>
        <v>Service Desk</v>
      </c>
      <c r="I203" t="s">
        <v>56</v>
      </c>
      <c r="J203">
        <v>0.66666666666666596</v>
      </c>
      <c r="K203">
        <v>1</v>
      </c>
      <c r="L203">
        <v>0.66666666666666596</v>
      </c>
      <c r="M203">
        <v>0.6</v>
      </c>
      <c r="N203">
        <v>0.36363636363636298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 t="s">
        <v>49</v>
      </c>
      <c r="AO203">
        <v>0</v>
      </c>
      <c r="AP203">
        <v>1</v>
      </c>
      <c r="AQ203">
        <v>1</v>
      </c>
      <c r="AR203">
        <v>1</v>
      </c>
      <c r="AS203">
        <v>0</v>
      </c>
      <c r="AT203">
        <v>1</v>
      </c>
    </row>
    <row r="204" spans="1:46" x14ac:dyDescent="0.2">
      <c r="A204" t="s">
        <v>220</v>
      </c>
      <c r="B204" s="4">
        <f t="shared" si="3"/>
        <v>45870</v>
      </c>
      <c r="C204" t="s">
        <v>45</v>
      </c>
      <c r="D204" s="1">
        <v>1.7453703703703704E-2</v>
      </c>
      <c r="E204">
        <v>17</v>
      </c>
      <c r="F204" t="s">
        <v>184</v>
      </c>
      <c r="G204" t="s">
        <v>103</v>
      </c>
      <c r="H204" t="str">
        <f>VLOOKUP(G204, teams!B$2:C$36, 2, 0)</f>
        <v>Tech</v>
      </c>
      <c r="I204" t="s">
        <v>56</v>
      </c>
      <c r="J204">
        <v>0.55555555555555503</v>
      </c>
      <c r="K204">
        <v>1</v>
      </c>
      <c r="L204">
        <v>1</v>
      </c>
      <c r="M204">
        <v>0.73333333333333295</v>
      </c>
      <c r="N204">
        <v>0.45454545454545398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 t="s">
        <v>49</v>
      </c>
      <c r="AO204">
        <v>0</v>
      </c>
      <c r="AP204">
        <v>2</v>
      </c>
      <c r="AQ204">
        <v>0</v>
      </c>
      <c r="AR204">
        <v>0</v>
      </c>
      <c r="AS204">
        <v>1</v>
      </c>
      <c r="AT204">
        <v>0</v>
      </c>
    </row>
    <row r="205" spans="1:46" x14ac:dyDescent="0.2">
      <c r="A205" t="s">
        <v>221</v>
      </c>
      <c r="B205" s="4">
        <f t="shared" si="3"/>
        <v>45870</v>
      </c>
      <c r="C205" t="s">
        <v>51</v>
      </c>
      <c r="D205" s="1">
        <v>1.7384259259259259E-2</v>
      </c>
      <c r="E205">
        <v>8</v>
      </c>
      <c r="F205" t="s">
        <v>89</v>
      </c>
      <c r="G205" t="s">
        <v>182</v>
      </c>
      <c r="H205" t="str">
        <f>VLOOKUP(G205, teams!B$2:C$36, 2, 0)</f>
        <v>Service Desk</v>
      </c>
      <c r="I205" t="s">
        <v>48</v>
      </c>
      <c r="J205">
        <v>0.66666666666666596</v>
      </c>
      <c r="K205">
        <v>1</v>
      </c>
      <c r="L205">
        <v>0.66666666666666596</v>
      </c>
      <c r="M205">
        <v>0.53333333333333299</v>
      </c>
      <c r="N205">
        <v>0.27272727272727199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 t="s">
        <v>49</v>
      </c>
      <c r="AO205">
        <v>0</v>
      </c>
      <c r="AP205">
        <v>1</v>
      </c>
      <c r="AQ205">
        <v>2</v>
      </c>
      <c r="AR205">
        <v>0</v>
      </c>
      <c r="AS205">
        <v>0</v>
      </c>
      <c r="AT205">
        <v>1</v>
      </c>
    </row>
    <row r="206" spans="1:46" x14ac:dyDescent="0.2">
      <c r="A206" t="s">
        <v>222</v>
      </c>
      <c r="B206" s="4">
        <f t="shared" si="3"/>
        <v>45870</v>
      </c>
      <c r="C206" t="s">
        <v>77</v>
      </c>
      <c r="D206" s="1">
        <v>1.3530092592592592E-2</v>
      </c>
      <c r="E206">
        <v>4</v>
      </c>
      <c r="F206" t="s">
        <v>82</v>
      </c>
      <c r="G206" t="s">
        <v>52</v>
      </c>
      <c r="H206" t="str">
        <f>VLOOKUP(G206, teams!B$2:C$36, 2, 0)</f>
        <v>Service Desk</v>
      </c>
      <c r="I206" t="s">
        <v>56</v>
      </c>
      <c r="J206">
        <v>0.44444444444444398</v>
      </c>
      <c r="K206">
        <v>1</v>
      </c>
      <c r="L206">
        <v>0.66666666666666596</v>
      </c>
      <c r="M206">
        <v>0.46666666666666601</v>
      </c>
      <c r="N206">
        <v>0.27272727272727199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t="s">
        <v>49</v>
      </c>
      <c r="AO206">
        <v>1</v>
      </c>
      <c r="AP206">
        <v>4</v>
      </c>
      <c r="AQ206">
        <v>1</v>
      </c>
      <c r="AR206">
        <v>1</v>
      </c>
      <c r="AS206">
        <v>1</v>
      </c>
      <c r="AT206">
        <v>1</v>
      </c>
    </row>
    <row r="207" spans="1:46" x14ac:dyDescent="0.2">
      <c r="A207" t="s">
        <v>222</v>
      </c>
      <c r="B207" s="4">
        <f t="shared" si="3"/>
        <v>45870</v>
      </c>
      <c r="C207" t="s">
        <v>77</v>
      </c>
      <c r="D207" s="1">
        <v>1.3912037037037037E-2</v>
      </c>
      <c r="E207">
        <v>6</v>
      </c>
      <c r="F207" t="s">
        <v>46</v>
      </c>
      <c r="G207" t="s">
        <v>198</v>
      </c>
      <c r="H207" t="str">
        <f>VLOOKUP(G207, teams!B$2:C$36, 2, 0)</f>
        <v>24/7</v>
      </c>
      <c r="I207" t="s">
        <v>48</v>
      </c>
      <c r="J207">
        <v>0.66666666666666596</v>
      </c>
      <c r="K207">
        <v>1</v>
      </c>
      <c r="L207">
        <v>0.66666666666666596</v>
      </c>
      <c r="M207">
        <v>0.2</v>
      </c>
      <c r="N207">
        <v>0.27272727272727199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1</v>
      </c>
      <c r="AJ207">
        <v>1</v>
      </c>
      <c r="AK207">
        <v>0</v>
      </c>
      <c r="AL207">
        <v>0</v>
      </c>
      <c r="AM207">
        <v>0</v>
      </c>
      <c r="AN207" t="s">
        <v>49</v>
      </c>
      <c r="AO207">
        <v>0</v>
      </c>
      <c r="AP207">
        <v>2</v>
      </c>
      <c r="AQ207">
        <v>0</v>
      </c>
      <c r="AR207">
        <v>2</v>
      </c>
      <c r="AS207">
        <v>0</v>
      </c>
      <c r="AT207">
        <v>0</v>
      </c>
    </row>
    <row r="208" spans="1:46" x14ac:dyDescent="0.2">
      <c r="A208" t="s">
        <v>222</v>
      </c>
      <c r="B208" s="4">
        <f t="shared" si="3"/>
        <v>45870</v>
      </c>
      <c r="C208" t="s">
        <v>77</v>
      </c>
      <c r="D208" s="1">
        <v>1.3900462962962963E-2</v>
      </c>
      <c r="E208">
        <v>14</v>
      </c>
      <c r="F208" t="s">
        <v>72</v>
      </c>
      <c r="G208" t="s">
        <v>185</v>
      </c>
      <c r="H208" t="str">
        <f>VLOOKUP(G208, teams!B$2:C$36, 2, 0)</f>
        <v>Tech</v>
      </c>
      <c r="I208" t="s">
        <v>48</v>
      </c>
      <c r="J208">
        <v>0.44444444444444398</v>
      </c>
      <c r="K208">
        <v>1</v>
      </c>
      <c r="L208">
        <v>0.33333333333333298</v>
      </c>
      <c r="M208">
        <v>0.6</v>
      </c>
      <c r="N208">
        <v>0.27272727272727199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 t="s">
        <v>49</v>
      </c>
      <c r="AO208">
        <v>1</v>
      </c>
      <c r="AP208">
        <v>2</v>
      </c>
      <c r="AQ208">
        <v>1</v>
      </c>
      <c r="AR208">
        <v>1</v>
      </c>
      <c r="AS208">
        <v>2</v>
      </c>
      <c r="AT208">
        <v>1</v>
      </c>
    </row>
    <row r="209" spans="1:46" x14ac:dyDescent="0.2">
      <c r="A209" t="s">
        <v>222</v>
      </c>
      <c r="B209" s="4">
        <f t="shared" si="3"/>
        <v>45870</v>
      </c>
      <c r="C209" t="s">
        <v>77</v>
      </c>
      <c r="D209" s="1">
        <v>1.7384259259259259E-2</v>
      </c>
      <c r="E209">
        <v>8</v>
      </c>
      <c r="F209" t="s">
        <v>89</v>
      </c>
      <c r="G209" t="s">
        <v>132</v>
      </c>
      <c r="H209" t="str">
        <f>VLOOKUP(G209, teams!B$2:C$36, 2, 0)</f>
        <v>24/7</v>
      </c>
      <c r="I209" t="s">
        <v>48</v>
      </c>
      <c r="J209">
        <v>0.44444444444444398</v>
      </c>
      <c r="K209">
        <v>1</v>
      </c>
      <c r="L209">
        <v>0.33333333333333298</v>
      </c>
      <c r="M209">
        <v>0.266666666666666</v>
      </c>
      <c r="N209">
        <v>9.0909090909090898E-2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 t="s">
        <v>49</v>
      </c>
      <c r="AO209">
        <v>0</v>
      </c>
      <c r="AP209">
        <v>1</v>
      </c>
      <c r="AQ209">
        <v>2</v>
      </c>
      <c r="AR209">
        <v>0</v>
      </c>
      <c r="AS209">
        <v>0</v>
      </c>
      <c r="AT209">
        <v>1</v>
      </c>
    </row>
    <row r="210" spans="1:46" x14ac:dyDescent="0.2">
      <c r="A210" t="s">
        <v>223</v>
      </c>
      <c r="B210" s="4">
        <f t="shared" si="3"/>
        <v>45870</v>
      </c>
      <c r="C210" t="s">
        <v>59</v>
      </c>
      <c r="D210" s="1">
        <v>1.2858796296296297E-2</v>
      </c>
      <c r="E210">
        <v>4</v>
      </c>
      <c r="F210" t="s">
        <v>82</v>
      </c>
      <c r="G210" t="s">
        <v>147</v>
      </c>
      <c r="H210" t="str">
        <f>VLOOKUP(G210, teams!B$2:C$36, 2, 0)</f>
        <v>24/7</v>
      </c>
      <c r="I210" t="s">
        <v>56</v>
      </c>
      <c r="J210">
        <v>0.66666666666666596</v>
      </c>
      <c r="K210">
        <v>1.5</v>
      </c>
      <c r="L210">
        <v>0.83333333333333304</v>
      </c>
      <c r="M210">
        <v>0.4</v>
      </c>
      <c r="N210">
        <v>0.36363636363636298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 t="s">
        <v>49</v>
      </c>
      <c r="AO210">
        <v>1</v>
      </c>
      <c r="AP210">
        <v>4</v>
      </c>
      <c r="AQ210">
        <v>1</v>
      </c>
      <c r="AR210">
        <v>1</v>
      </c>
      <c r="AS210">
        <v>1</v>
      </c>
      <c r="AT210">
        <v>1</v>
      </c>
    </row>
    <row r="211" spans="1:46" x14ac:dyDescent="0.2">
      <c r="A211" t="s">
        <v>224</v>
      </c>
      <c r="B211" s="4">
        <f t="shared" si="3"/>
        <v>45870</v>
      </c>
      <c r="C211" t="s">
        <v>91</v>
      </c>
      <c r="D211" s="1">
        <v>1.4224537037037037E-2</v>
      </c>
      <c r="E211">
        <v>6</v>
      </c>
      <c r="F211" t="s">
        <v>46</v>
      </c>
      <c r="G211" t="s">
        <v>201</v>
      </c>
      <c r="H211" t="str">
        <f>VLOOKUP(G211, teams!B$2:C$36, 2, 0)</f>
        <v>24/7</v>
      </c>
      <c r="I211" t="s">
        <v>56</v>
      </c>
      <c r="J211">
        <v>0.55555555555555503</v>
      </c>
      <c r="K211">
        <v>1</v>
      </c>
      <c r="L211">
        <v>0.5</v>
      </c>
      <c r="M211">
        <v>0.46666666666666601</v>
      </c>
      <c r="N211">
        <v>9.0909090909090898E-2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 t="s">
        <v>49</v>
      </c>
      <c r="AO211">
        <v>0</v>
      </c>
      <c r="AP211">
        <v>2</v>
      </c>
      <c r="AQ211">
        <v>0</v>
      </c>
      <c r="AR211">
        <v>2</v>
      </c>
      <c r="AS211">
        <v>0</v>
      </c>
      <c r="AT211">
        <v>0</v>
      </c>
    </row>
    <row r="212" spans="1:46" x14ac:dyDescent="0.2">
      <c r="A212" t="s">
        <v>225</v>
      </c>
      <c r="B212" s="4">
        <f t="shared" si="3"/>
        <v>45870</v>
      </c>
      <c r="C212" t="s">
        <v>59</v>
      </c>
      <c r="D212" s="1">
        <v>1.3368055555555555E-2</v>
      </c>
      <c r="E212">
        <v>7</v>
      </c>
      <c r="F212" t="s">
        <v>66</v>
      </c>
      <c r="G212" t="s">
        <v>214</v>
      </c>
      <c r="H212" t="str">
        <f>VLOOKUP(G212, teams!B$2:C$36, 2, 0)</f>
        <v>24/7</v>
      </c>
      <c r="I212" t="s">
        <v>56</v>
      </c>
      <c r="J212">
        <v>1</v>
      </c>
      <c r="K212">
        <v>1.5</v>
      </c>
      <c r="L212">
        <v>0.66666666666666596</v>
      </c>
      <c r="M212">
        <v>0.4</v>
      </c>
      <c r="N212">
        <v>0.45454545454545398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 t="s">
        <v>49</v>
      </c>
      <c r="AO212">
        <v>0</v>
      </c>
      <c r="AP212">
        <v>2</v>
      </c>
      <c r="AQ212">
        <v>0</v>
      </c>
      <c r="AR212">
        <v>1</v>
      </c>
      <c r="AS212">
        <v>0</v>
      </c>
      <c r="AT212">
        <v>0</v>
      </c>
    </row>
    <row r="213" spans="1:46" x14ac:dyDescent="0.2">
      <c r="A213" t="s">
        <v>225</v>
      </c>
      <c r="B213" s="4">
        <f t="shared" si="3"/>
        <v>45870</v>
      </c>
      <c r="C213" t="s">
        <v>59</v>
      </c>
      <c r="D213" s="1">
        <v>1.1527777777777777E-2</v>
      </c>
      <c r="E213">
        <v>7</v>
      </c>
      <c r="F213" t="s">
        <v>66</v>
      </c>
      <c r="G213" t="s">
        <v>163</v>
      </c>
      <c r="H213" t="str">
        <f>VLOOKUP(G213, teams!B$2:C$36, 2, 0)</f>
        <v>24/7</v>
      </c>
      <c r="I213" t="s">
        <v>56</v>
      </c>
      <c r="J213">
        <v>0.44444444444444398</v>
      </c>
      <c r="K213">
        <v>1</v>
      </c>
      <c r="L213">
        <v>0.5</v>
      </c>
      <c r="M213">
        <v>0.2</v>
      </c>
      <c r="N213">
        <v>9.0909090909090898E-2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 t="s">
        <v>49</v>
      </c>
      <c r="AO213">
        <v>0</v>
      </c>
      <c r="AP213">
        <v>2</v>
      </c>
      <c r="AQ213">
        <v>0</v>
      </c>
      <c r="AR213">
        <v>1</v>
      </c>
      <c r="AS213">
        <v>0</v>
      </c>
      <c r="AT213">
        <v>0</v>
      </c>
    </row>
    <row r="214" spans="1:46" x14ac:dyDescent="0.2">
      <c r="A214" t="s">
        <v>226</v>
      </c>
      <c r="B214" s="4">
        <f t="shared" si="3"/>
        <v>45870</v>
      </c>
      <c r="C214" t="s">
        <v>91</v>
      </c>
      <c r="D214" s="1">
        <v>1.0150462962962964E-2</v>
      </c>
      <c r="E214">
        <v>9</v>
      </c>
      <c r="F214" t="s">
        <v>207</v>
      </c>
      <c r="G214" t="s">
        <v>78</v>
      </c>
      <c r="H214" t="str">
        <f>VLOOKUP(G214, teams!B$2:C$36, 2, 0)</f>
        <v>Service Desk</v>
      </c>
      <c r="I214" t="s">
        <v>56</v>
      </c>
      <c r="J214">
        <v>0.44444444444444398</v>
      </c>
      <c r="K214">
        <v>1</v>
      </c>
      <c r="L214">
        <v>0.66666666666666596</v>
      </c>
      <c r="M214">
        <v>0.2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t="s">
        <v>49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2">
      <c r="A215" t="s">
        <v>227</v>
      </c>
      <c r="B215" s="4">
        <f t="shared" si="3"/>
        <v>45901</v>
      </c>
      <c r="C215" t="s">
        <v>51</v>
      </c>
      <c r="D215" s="1">
        <v>1.21875E-2</v>
      </c>
      <c r="E215">
        <v>16</v>
      </c>
      <c r="F215" t="s">
        <v>75</v>
      </c>
      <c r="G215" t="s">
        <v>182</v>
      </c>
      <c r="H215" t="str">
        <f>VLOOKUP(G215, teams!B$2:C$36, 2, 0)</f>
        <v>Service Desk</v>
      </c>
      <c r="I215" t="s">
        <v>56</v>
      </c>
      <c r="J215">
        <v>0.77777777777777701</v>
      </c>
      <c r="K215">
        <v>1</v>
      </c>
      <c r="L215">
        <v>0.83333333333333304</v>
      </c>
      <c r="M215">
        <v>0.66666666666666596</v>
      </c>
      <c r="N215">
        <v>0.63636363636363602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t="s">
        <v>49</v>
      </c>
      <c r="AO215">
        <v>0</v>
      </c>
      <c r="AP215">
        <v>1</v>
      </c>
      <c r="AQ215">
        <v>0</v>
      </c>
      <c r="AR215">
        <v>0</v>
      </c>
      <c r="AS215">
        <v>1</v>
      </c>
      <c r="AT215">
        <v>0</v>
      </c>
    </row>
    <row r="216" spans="1:46" x14ac:dyDescent="0.2">
      <c r="A216" t="s">
        <v>228</v>
      </c>
      <c r="B216" s="4">
        <f t="shared" si="3"/>
        <v>45901</v>
      </c>
      <c r="C216" t="s">
        <v>77</v>
      </c>
      <c r="D216" s="1">
        <v>1.579861111111111E-2</v>
      </c>
      <c r="E216">
        <v>18</v>
      </c>
      <c r="F216" t="s">
        <v>170</v>
      </c>
      <c r="G216" t="s">
        <v>132</v>
      </c>
      <c r="H216" t="str">
        <f>VLOOKUP(G216, teams!B$2:C$36, 2, 0)</f>
        <v>24/7</v>
      </c>
      <c r="I216" t="s">
        <v>56</v>
      </c>
      <c r="J216">
        <v>0.66666666666666596</v>
      </c>
      <c r="K216">
        <v>1</v>
      </c>
      <c r="L216">
        <v>0.83333333333333304</v>
      </c>
      <c r="M216">
        <v>0.46666666666666601</v>
      </c>
      <c r="N216">
        <v>0.45454545454545398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 t="s">
        <v>49</v>
      </c>
      <c r="AO216">
        <v>0</v>
      </c>
      <c r="AP216">
        <v>3</v>
      </c>
      <c r="AQ216">
        <v>1</v>
      </c>
      <c r="AR216">
        <v>0</v>
      </c>
      <c r="AS216">
        <v>1</v>
      </c>
      <c r="AT216">
        <v>1</v>
      </c>
    </row>
    <row r="217" spans="1:46" x14ac:dyDescent="0.2">
      <c r="A217" t="s">
        <v>229</v>
      </c>
      <c r="B217" s="4">
        <f t="shared" si="3"/>
        <v>45901</v>
      </c>
      <c r="C217" t="s">
        <v>59</v>
      </c>
      <c r="D217" s="1">
        <v>1.3541666666666667E-2</v>
      </c>
      <c r="E217">
        <v>4</v>
      </c>
      <c r="F217" t="s">
        <v>82</v>
      </c>
      <c r="G217" t="s">
        <v>130</v>
      </c>
      <c r="H217" t="str">
        <f>VLOOKUP(G217, teams!B$2:C$36, 2, 0)</f>
        <v>24/7</v>
      </c>
      <c r="I217" t="s">
        <v>56</v>
      </c>
      <c r="J217">
        <v>0.55555555555555503</v>
      </c>
      <c r="K217">
        <v>1</v>
      </c>
      <c r="L217">
        <v>1</v>
      </c>
      <c r="M217">
        <v>0.4</v>
      </c>
      <c r="N217">
        <v>0.54545454545454497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1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t="s">
        <v>49</v>
      </c>
      <c r="AO217">
        <v>1</v>
      </c>
      <c r="AP217">
        <v>4</v>
      </c>
      <c r="AQ217">
        <v>1</v>
      </c>
      <c r="AR217">
        <v>1</v>
      </c>
      <c r="AS217">
        <v>1</v>
      </c>
      <c r="AT217">
        <v>1</v>
      </c>
    </row>
    <row r="218" spans="1:46" x14ac:dyDescent="0.2">
      <c r="A218" t="s">
        <v>230</v>
      </c>
      <c r="B218" s="4">
        <f t="shared" si="3"/>
        <v>45901</v>
      </c>
      <c r="C218" t="s">
        <v>91</v>
      </c>
      <c r="D218" s="1">
        <v>1.2986111111111111E-2</v>
      </c>
      <c r="E218">
        <v>7</v>
      </c>
      <c r="F218" t="s">
        <v>66</v>
      </c>
      <c r="G218" t="s">
        <v>201</v>
      </c>
      <c r="H218" t="str">
        <f>VLOOKUP(G218, teams!B$2:C$36, 2, 0)</f>
        <v>24/7</v>
      </c>
      <c r="I218" t="s">
        <v>56</v>
      </c>
      <c r="J218">
        <v>0.33333333333333298</v>
      </c>
      <c r="K218">
        <v>1</v>
      </c>
      <c r="L218">
        <v>0.5</v>
      </c>
      <c r="M218">
        <v>0.2</v>
      </c>
      <c r="N218">
        <v>0.36363636363636298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 t="s">
        <v>49</v>
      </c>
      <c r="AO218">
        <v>0</v>
      </c>
      <c r="AP218">
        <v>2</v>
      </c>
      <c r="AQ218">
        <v>0</v>
      </c>
      <c r="AR218">
        <v>1</v>
      </c>
      <c r="AS218">
        <v>0</v>
      </c>
      <c r="AT218">
        <v>0</v>
      </c>
    </row>
    <row r="219" spans="1:46" x14ac:dyDescent="0.2">
      <c r="A219" t="s">
        <v>231</v>
      </c>
      <c r="B219" s="4">
        <f t="shared" si="3"/>
        <v>45901</v>
      </c>
      <c r="C219" t="s">
        <v>51</v>
      </c>
      <c r="D219" s="1">
        <v>1.6423611111111111E-2</v>
      </c>
      <c r="E219">
        <v>8</v>
      </c>
      <c r="F219" t="s">
        <v>89</v>
      </c>
      <c r="G219" t="s">
        <v>147</v>
      </c>
      <c r="H219" t="str">
        <f>VLOOKUP(G219, teams!B$2:C$36, 2, 0)</f>
        <v>24/7</v>
      </c>
      <c r="I219" t="s">
        <v>56</v>
      </c>
      <c r="J219">
        <v>0.88888888888888795</v>
      </c>
      <c r="K219">
        <v>1.5</v>
      </c>
      <c r="L219">
        <v>1.1666666666666601</v>
      </c>
      <c r="M219">
        <v>0.53333333333333299</v>
      </c>
      <c r="N219">
        <v>0.36363636363636298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 t="s">
        <v>49</v>
      </c>
      <c r="AO219">
        <v>0</v>
      </c>
      <c r="AP219">
        <v>1</v>
      </c>
      <c r="AQ219">
        <v>2</v>
      </c>
      <c r="AR219">
        <v>0</v>
      </c>
      <c r="AS219">
        <v>0</v>
      </c>
      <c r="AT219">
        <v>1</v>
      </c>
    </row>
    <row r="220" spans="1:46" x14ac:dyDescent="0.2">
      <c r="A220" t="s">
        <v>232</v>
      </c>
      <c r="B220" s="4">
        <f t="shared" si="3"/>
        <v>45901</v>
      </c>
      <c r="C220" t="s">
        <v>77</v>
      </c>
      <c r="D220" s="1">
        <v>1.5081018518518518E-2</v>
      </c>
      <c r="E220">
        <v>18</v>
      </c>
      <c r="F220" t="s">
        <v>170</v>
      </c>
      <c r="G220" t="s">
        <v>99</v>
      </c>
      <c r="H220" t="str">
        <f>VLOOKUP(G220, teams!B$2:C$36, 2, 0)</f>
        <v>Service Desk</v>
      </c>
      <c r="I220" t="s">
        <v>56</v>
      </c>
      <c r="J220">
        <v>0.66666666666666596</v>
      </c>
      <c r="K220">
        <v>1</v>
      </c>
      <c r="L220">
        <v>0.83333333333333304</v>
      </c>
      <c r="M220">
        <v>0.66666666666666596</v>
      </c>
      <c r="N220">
        <v>0.45454545454545398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 t="s">
        <v>49</v>
      </c>
      <c r="AO220">
        <v>0</v>
      </c>
      <c r="AP220">
        <v>3</v>
      </c>
      <c r="AQ220">
        <v>1</v>
      </c>
      <c r="AR220">
        <v>0</v>
      </c>
      <c r="AS220">
        <v>1</v>
      </c>
      <c r="AT220">
        <v>1</v>
      </c>
    </row>
    <row r="221" spans="1:46" x14ac:dyDescent="0.2">
      <c r="A221" t="s">
        <v>232</v>
      </c>
      <c r="B221" s="4">
        <f t="shared" si="3"/>
        <v>45901</v>
      </c>
      <c r="C221" t="s">
        <v>77</v>
      </c>
      <c r="D221" s="1">
        <v>1.3414351851851853E-2</v>
      </c>
      <c r="E221">
        <v>16</v>
      </c>
      <c r="F221" t="s">
        <v>75</v>
      </c>
      <c r="G221" t="s">
        <v>185</v>
      </c>
      <c r="H221" t="str">
        <f>VLOOKUP(G221, teams!B$2:C$36, 2, 0)</f>
        <v>Tech</v>
      </c>
      <c r="I221" t="s">
        <v>56</v>
      </c>
      <c r="J221">
        <v>0.44444444444444398</v>
      </c>
      <c r="K221">
        <v>1</v>
      </c>
      <c r="L221">
        <v>0.66666666666666596</v>
      </c>
      <c r="M221">
        <v>0.2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t="s">
        <v>49</v>
      </c>
      <c r="AO221">
        <v>0</v>
      </c>
      <c r="AP221">
        <v>1</v>
      </c>
      <c r="AQ221">
        <v>0</v>
      </c>
      <c r="AR221">
        <v>0</v>
      </c>
      <c r="AS221">
        <v>1</v>
      </c>
      <c r="AT221">
        <v>0</v>
      </c>
    </row>
    <row r="222" spans="1:46" x14ac:dyDescent="0.2">
      <c r="A222" t="s">
        <v>233</v>
      </c>
      <c r="B222" s="4">
        <f t="shared" si="3"/>
        <v>45901</v>
      </c>
      <c r="C222" t="s">
        <v>59</v>
      </c>
      <c r="D222" s="1">
        <v>1.3287037037037036E-2</v>
      </c>
      <c r="E222">
        <v>20</v>
      </c>
      <c r="F222" t="s">
        <v>234</v>
      </c>
      <c r="G222" t="s">
        <v>97</v>
      </c>
      <c r="H222" t="str">
        <f>VLOOKUP(G222, teams!B$2:C$36, 2, 0)</f>
        <v>Tech</v>
      </c>
      <c r="I222" t="s">
        <v>56</v>
      </c>
      <c r="J222">
        <v>0.77777777777777701</v>
      </c>
      <c r="K222">
        <v>1</v>
      </c>
      <c r="L222">
        <v>0.83333333333333304</v>
      </c>
      <c r="M222">
        <v>0.4</v>
      </c>
      <c r="N222">
        <v>0.45454545454545398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 t="s">
        <v>49</v>
      </c>
      <c r="AO222">
        <v>1</v>
      </c>
      <c r="AP222">
        <v>2</v>
      </c>
      <c r="AQ222">
        <v>1</v>
      </c>
      <c r="AR222">
        <v>1</v>
      </c>
      <c r="AS222">
        <v>3</v>
      </c>
      <c r="AT222">
        <v>1</v>
      </c>
    </row>
    <row r="223" spans="1:46" x14ac:dyDescent="0.2">
      <c r="A223" t="s">
        <v>233</v>
      </c>
      <c r="B223" s="4">
        <f t="shared" si="3"/>
        <v>45901</v>
      </c>
      <c r="C223" t="s">
        <v>59</v>
      </c>
      <c r="D223" s="1">
        <v>1.2939814814814815E-2</v>
      </c>
      <c r="E223">
        <v>14</v>
      </c>
      <c r="F223" t="s">
        <v>72</v>
      </c>
      <c r="G223" t="s">
        <v>163</v>
      </c>
      <c r="H223" t="str">
        <f>VLOOKUP(G223, teams!B$2:C$36, 2, 0)</f>
        <v>24/7</v>
      </c>
      <c r="I223" t="s">
        <v>56</v>
      </c>
      <c r="J223">
        <v>0.44444444444444398</v>
      </c>
      <c r="K223">
        <v>1</v>
      </c>
      <c r="L223">
        <v>0.5</v>
      </c>
      <c r="M223">
        <v>0.266666666666666</v>
      </c>
      <c r="N223">
        <v>0.27272727272727199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 t="s">
        <v>49</v>
      </c>
      <c r="AO223">
        <v>1</v>
      </c>
      <c r="AP223">
        <v>2</v>
      </c>
      <c r="AQ223">
        <v>1</v>
      </c>
      <c r="AR223">
        <v>1</v>
      </c>
      <c r="AS223">
        <v>2</v>
      </c>
      <c r="AT223">
        <v>1</v>
      </c>
    </row>
    <row r="224" spans="1:46" x14ac:dyDescent="0.2">
      <c r="A224" t="s">
        <v>235</v>
      </c>
      <c r="B224" s="4">
        <f t="shared" si="3"/>
        <v>45901</v>
      </c>
      <c r="C224" t="s">
        <v>77</v>
      </c>
      <c r="D224" s="1">
        <v>1.8310185185185186E-2</v>
      </c>
      <c r="E224">
        <v>19</v>
      </c>
      <c r="F224" t="s">
        <v>219</v>
      </c>
      <c r="G224" t="s">
        <v>78</v>
      </c>
      <c r="H224" t="str">
        <f>VLOOKUP(G224, teams!B$2:C$36, 2, 0)</f>
        <v>Service Desk</v>
      </c>
      <c r="I224" t="s">
        <v>56</v>
      </c>
      <c r="J224">
        <v>1.1111111111111101</v>
      </c>
      <c r="K224">
        <v>1</v>
      </c>
      <c r="L224">
        <v>1</v>
      </c>
      <c r="M224">
        <v>0.8</v>
      </c>
      <c r="N224">
        <v>0.72727272727272696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 t="s">
        <v>49</v>
      </c>
      <c r="AO224">
        <v>1</v>
      </c>
      <c r="AP224">
        <v>3</v>
      </c>
      <c r="AQ224">
        <v>1</v>
      </c>
      <c r="AR224">
        <v>1</v>
      </c>
      <c r="AS224">
        <v>1</v>
      </c>
      <c r="AT224">
        <v>1</v>
      </c>
    </row>
    <row r="225" spans="1:46" x14ac:dyDescent="0.2">
      <c r="A225" t="s">
        <v>235</v>
      </c>
      <c r="B225" s="4">
        <f t="shared" si="3"/>
        <v>45901</v>
      </c>
      <c r="C225" t="s">
        <v>77</v>
      </c>
      <c r="D225" s="1">
        <v>1.3900462962962963E-2</v>
      </c>
      <c r="E225">
        <v>20</v>
      </c>
      <c r="F225" t="s">
        <v>234</v>
      </c>
      <c r="G225" t="s">
        <v>129</v>
      </c>
      <c r="H225" t="str">
        <f>VLOOKUP(G225, teams!B$2:C$36, 2, 0)</f>
        <v>Tech</v>
      </c>
      <c r="I225" t="s">
        <v>48</v>
      </c>
      <c r="J225">
        <v>0.55555555555555503</v>
      </c>
      <c r="K225">
        <v>1</v>
      </c>
      <c r="L225">
        <v>0.33333333333333298</v>
      </c>
      <c r="M225">
        <v>0.266666666666666</v>
      </c>
      <c r="N225">
        <v>0.36363636363636298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 t="s">
        <v>49</v>
      </c>
      <c r="AO225">
        <v>1</v>
      </c>
      <c r="AP225">
        <v>2</v>
      </c>
      <c r="AQ225">
        <v>1</v>
      </c>
      <c r="AR225">
        <v>1</v>
      </c>
      <c r="AS225">
        <v>3</v>
      </c>
      <c r="AT225">
        <v>1</v>
      </c>
    </row>
    <row r="226" spans="1:46" x14ac:dyDescent="0.2">
      <c r="A226" t="s">
        <v>235</v>
      </c>
      <c r="B226" s="4">
        <f t="shared" si="3"/>
        <v>45901</v>
      </c>
      <c r="C226" t="s">
        <v>77</v>
      </c>
      <c r="D226" s="1">
        <v>1.3900462962962963E-2</v>
      </c>
      <c r="E226">
        <v>20</v>
      </c>
      <c r="F226" t="s">
        <v>234</v>
      </c>
      <c r="G226" t="s">
        <v>62</v>
      </c>
      <c r="H226" t="str">
        <f>VLOOKUP(G226, teams!B$2:C$36, 2, 0)</f>
        <v>Service Desk</v>
      </c>
      <c r="I226" t="s">
        <v>48</v>
      </c>
      <c r="J226">
        <v>0.88888888888888795</v>
      </c>
      <c r="K226">
        <v>1</v>
      </c>
      <c r="L226">
        <v>0.66666666666666596</v>
      </c>
      <c r="M226">
        <v>0.73333333333333295</v>
      </c>
      <c r="N226">
        <v>0.63636363636363602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 t="s">
        <v>49</v>
      </c>
      <c r="AO226">
        <v>1</v>
      </c>
      <c r="AP226">
        <v>2</v>
      </c>
      <c r="AQ226">
        <v>1</v>
      </c>
      <c r="AR226">
        <v>1</v>
      </c>
      <c r="AS226">
        <v>3</v>
      </c>
      <c r="AT226">
        <v>1</v>
      </c>
    </row>
    <row r="227" spans="1:46" x14ac:dyDescent="0.2">
      <c r="A227" t="s">
        <v>236</v>
      </c>
      <c r="B227" s="4">
        <f t="shared" si="3"/>
        <v>45901</v>
      </c>
      <c r="C227" t="s">
        <v>91</v>
      </c>
      <c r="D227" s="1">
        <v>1.3900462962962963E-2</v>
      </c>
      <c r="E227">
        <v>14</v>
      </c>
      <c r="F227" t="s">
        <v>72</v>
      </c>
      <c r="G227" t="s">
        <v>198</v>
      </c>
      <c r="H227" t="str">
        <f>VLOOKUP(G227, teams!B$2:C$36, 2, 0)</f>
        <v>24/7</v>
      </c>
      <c r="I227" t="s">
        <v>48</v>
      </c>
      <c r="J227">
        <v>0.55555555555555503</v>
      </c>
      <c r="K227">
        <v>1</v>
      </c>
      <c r="L227">
        <v>0.83333333333333304</v>
      </c>
      <c r="M227">
        <v>0.2</v>
      </c>
      <c r="N227">
        <v>9.0909090909090898E-2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 t="s">
        <v>49</v>
      </c>
      <c r="AO227">
        <v>1</v>
      </c>
      <c r="AP227">
        <v>2</v>
      </c>
      <c r="AQ227">
        <v>1</v>
      </c>
      <c r="AR227">
        <v>1</v>
      </c>
      <c r="AS227">
        <v>2</v>
      </c>
      <c r="AT227">
        <v>1</v>
      </c>
    </row>
    <row r="228" spans="1:46" x14ac:dyDescent="0.2">
      <c r="A228" t="s">
        <v>237</v>
      </c>
      <c r="B228" s="4">
        <f t="shared" si="3"/>
        <v>45901</v>
      </c>
      <c r="C228" t="s">
        <v>77</v>
      </c>
      <c r="D228" s="1">
        <v>1.3900462962962963E-2</v>
      </c>
      <c r="E228">
        <v>9</v>
      </c>
      <c r="F228" t="s">
        <v>207</v>
      </c>
      <c r="G228" t="s">
        <v>97</v>
      </c>
      <c r="H228" t="str">
        <f>VLOOKUP(G228, teams!B$2:C$36, 2, 0)</f>
        <v>Tech</v>
      </c>
      <c r="I228" t="s">
        <v>48</v>
      </c>
      <c r="J228">
        <v>0.88888888888888795</v>
      </c>
      <c r="K228">
        <v>1</v>
      </c>
      <c r="L228">
        <v>1</v>
      </c>
      <c r="M228">
        <v>0.86666666666666603</v>
      </c>
      <c r="N228">
        <v>0.63636363636363602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 t="s">
        <v>49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2">
      <c r="A229" t="s">
        <v>238</v>
      </c>
      <c r="B229" s="4">
        <f t="shared" si="3"/>
        <v>45901</v>
      </c>
      <c r="C229" t="s">
        <v>45</v>
      </c>
      <c r="D229" s="1">
        <v>1.7245370370370369E-2</v>
      </c>
      <c r="E229">
        <v>19</v>
      </c>
      <c r="F229" t="s">
        <v>219</v>
      </c>
      <c r="G229" t="s">
        <v>103</v>
      </c>
      <c r="H229" t="str">
        <f>VLOOKUP(G229, teams!B$2:C$36, 2, 0)</f>
        <v>Tech</v>
      </c>
      <c r="I229" t="s">
        <v>56</v>
      </c>
      <c r="J229">
        <v>0.88888888888888795</v>
      </c>
      <c r="K229">
        <v>1</v>
      </c>
      <c r="L229">
        <v>0.66666666666666596</v>
      </c>
      <c r="M229">
        <v>0.66666666666666596</v>
      </c>
      <c r="N229">
        <v>0.36363636363636298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 t="s">
        <v>49</v>
      </c>
      <c r="AO229">
        <v>1</v>
      </c>
      <c r="AP229">
        <v>3</v>
      </c>
      <c r="AQ229">
        <v>1</v>
      </c>
      <c r="AR229">
        <v>1</v>
      </c>
      <c r="AS229">
        <v>1</v>
      </c>
      <c r="AT229">
        <v>1</v>
      </c>
    </row>
    <row r="230" spans="1:46" x14ac:dyDescent="0.2">
      <c r="A230" t="s">
        <v>239</v>
      </c>
      <c r="B230" s="4">
        <f t="shared" si="3"/>
        <v>45901</v>
      </c>
      <c r="C230" t="s">
        <v>51</v>
      </c>
      <c r="D230" s="1">
        <v>1.1747685185185186E-2</v>
      </c>
      <c r="E230">
        <v>4</v>
      </c>
      <c r="F230" t="s">
        <v>82</v>
      </c>
      <c r="G230" t="s">
        <v>182</v>
      </c>
      <c r="H230" t="str">
        <f>VLOOKUP(G230, teams!B$2:C$36, 2, 0)</f>
        <v>Service Desk</v>
      </c>
      <c r="I230" t="s">
        <v>56</v>
      </c>
      <c r="J230">
        <v>0.66666666666666596</v>
      </c>
      <c r="K230">
        <v>1</v>
      </c>
      <c r="L230">
        <v>0.66666666666666596</v>
      </c>
      <c r="M230">
        <v>0.6</v>
      </c>
      <c r="N230">
        <v>0.36363636363636298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1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 t="s">
        <v>49</v>
      </c>
      <c r="AO230">
        <v>1</v>
      </c>
      <c r="AP230">
        <v>4</v>
      </c>
      <c r="AQ230">
        <v>1</v>
      </c>
      <c r="AR230">
        <v>1</v>
      </c>
      <c r="AS230">
        <v>1</v>
      </c>
      <c r="AT230">
        <v>1</v>
      </c>
    </row>
    <row r="231" spans="1:46" x14ac:dyDescent="0.2">
      <c r="A231" t="s">
        <v>240</v>
      </c>
      <c r="B231" s="4">
        <f t="shared" si="3"/>
        <v>45901</v>
      </c>
      <c r="C231" t="s">
        <v>77</v>
      </c>
      <c r="D231" s="1">
        <v>2.2418981481481481E-2</v>
      </c>
      <c r="E231">
        <v>30</v>
      </c>
      <c r="F231" t="s">
        <v>241</v>
      </c>
      <c r="G231" t="s">
        <v>99</v>
      </c>
      <c r="H231" t="str">
        <f>VLOOKUP(G231, teams!B$2:C$36, 2, 0)</f>
        <v>Service Desk</v>
      </c>
      <c r="I231" t="s">
        <v>56</v>
      </c>
      <c r="J231">
        <v>0.66666666666666596</v>
      </c>
      <c r="K231">
        <v>1</v>
      </c>
      <c r="L231">
        <v>0.66666666666666596</v>
      </c>
      <c r="M231">
        <v>0.53333333333333299</v>
      </c>
      <c r="N231">
        <v>0.45454545454545398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 t="s">
        <v>49</v>
      </c>
      <c r="AO231">
        <v>1</v>
      </c>
      <c r="AP231">
        <v>2</v>
      </c>
      <c r="AQ231">
        <v>2</v>
      </c>
      <c r="AR231">
        <v>2</v>
      </c>
      <c r="AS231">
        <v>2</v>
      </c>
      <c r="AT231">
        <v>0</v>
      </c>
    </row>
    <row r="232" spans="1:46" x14ac:dyDescent="0.2">
      <c r="A232" t="s">
        <v>240</v>
      </c>
      <c r="B232" s="4">
        <f t="shared" si="3"/>
        <v>45901</v>
      </c>
      <c r="C232" t="s">
        <v>77</v>
      </c>
      <c r="D232" s="1">
        <v>2.3344907407407408E-2</v>
      </c>
      <c r="E232">
        <v>30</v>
      </c>
      <c r="F232" t="s">
        <v>241</v>
      </c>
      <c r="G232" t="s">
        <v>52</v>
      </c>
      <c r="H232" t="str">
        <f>VLOOKUP(G232, teams!B$2:C$36, 2, 0)</f>
        <v>Service Desk</v>
      </c>
      <c r="I232" t="s">
        <v>56</v>
      </c>
      <c r="J232">
        <v>0.77777777777777701</v>
      </c>
      <c r="K232">
        <v>1</v>
      </c>
      <c r="L232">
        <v>0.83333333333333304</v>
      </c>
      <c r="M232">
        <v>0.6</v>
      </c>
      <c r="N232">
        <v>0.45454545454545398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 t="s">
        <v>49</v>
      </c>
      <c r="AO232">
        <v>1</v>
      </c>
      <c r="AP232">
        <v>2</v>
      </c>
      <c r="AQ232">
        <v>2</v>
      </c>
      <c r="AR232">
        <v>2</v>
      </c>
      <c r="AS232">
        <v>2</v>
      </c>
      <c r="AT232">
        <v>0</v>
      </c>
    </row>
    <row r="233" spans="1:46" x14ac:dyDescent="0.2">
      <c r="A233" t="s">
        <v>242</v>
      </c>
      <c r="B233" s="4">
        <f t="shared" si="3"/>
        <v>45931</v>
      </c>
      <c r="C233" t="s">
        <v>91</v>
      </c>
      <c r="D233" s="1">
        <v>2.7870370370370372E-2</v>
      </c>
      <c r="E233">
        <v>30</v>
      </c>
      <c r="F233" t="s">
        <v>241</v>
      </c>
      <c r="G233" t="s">
        <v>62</v>
      </c>
      <c r="H233" t="str">
        <f>VLOOKUP(G233, teams!B$2:C$36, 2, 0)</f>
        <v>Service Desk</v>
      </c>
      <c r="I233" t="s">
        <v>56</v>
      </c>
      <c r="J233">
        <v>0.66666666666666596</v>
      </c>
      <c r="K233">
        <v>1</v>
      </c>
      <c r="L233">
        <v>0.66666666666666596</v>
      </c>
      <c r="M233">
        <v>0.66666666666666596</v>
      </c>
      <c r="N233">
        <v>0.54545454545454497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t="s">
        <v>49</v>
      </c>
      <c r="AO233">
        <v>1</v>
      </c>
      <c r="AP233">
        <v>2</v>
      </c>
      <c r="AQ233">
        <v>2</v>
      </c>
      <c r="AR233">
        <v>2</v>
      </c>
      <c r="AS233">
        <v>2</v>
      </c>
      <c r="AT233">
        <v>0</v>
      </c>
    </row>
    <row r="234" spans="1:46" x14ac:dyDescent="0.2">
      <c r="A234" t="s">
        <v>243</v>
      </c>
      <c r="B234" s="4">
        <f t="shared" si="3"/>
        <v>45931</v>
      </c>
      <c r="C234" t="s">
        <v>51</v>
      </c>
      <c r="D234" s="1">
        <v>1.8958333333333334E-2</v>
      </c>
      <c r="E234">
        <v>30</v>
      </c>
      <c r="F234" t="s">
        <v>241</v>
      </c>
      <c r="G234" t="s">
        <v>130</v>
      </c>
      <c r="H234" t="str">
        <f>VLOOKUP(G234, teams!B$2:C$36, 2, 0)</f>
        <v>24/7</v>
      </c>
      <c r="I234" t="s">
        <v>56</v>
      </c>
      <c r="J234">
        <v>0.55555555555555503</v>
      </c>
      <c r="K234">
        <v>1</v>
      </c>
      <c r="L234">
        <v>0.5</v>
      </c>
      <c r="M234">
        <v>0.53333333333333299</v>
      </c>
      <c r="N234">
        <v>0.54545454545454497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 t="s">
        <v>49</v>
      </c>
      <c r="AO234">
        <v>1</v>
      </c>
      <c r="AP234">
        <v>2</v>
      </c>
      <c r="AQ234">
        <v>2</v>
      </c>
      <c r="AR234">
        <v>2</v>
      </c>
      <c r="AS234">
        <v>2</v>
      </c>
      <c r="AT234">
        <v>0</v>
      </c>
    </row>
    <row r="235" spans="1:46" x14ac:dyDescent="0.2">
      <c r="A235" t="s">
        <v>244</v>
      </c>
      <c r="B235" s="4">
        <f t="shared" si="3"/>
        <v>45931</v>
      </c>
      <c r="C235" t="s">
        <v>77</v>
      </c>
      <c r="D235" s="1">
        <v>2.75E-2</v>
      </c>
      <c r="E235">
        <v>30</v>
      </c>
      <c r="F235" t="s">
        <v>241</v>
      </c>
      <c r="G235" t="s">
        <v>97</v>
      </c>
      <c r="H235" t="str">
        <f>VLOOKUP(G235, teams!B$2:C$36, 2, 0)</f>
        <v>Tech</v>
      </c>
      <c r="I235" t="s">
        <v>56</v>
      </c>
      <c r="J235">
        <v>0.33333333333333298</v>
      </c>
      <c r="K235">
        <v>1</v>
      </c>
      <c r="L235">
        <v>0.5</v>
      </c>
      <c r="M235">
        <v>0.33333333333333298</v>
      </c>
      <c r="N235">
        <v>0.36363636363636298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t="s">
        <v>49</v>
      </c>
      <c r="AO235">
        <v>1</v>
      </c>
      <c r="AP235">
        <v>2</v>
      </c>
      <c r="AQ235">
        <v>2</v>
      </c>
      <c r="AR235">
        <v>2</v>
      </c>
      <c r="AS235">
        <v>2</v>
      </c>
      <c r="AT235">
        <v>0</v>
      </c>
    </row>
    <row r="236" spans="1:46" x14ac:dyDescent="0.2">
      <c r="A236" t="s">
        <v>244</v>
      </c>
      <c r="B236" s="4">
        <f t="shared" si="3"/>
        <v>45931</v>
      </c>
      <c r="C236" t="s">
        <v>77</v>
      </c>
      <c r="D236" s="1">
        <v>2.3287037037037037E-2</v>
      </c>
      <c r="E236">
        <v>30</v>
      </c>
      <c r="F236" t="s">
        <v>241</v>
      </c>
      <c r="G236" t="s">
        <v>78</v>
      </c>
      <c r="H236" t="str">
        <f>VLOOKUP(G236, teams!B$2:C$36, 2, 0)</f>
        <v>Service Desk</v>
      </c>
      <c r="I236" t="s">
        <v>56</v>
      </c>
      <c r="J236">
        <v>0.44444444444444398</v>
      </c>
      <c r="K236">
        <v>1</v>
      </c>
      <c r="L236">
        <v>0.66666666666666596</v>
      </c>
      <c r="M236">
        <v>0.46666666666666601</v>
      </c>
      <c r="N236">
        <v>0.36363636363636298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t="s">
        <v>49</v>
      </c>
      <c r="AO236">
        <v>1</v>
      </c>
      <c r="AP236">
        <v>2</v>
      </c>
      <c r="AQ236">
        <v>2</v>
      </c>
      <c r="AR236">
        <v>2</v>
      </c>
      <c r="AS236">
        <v>2</v>
      </c>
      <c r="AT236">
        <v>0</v>
      </c>
    </row>
    <row r="237" spans="1:46" x14ac:dyDescent="0.2">
      <c r="A237" t="s">
        <v>244</v>
      </c>
      <c r="B237" s="4">
        <f t="shared" si="3"/>
        <v>45931</v>
      </c>
      <c r="C237" t="s">
        <v>77</v>
      </c>
      <c r="D237" s="1">
        <v>1.9398148148148147E-2</v>
      </c>
      <c r="E237">
        <v>30</v>
      </c>
      <c r="F237" t="s">
        <v>241</v>
      </c>
      <c r="G237" t="s">
        <v>132</v>
      </c>
      <c r="H237" t="str">
        <f>VLOOKUP(G237, teams!B$2:C$36, 2, 0)</f>
        <v>24/7</v>
      </c>
      <c r="I237" t="s">
        <v>56</v>
      </c>
      <c r="J237">
        <v>0.11111111111111099</v>
      </c>
      <c r="K237">
        <v>1</v>
      </c>
      <c r="L237">
        <v>0.66666666666666596</v>
      </c>
      <c r="M237">
        <v>0.2</v>
      </c>
      <c r="N237">
        <v>0.27272727272727199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t="s">
        <v>49</v>
      </c>
      <c r="AO237">
        <v>1</v>
      </c>
      <c r="AP237">
        <v>2</v>
      </c>
      <c r="AQ237">
        <v>2</v>
      </c>
      <c r="AR237">
        <v>2</v>
      </c>
      <c r="AS237">
        <v>2</v>
      </c>
      <c r="AT237">
        <v>0</v>
      </c>
    </row>
    <row r="238" spans="1:46" x14ac:dyDescent="0.2">
      <c r="A238" t="s">
        <v>245</v>
      </c>
      <c r="B238" s="4">
        <f t="shared" si="3"/>
        <v>45931</v>
      </c>
      <c r="C238" t="s">
        <v>59</v>
      </c>
      <c r="D238" s="1">
        <v>1.3900462962962963E-2</v>
      </c>
      <c r="E238">
        <v>16</v>
      </c>
      <c r="F238" t="s">
        <v>75</v>
      </c>
      <c r="G238" t="s">
        <v>198</v>
      </c>
      <c r="H238" t="str">
        <f>VLOOKUP(G238, teams!B$2:C$36, 2, 0)</f>
        <v>24/7</v>
      </c>
      <c r="I238" t="s">
        <v>48</v>
      </c>
      <c r="J238">
        <v>0.66666666666666596</v>
      </c>
      <c r="K238">
        <v>1</v>
      </c>
      <c r="L238">
        <v>0.66666666666666596</v>
      </c>
      <c r="M238">
        <v>0.266666666666666</v>
      </c>
      <c r="N238">
        <v>0.18181818181818099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 t="s">
        <v>49</v>
      </c>
      <c r="AO238">
        <v>0</v>
      </c>
      <c r="AP238">
        <v>1</v>
      </c>
      <c r="AQ238">
        <v>0</v>
      </c>
      <c r="AR238">
        <v>0</v>
      </c>
      <c r="AS238">
        <v>1</v>
      </c>
      <c r="AT238">
        <v>0</v>
      </c>
    </row>
    <row r="239" spans="1:46" x14ac:dyDescent="0.2">
      <c r="A239" t="s">
        <v>246</v>
      </c>
      <c r="B239" s="4">
        <f t="shared" si="3"/>
        <v>45931</v>
      </c>
      <c r="C239" t="s">
        <v>91</v>
      </c>
      <c r="D239" s="1">
        <v>2.4675925925925928E-2</v>
      </c>
      <c r="E239">
        <v>30</v>
      </c>
      <c r="F239" t="s">
        <v>241</v>
      </c>
      <c r="G239" t="s">
        <v>147</v>
      </c>
      <c r="H239" t="str">
        <f>VLOOKUP(G239, teams!B$2:C$36, 2, 0)</f>
        <v>24/7</v>
      </c>
      <c r="I239" t="s">
        <v>56</v>
      </c>
      <c r="J239">
        <v>0.55555555555555503</v>
      </c>
      <c r="K239">
        <v>1</v>
      </c>
      <c r="L239">
        <v>0.5</v>
      </c>
      <c r="M239">
        <v>0.53333333333333299</v>
      </c>
      <c r="N239">
        <v>0.54545454545454497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t="s">
        <v>49</v>
      </c>
      <c r="AO239">
        <v>1</v>
      </c>
      <c r="AP239">
        <v>2</v>
      </c>
      <c r="AQ239">
        <v>2</v>
      </c>
      <c r="AR239">
        <v>2</v>
      </c>
      <c r="AS239">
        <v>2</v>
      </c>
      <c r="AT239">
        <v>0</v>
      </c>
    </row>
    <row r="240" spans="1:46" x14ac:dyDescent="0.2">
      <c r="A240" t="s">
        <v>247</v>
      </c>
      <c r="B240" s="4">
        <f t="shared" si="3"/>
        <v>45931</v>
      </c>
      <c r="C240" t="s">
        <v>51</v>
      </c>
      <c r="D240" s="1">
        <v>1.9664351851851853E-2</v>
      </c>
      <c r="E240">
        <v>30</v>
      </c>
      <c r="F240" t="s">
        <v>241</v>
      </c>
      <c r="G240" t="s">
        <v>182</v>
      </c>
      <c r="H240" t="str">
        <f>VLOOKUP(G240, teams!B$2:C$36, 2, 0)</f>
        <v>Service Desk</v>
      </c>
      <c r="I240" t="s">
        <v>56</v>
      </c>
      <c r="J240">
        <v>0.33333333333333298</v>
      </c>
      <c r="K240">
        <v>1</v>
      </c>
      <c r="L240">
        <v>0.83333333333333304</v>
      </c>
      <c r="M240">
        <v>0.53333333333333299</v>
      </c>
      <c r="N240">
        <v>0.27272727272727199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 t="s">
        <v>49</v>
      </c>
      <c r="AO240">
        <v>1</v>
      </c>
      <c r="AP240">
        <v>2</v>
      </c>
      <c r="AQ240">
        <v>2</v>
      </c>
      <c r="AR240">
        <v>2</v>
      </c>
      <c r="AS240">
        <v>2</v>
      </c>
      <c r="AT240">
        <v>0</v>
      </c>
    </row>
    <row r="241" spans="1:46" x14ac:dyDescent="0.2">
      <c r="A241" t="s">
        <v>248</v>
      </c>
      <c r="B241" s="4">
        <f t="shared" si="3"/>
        <v>45931</v>
      </c>
      <c r="C241" t="s">
        <v>77</v>
      </c>
      <c r="D241" s="1">
        <v>2.7210648148148147E-2</v>
      </c>
      <c r="E241">
        <v>30</v>
      </c>
      <c r="F241" t="s">
        <v>241</v>
      </c>
      <c r="G241" t="s">
        <v>129</v>
      </c>
      <c r="H241" t="str">
        <f>VLOOKUP(G241, teams!B$2:C$36, 2, 0)</f>
        <v>Tech</v>
      </c>
      <c r="I241" t="s">
        <v>56</v>
      </c>
      <c r="J241">
        <v>0.55555555555555503</v>
      </c>
      <c r="K241">
        <v>1</v>
      </c>
      <c r="L241">
        <v>0.83333333333333304</v>
      </c>
      <c r="M241">
        <v>0.73333333333333295</v>
      </c>
      <c r="N241">
        <v>0.54545454545454497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t="s">
        <v>49</v>
      </c>
      <c r="AO241">
        <v>1</v>
      </c>
      <c r="AP241">
        <v>2</v>
      </c>
      <c r="AQ241">
        <v>2</v>
      </c>
      <c r="AR241">
        <v>2</v>
      </c>
      <c r="AS241">
        <v>2</v>
      </c>
      <c r="AT241">
        <v>0</v>
      </c>
    </row>
    <row r="242" spans="1:46" x14ac:dyDescent="0.2">
      <c r="A242" t="s">
        <v>249</v>
      </c>
      <c r="B242" s="4">
        <f t="shared" si="3"/>
        <v>45931</v>
      </c>
      <c r="C242" t="s">
        <v>59</v>
      </c>
      <c r="D242" s="1">
        <v>2.5011574074074075E-2</v>
      </c>
      <c r="E242">
        <v>30</v>
      </c>
      <c r="F242" t="s">
        <v>241</v>
      </c>
      <c r="G242" t="s">
        <v>163</v>
      </c>
      <c r="H242" t="str">
        <f>VLOOKUP(G242, teams!B$2:C$36, 2, 0)</f>
        <v>24/7</v>
      </c>
      <c r="I242" t="s">
        <v>56</v>
      </c>
      <c r="J242">
        <v>0.33333333333333298</v>
      </c>
      <c r="K242">
        <v>0</v>
      </c>
      <c r="L242">
        <v>0.5</v>
      </c>
      <c r="M242">
        <v>0.46666666666666601</v>
      </c>
      <c r="N242">
        <v>0.18181818181818099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t="s">
        <v>49</v>
      </c>
      <c r="AO242">
        <v>1</v>
      </c>
      <c r="AP242">
        <v>2</v>
      </c>
      <c r="AQ242">
        <v>2</v>
      </c>
      <c r="AR242">
        <v>2</v>
      </c>
      <c r="AS242">
        <v>2</v>
      </c>
      <c r="AT242">
        <v>0</v>
      </c>
    </row>
    <row r="243" spans="1:46" x14ac:dyDescent="0.2">
      <c r="A243" t="s">
        <v>250</v>
      </c>
      <c r="B243" s="4">
        <f t="shared" si="3"/>
        <v>45931</v>
      </c>
      <c r="C243" t="s">
        <v>91</v>
      </c>
      <c r="D243" s="1">
        <v>1.8356481481481481E-2</v>
      </c>
      <c r="E243">
        <v>30</v>
      </c>
      <c r="F243" t="s">
        <v>241</v>
      </c>
      <c r="G243" t="s">
        <v>103</v>
      </c>
      <c r="H243" t="str">
        <f>VLOOKUP(G243, teams!B$2:C$36, 2, 0)</f>
        <v>Tech</v>
      </c>
      <c r="I243" t="s">
        <v>56</v>
      </c>
      <c r="J243">
        <v>0.88888888888888795</v>
      </c>
      <c r="K243">
        <v>0.5</v>
      </c>
      <c r="L243">
        <v>0.5</v>
      </c>
      <c r="M243">
        <v>0.86666666666666603</v>
      </c>
      <c r="N243">
        <v>0.72727272727272696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t="s">
        <v>49</v>
      </c>
      <c r="AO243">
        <v>1</v>
      </c>
      <c r="AP243">
        <v>2</v>
      </c>
      <c r="AQ243">
        <v>2</v>
      </c>
      <c r="AR243">
        <v>2</v>
      </c>
      <c r="AS243">
        <v>2</v>
      </c>
      <c r="AT243">
        <v>0</v>
      </c>
    </row>
    <row r="244" spans="1:46" x14ac:dyDescent="0.2">
      <c r="A244" t="s">
        <v>251</v>
      </c>
      <c r="B244" s="4">
        <f t="shared" si="3"/>
        <v>45931</v>
      </c>
      <c r="C244" t="s">
        <v>59</v>
      </c>
      <c r="D244" s="1">
        <v>2.7743055555555556E-2</v>
      </c>
      <c r="E244">
        <v>30</v>
      </c>
      <c r="F244" t="s">
        <v>241</v>
      </c>
      <c r="G244" t="s">
        <v>60</v>
      </c>
      <c r="H244" t="str">
        <f>VLOOKUP(G244, teams!B$2:C$36, 2, 0)</f>
        <v>Service Desk</v>
      </c>
      <c r="I244" t="s">
        <v>56</v>
      </c>
      <c r="J244">
        <v>0.55555555555555503</v>
      </c>
      <c r="K244">
        <v>1</v>
      </c>
      <c r="L244">
        <v>0.66666666666666596</v>
      </c>
      <c r="M244">
        <v>0.53333333333333299</v>
      </c>
      <c r="N244">
        <v>0.36363636363636298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 t="s">
        <v>49</v>
      </c>
      <c r="AO244">
        <v>1</v>
      </c>
      <c r="AP244">
        <v>2</v>
      </c>
      <c r="AQ244">
        <v>2</v>
      </c>
      <c r="AR244">
        <v>2</v>
      </c>
      <c r="AS244">
        <v>2</v>
      </c>
      <c r="AT244">
        <v>0</v>
      </c>
    </row>
    <row r="245" spans="1:46" x14ac:dyDescent="0.2">
      <c r="A245" t="s">
        <v>252</v>
      </c>
      <c r="B245" s="4">
        <f t="shared" si="3"/>
        <v>45931</v>
      </c>
      <c r="C245" t="s">
        <v>45</v>
      </c>
      <c r="D245" s="1">
        <v>2.7800925925925927E-2</v>
      </c>
      <c r="E245">
        <v>30</v>
      </c>
      <c r="F245" t="s">
        <v>241</v>
      </c>
      <c r="G245" t="s">
        <v>198</v>
      </c>
      <c r="H245" t="str">
        <f>VLOOKUP(G245, teams!B$2:C$36, 2, 0)</f>
        <v>24/7</v>
      </c>
      <c r="I245" t="s">
        <v>48</v>
      </c>
      <c r="J245">
        <v>0.77777777777777701</v>
      </c>
      <c r="K245">
        <v>1</v>
      </c>
      <c r="L245">
        <v>0.66666666666666596</v>
      </c>
      <c r="M245">
        <v>0.73333333333333295</v>
      </c>
      <c r="N245">
        <v>0.54545454545454497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t="s">
        <v>49</v>
      </c>
      <c r="AO245">
        <v>1</v>
      </c>
      <c r="AP245">
        <v>2</v>
      </c>
      <c r="AQ245">
        <v>2</v>
      </c>
      <c r="AR245">
        <v>2</v>
      </c>
      <c r="AS245">
        <v>2</v>
      </c>
      <c r="AT245">
        <v>0</v>
      </c>
    </row>
    <row r="246" spans="1:46" x14ac:dyDescent="0.2">
      <c r="A246" t="s">
        <v>253</v>
      </c>
      <c r="B246" s="4">
        <f t="shared" si="3"/>
        <v>45962</v>
      </c>
      <c r="C246" t="s">
        <v>77</v>
      </c>
      <c r="D246" s="1">
        <v>1.2511574074074074E-2</v>
      </c>
      <c r="E246">
        <v>14</v>
      </c>
      <c r="F246" t="s">
        <v>72</v>
      </c>
      <c r="G246" t="s">
        <v>78</v>
      </c>
      <c r="H246" t="str">
        <f>VLOOKUP(G246, teams!B$2:C$36, 2, 0)</f>
        <v>Service Desk</v>
      </c>
      <c r="I246" t="s">
        <v>56</v>
      </c>
      <c r="J246">
        <v>0.44444444444444398</v>
      </c>
      <c r="K246">
        <v>1</v>
      </c>
      <c r="L246">
        <v>0.66666666666666596</v>
      </c>
      <c r="M246">
        <v>0.53333333333333299</v>
      </c>
      <c r="N246">
        <v>0.27272727272727199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t="s">
        <v>49</v>
      </c>
      <c r="AO246">
        <v>1</v>
      </c>
      <c r="AP246">
        <v>2</v>
      </c>
      <c r="AQ246">
        <v>1</v>
      </c>
      <c r="AR246">
        <v>1</v>
      </c>
      <c r="AS246">
        <v>2</v>
      </c>
      <c r="AT246">
        <v>1</v>
      </c>
    </row>
    <row r="247" spans="1:46" x14ac:dyDescent="0.2">
      <c r="A247" t="s">
        <v>254</v>
      </c>
      <c r="B247" s="4">
        <f t="shared" si="3"/>
        <v>45962</v>
      </c>
      <c r="C247" t="s">
        <v>59</v>
      </c>
      <c r="D247" s="1">
        <v>1.2581018518518519E-2</v>
      </c>
      <c r="E247">
        <v>8</v>
      </c>
      <c r="F247" t="s">
        <v>89</v>
      </c>
      <c r="G247" t="s">
        <v>130</v>
      </c>
      <c r="H247" t="str">
        <f>VLOOKUP(G247, teams!B$2:C$36, 2, 0)</f>
        <v>24/7</v>
      </c>
      <c r="I247" t="s">
        <v>56</v>
      </c>
      <c r="J247">
        <v>1</v>
      </c>
      <c r="K247">
        <v>1</v>
      </c>
      <c r="L247">
        <v>1</v>
      </c>
      <c r="M247">
        <v>0.8</v>
      </c>
      <c r="N247">
        <v>0.72727272727272696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 t="s">
        <v>49</v>
      </c>
      <c r="AO247">
        <v>0</v>
      </c>
      <c r="AP247">
        <v>1</v>
      </c>
      <c r="AQ247">
        <v>2</v>
      </c>
      <c r="AR247">
        <v>0</v>
      </c>
      <c r="AS247">
        <v>0</v>
      </c>
      <c r="AT247">
        <v>1</v>
      </c>
    </row>
    <row r="248" spans="1:46" x14ac:dyDescent="0.2">
      <c r="A248" t="s">
        <v>255</v>
      </c>
      <c r="B248" s="4">
        <f t="shared" si="3"/>
        <v>45962</v>
      </c>
      <c r="C248" t="s">
        <v>51</v>
      </c>
      <c r="D248" s="1">
        <v>1.4386574074074074E-2</v>
      </c>
      <c r="E248">
        <v>18</v>
      </c>
      <c r="F248" t="s">
        <v>170</v>
      </c>
      <c r="G248" t="s">
        <v>182</v>
      </c>
      <c r="H248" t="str">
        <f>VLOOKUP(G248, teams!B$2:C$36, 2, 0)</f>
        <v>Service Desk</v>
      </c>
      <c r="I248" t="s">
        <v>56</v>
      </c>
      <c r="J248">
        <v>0.55555555555555503</v>
      </c>
      <c r="K248">
        <v>1</v>
      </c>
      <c r="L248">
        <v>0.5</v>
      </c>
      <c r="M248">
        <v>0.6</v>
      </c>
      <c r="N248">
        <v>0.63636363636363602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 t="s">
        <v>49</v>
      </c>
      <c r="AO248">
        <v>0</v>
      </c>
      <c r="AP248">
        <v>3</v>
      </c>
      <c r="AQ248">
        <v>1</v>
      </c>
      <c r="AR248">
        <v>0</v>
      </c>
      <c r="AS248">
        <v>1</v>
      </c>
      <c r="AT248">
        <v>1</v>
      </c>
    </row>
    <row r="249" spans="1:46" x14ac:dyDescent="0.2">
      <c r="A249" t="s">
        <v>255</v>
      </c>
      <c r="B249" s="4">
        <f t="shared" si="3"/>
        <v>45962</v>
      </c>
      <c r="C249" t="s">
        <v>51</v>
      </c>
      <c r="D249" s="1">
        <v>1.3298611111111112E-2</v>
      </c>
      <c r="E249">
        <v>17</v>
      </c>
      <c r="F249" t="s">
        <v>184</v>
      </c>
      <c r="G249" t="s">
        <v>132</v>
      </c>
      <c r="H249" t="str">
        <f>VLOOKUP(G249, teams!B$2:C$36, 2, 0)</f>
        <v>24/7</v>
      </c>
      <c r="I249" t="s">
        <v>56</v>
      </c>
      <c r="J249">
        <v>0.33333333333333298</v>
      </c>
      <c r="K249">
        <v>1</v>
      </c>
      <c r="L249">
        <v>0.33333333333333298</v>
      </c>
      <c r="M249">
        <v>0.133333333333333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t="s">
        <v>49</v>
      </c>
      <c r="AO249">
        <v>0</v>
      </c>
      <c r="AP249">
        <v>2</v>
      </c>
      <c r="AQ249">
        <v>0</v>
      </c>
      <c r="AR249">
        <v>0</v>
      </c>
      <c r="AS249">
        <v>1</v>
      </c>
      <c r="AT249">
        <v>0</v>
      </c>
    </row>
    <row r="250" spans="1:46" x14ac:dyDescent="0.2">
      <c r="A250" t="s">
        <v>255</v>
      </c>
      <c r="B250" s="4">
        <f t="shared" si="3"/>
        <v>45962</v>
      </c>
      <c r="C250" t="s">
        <v>51</v>
      </c>
      <c r="D250" s="1">
        <v>1.6805555555555556E-2</v>
      </c>
      <c r="E250">
        <v>18</v>
      </c>
      <c r="F250" t="s">
        <v>170</v>
      </c>
      <c r="G250" t="s">
        <v>147</v>
      </c>
      <c r="H250" t="str">
        <f>VLOOKUP(G250, teams!B$2:C$36, 2, 0)</f>
        <v>24/7</v>
      </c>
      <c r="I250" t="s">
        <v>56</v>
      </c>
      <c r="J250">
        <v>0.66666666666666596</v>
      </c>
      <c r="K250">
        <v>1</v>
      </c>
      <c r="L250">
        <v>0.66666666666666596</v>
      </c>
      <c r="M250">
        <v>0.46666666666666601</v>
      </c>
      <c r="N250">
        <v>0.36363636363636298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 t="s">
        <v>49</v>
      </c>
      <c r="AO250">
        <v>0</v>
      </c>
      <c r="AP250">
        <v>3</v>
      </c>
      <c r="AQ250">
        <v>1</v>
      </c>
      <c r="AR250">
        <v>0</v>
      </c>
      <c r="AS250">
        <v>1</v>
      </c>
      <c r="AT250">
        <v>1</v>
      </c>
    </row>
    <row r="251" spans="1:46" x14ac:dyDescent="0.2">
      <c r="A251" t="s">
        <v>256</v>
      </c>
      <c r="B251" s="4">
        <f t="shared" si="3"/>
        <v>45962</v>
      </c>
      <c r="C251" t="s">
        <v>77</v>
      </c>
      <c r="D251" s="1">
        <v>1.3738425925925926E-2</v>
      </c>
      <c r="E251">
        <v>17</v>
      </c>
      <c r="F251" t="s">
        <v>184</v>
      </c>
      <c r="G251" t="s">
        <v>62</v>
      </c>
      <c r="H251" t="str">
        <f>VLOOKUP(G251, teams!B$2:C$36, 2, 0)</f>
        <v>Service Desk</v>
      </c>
      <c r="I251" t="s">
        <v>56</v>
      </c>
      <c r="J251">
        <v>0.88888888888888795</v>
      </c>
      <c r="K251">
        <v>1</v>
      </c>
      <c r="L251">
        <v>0.83333333333333304</v>
      </c>
      <c r="M251">
        <v>0.53333333333333299</v>
      </c>
      <c r="N251">
        <v>0.45454545454545398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t="s">
        <v>49</v>
      </c>
      <c r="AO251">
        <v>0</v>
      </c>
      <c r="AP251">
        <v>2</v>
      </c>
      <c r="AQ251">
        <v>0</v>
      </c>
      <c r="AR251">
        <v>0</v>
      </c>
      <c r="AS251">
        <v>1</v>
      </c>
      <c r="AT251">
        <v>0</v>
      </c>
    </row>
    <row r="252" spans="1:46" x14ac:dyDescent="0.2">
      <c r="A252" t="s">
        <v>256</v>
      </c>
      <c r="B252" s="4">
        <f t="shared" si="3"/>
        <v>45962</v>
      </c>
      <c r="C252" t="s">
        <v>77</v>
      </c>
      <c r="D252" s="1">
        <v>1.3946759259259259E-2</v>
      </c>
      <c r="E252">
        <v>17</v>
      </c>
      <c r="F252" t="s">
        <v>184</v>
      </c>
      <c r="G252" t="s">
        <v>129</v>
      </c>
      <c r="H252" t="str">
        <f>VLOOKUP(G252, teams!B$2:C$36, 2, 0)</f>
        <v>Tech</v>
      </c>
      <c r="I252" t="s">
        <v>56</v>
      </c>
      <c r="J252">
        <v>0.44444444444444398</v>
      </c>
      <c r="K252">
        <v>0.5</v>
      </c>
      <c r="L252">
        <v>0.5</v>
      </c>
      <c r="M252">
        <v>0.33333333333333298</v>
      </c>
      <c r="N252">
        <v>9.0909090909090898E-2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 t="s">
        <v>49</v>
      </c>
      <c r="AO252">
        <v>0</v>
      </c>
      <c r="AP252">
        <v>2</v>
      </c>
      <c r="AQ252">
        <v>0</v>
      </c>
      <c r="AR252">
        <v>0</v>
      </c>
      <c r="AS252">
        <v>1</v>
      </c>
      <c r="AT252">
        <v>0</v>
      </c>
    </row>
    <row r="253" spans="1:46" x14ac:dyDescent="0.2">
      <c r="A253" t="s">
        <v>257</v>
      </c>
      <c r="B253" s="4">
        <f t="shared" si="3"/>
        <v>45962</v>
      </c>
      <c r="C253" t="s">
        <v>45</v>
      </c>
      <c r="D253" s="1">
        <v>1.7384259259259259E-2</v>
      </c>
      <c r="E253">
        <v>34</v>
      </c>
      <c r="F253" t="s">
        <v>258</v>
      </c>
      <c r="G253" t="s">
        <v>214</v>
      </c>
      <c r="H253" t="str">
        <f>VLOOKUP(G253, teams!B$2:C$36, 2, 0)</f>
        <v>24/7</v>
      </c>
      <c r="I253" t="s">
        <v>48</v>
      </c>
      <c r="J253">
        <v>0.44444444444444398</v>
      </c>
      <c r="K253">
        <v>1</v>
      </c>
      <c r="L253">
        <v>0.5</v>
      </c>
      <c r="M253">
        <v>0.33333333333333298</v>
      </c>
      <c r="N253">
        <v>0.36363636363636298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t="s">
        <v>49</v>
      </c>
      <c r="AO253">
        <v>1</v>
      </c>
      <c r="AP253">
        <v>2</v>
      </c>
      <c r="AQ253">
        <v>1</v>
      </c>
      <c r="AR253">
        <v>1</v>
      </c>
      <c r="AS253">
        <v>2</v>
      </c>
      <c r="AT253">
        <v>1</v>
      </c>
    </row>
    <row r="254" spans="1:46" x14ac:dyDescent="0.2">
      <c r="A254" t="s">
        <v>257</v>
      </c>
      <c r="B254" s="4">
        <f t="shared" si="3"/>
        <v>45962</v>
      </c>
      <c r="C254" t="s">
        <v>45</v>
      </c>
      <c r="D254" s="1">
        <v>1.6053240740740739E-2</v>
      </c>
      <c r="E254">
        <v>24</v>
      </c>
      <c r="F254" t="s">
        <v>259</v>
      </c>
      <c r="G254" t="s">
        <v>103</v>
      </c>
      <c r="H254" t="str">
        <f>VLOOKUP(G254, teams!B$2:C$36, 2, 0)</f>
        <v>Tech</v>
      </c>
      <c r="I254" t="s">
        <v>56</v>
      </c>
      <c r="J254">
        <v>0.55555555555555503</v>
      </c>
      <c r="K254">
        <v>0.5</v>
      </c>
      <c r="L254">
        <v>0.33333333333333298</v>
      </c>
      <c r="M254">
        <v>0.53333333333333299</v>
      </c>
      <c r="N254">
        <v>0.27272727272727199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t="s">
        <v>49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</row>
    <row r="255" spans="1:46" x14ac:dyDescent="0.2">
      <c r="A255" t="s">
        <v>260</v>
      </c>
      <c r="B255" s="4">
        <f t="shared" si="3"/>
        <v>45962</v>
      </c>
      <c r="C255" t="s">
        <v>51</v>
      </c>
      <c r="D255" s="1">
        <v>1.375E-2</v>
      </c>
      <c r="E255">
        <v>32</v>
      </c>
      <c r="F255" t="s">
        <v>261</v>
      </c>
      <c r="G255" t="s">
        <v>214</v>
      </c>
      <c r="H255" t="str">
        <f>VLOOKUP(G255, teams!B$2:C$36, 2, 0)</f>
        <v>24/7</v>
      </c>
      <c r="I255" t="s">
        <v>56</v>
      </c>
      <c r="J255">
        <v>0.44444444444444398</v>
      </c>
      <c r="K255">
        <v>1</v>
      </c>
      <c r="L255">
        <v>0.66666666666666596</v>
      </c>
      <c r="M255">
        <v>0.4</v>
      </c>
      <c r="N255">
        <v>0.27272727272727199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t="s">
        <v>49</v>
      </c>
      <c r="AO255">
        <v>0</v>
      </c>
      <c r="AP255">
        <v>2</v>
      </c>
      <c r="AQ255">
        <v>0</v>
      </c>
      <c r="AR255">
        <v>0</v>
      </c>
      <c r="AS255">
        <v>0</v>
      </c>
      <c r="AT255">
        <v>0</v>
      </c>
    </row>
    <row r="256" spans="1:46" x14ac:dyDescent="0.2">
      <c r="A256" t="s">
        <v>262</v>
      </c>
      <c r="B256" s="4">
        <f t="shared" si="3"/>
        <v>45962</v>
      </c>
      <c r="C256" t="s">
        <v>77</v>
      </c>
      <c r="D256" s="1">
        <v>2.0856481481481483E-2</v>
      </c>
      <c r="E256">
        <v>24</v>
      </c>
      <c r="F256" t="s">
        <v>259</v>
      </c>
      <c r="G256" t="s">
        <v>97</v>
      </c>
      <c r="H256" t="str">
        <f>VLOOKUP(G256, teams!B$2:C$36, 2, 0)</f>
        <v>Tech</v>
      </c>
      <c r="I256" t="s">
        <v>48</v>
      </c>
      <c r="J256">
        <v>0.88888888888888795</v>
      </c>
      <c r="K256">
        <v>1</v>
      </c>
      <c r="L256">
        <v>0.83333333333333304</v>
      </c>
      <c r="M256">
        <v>0.93333333333333302</v>
      </c>
      <c r="N256">
        <v>0.72727272727272696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t="s">
        <v>49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</row>
    <row r="257" spans="1:46" x14ac:dyDescent="0.2">
      <c r="A257" t="s">
        <v>262</v>
      </c>
      <c r="B257" s="4">
        <f t="shared" si="3"/>
        <v>45962</v>
      </c>
      <c r="C257" t="s">
        <v>77</v>
      </c>
      <c r="D257" s="1">
        <v>1.3912037037037037E-2</v>
      </c>
      <c r="E257">
        <v>16</v>
      </c>
      <c r="F257" t="s">
        <v>75</v>
      </c>
      <c r="G257" t="s">
        <v>214</v>
      </c>
      <c r="H257" t="str">
        <f>VLOOKUP(G257, teams!B$2:C$36, 2, 0)</f>
        <v>24/7</v>
      </c>
      <c r="I257" t="s">
        <v>48</v>
      </c>
      <c r="J257">
        <v>0.11111111111111099</v>
      </c>
      <c r="K257">
        <v>0</v>
      </c>
      <c r="L257">
        <v>0</v>
      </c>
      <c r="M257">
        <v>0.133333333333333</v>
      </c>
      <c r="N257">
        <v>0.27272727272727199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t="s">
        <v>49</v>
      </c>
      <c r="AO257">
        <v>0</v>
      </c>
      <c r="AP257">
        <v>1</v>
      </c>
      <c r="AQ257">
        <v>0</v>
      </c>
      <c r="AR257">
        <v>0</v>
      </c>
      <c r="AS257">
        <v>1</v>
      </c>
      <c r="AT257">
        <v>0</v>
      </c>
    </row>
    <row r="258" spans="1:46" x14ac:dyDescent="0.2">
      <c r="A258" t="s">
        <v>263</v>
      </c>
      <c r="B258" s="4">
        <f t="shared" si="3"/>
        <v>45962</v>
      </c>
      <c r="C258" t="s">
        <v>59</v>
      </c>
      <c r="D258" s="1">
        <v>1.3900462962962963E-2</v>
      </c>
      <c r="E258">
        <v>16</v>
      </c>
      <c r="F258" t="s">
        <v>75</v>
      </c>
      <c r="G258" t="s">
        <v>214</v>
      </c>
      <c r="H258" t="str">
        <f>VLOOKUP(G258, teams!B$2:C$36, 2, 0)</f>
        <v>24/7</v>
      </c>
      <c r="I258" t="s">
        <v>48</v>
      </c>
      <c r="J258">
        <v>0.88888888888888795</v>
      </c>
      <c r="K258">
        <v>0.5</v>
      </c>
      <c r="L258">
        <v>0.33333333333333298</v>
      </c>
      <c r="M258">
        <v>0.46666666666666601</v>
      </c>
      <c r="N258">
        <v>0.36363636363636298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 t="s">
        <v>49</v>
      </c>
      <c r="AO258">
        <v>0</v>
      </c>
      <c r="AP258">
        <v>1</v>
      </c>
      <c r="AQ258">
        <v>0</v>
      </c>
      <c r="AR258">
        <v>0</v>
      </c>
      <c r="AS258">
        <v>1</v>
      </c>
      <c r="AT258">
        <v>0</v>
      </c>
    </row>
    <row r="259" spans="1:46" x14ac:dyDescent="0.2">
      <c r="A259" t="s">
        <v>264</v>
      </c>
      <c r="B259" s="4">
        <f t="shared" ref="B259:B294" si="4">DATE(YEAR(DATEVALUE(LEFT(A259,10))), MONTH(DATEVALUE(LEFT(A259,10))), 1)</f>
        <v>45962</v>
      </c>
      <c r="C259" t="s">
        <v>45</v>
      </c>
      <c r="D259" s="1">
        <v>1.3229166666666667E-2</v>
      </c>
      <c r="E259">
        <v>17</v>
      </c>
      <c r="F259" t="s">
        <v>184</v>
      </c>
      <c r="G259" t="s">
        <v>99</v>
      </c>
      <c r="H259" t="str">
        <f>VLOOKUP(G259, teams!B$2:C$36, 2, 0)</f>
        <v>Service Desk</v>
      </c>
      <c r="I259" t="s">
        <v>56</v>
      </c>
      <c r="J259">
        <v>0.77777777777777701</v>
      </c>
      <c r="K259">
        <v>1</v>
      </c>
      <c r="L259">
        <v>0.33333333333333298</v>
      </c>
      <c r="M259">
        <v>0.4</v>
      </c>
      <c r="N259">
        <v>0.45454545454545398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t="s">
        <v>49</v>
      </c>
      <c r="AO259">
        <v>0</v>
      </c>
      <c r="AP259">
        <v>2</v>
      </c>
      <c r="AQ259">
        <v>0</v>
      </c>
      <c r="AR259">
        <v>0</v>
      </c>
      <c r="AS259">
        <v>1</v>
      </c>
      <c r="AT259">
        <v>0</v>
      </c>
    </row>
    <row r="260" spans="1:46" x14ac:dyDescent="0.2">
      <c r="A260" t="s">
        <v>265</v>
      </c>
      <c r="B260" s="4">
        <f t="shared" si="4"/>
        <v>45962</v>
      </c>
      <c r="C260" t="s">
        <v>77</v>
      </c>
      <c r="D260" s="1">
        <v>1.324074074074074E-2</v>
      </c>
      <c r="E260">
        <v>9</v>
      </c>
      <c r="F260" t="s">
        <v>207</v>
      </c>
      <c r="G260" t="s">
        <v>129</v>
      </c>
      <c r="H260" t="str">
        <f>VLOOKUP(G260, teams!B$2:C$36, 2, 0)</f>
        <v>Tech</v>
      </c>
      <c r="I260" t="s">
        <v>56</v>
      </c>
      <c r="J260">
        <v>0.44444444444444398</v>
      </c>
      <c r="K260">
        <v>0.5</v>
      </c>
      <c r="L260">
        <v>0.66666666666666596</v>
      </c>
      <c r="M260">
        <v>0.46666666666666601</v>
      </c>
      <c r="N260">
        <v>9.0909090909090898E-2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 t="s">
        <v>49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2">
      <c r="A261" t="s">
        <v>265</v>
      </c>
      <c r="B261" s="4">
        <f t="shared" si="4"/>
        <v>45962</v>
      </c>
      <c r="C261" t="s">
        <v>77</v>
      </c>
      <c r="D261" s="1">
        <v>1.3912037037037037E-2</v>
      </c>
      <c r="E261">
        <v>9</v>
      </c>
      <c r="F261" t="s">
        <v>207</v>
      </c>
      <c r="G261" t="s">
        <v>62</v>
      </c>
      <c r="H261" t="str">
        <f>VLOOKUP(G261, teams!B$2:C$36, 2, 0)</f>
        <v>Service Desk</v>
      </c>
      <c r="I261" t="s">
        <v>48</v>
      </c>
      <c r="J261">
        <v>0.55555555555555503</v>
      </c>
      <c r="K261">
        <v>1</v>
      </c>
      <c r="L261">
        <v>0.66666666666666596</v>
      </c>
      <c r="M261">
        <v>0.33333333333333298</v>
      </c>
      <c r="N261">
        <v>9.0909090909090898E-2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t="s">
        <v>49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2">
      <c r="A262" t="s">
        <v>265</v>
      </c>
      <c r="B262" s="4">
        <f t="shared" si="4"/>
        <v>45962</v>
      </c>
      <c r="C262" t="s">
        <v>77</v>
      </c>
      <c r="D262" s="1">
        <v>1.150462962962963E-2</v>
      </c>
      <c r="E262">
        <v>4</v>
      </c>
      <c r="F262" t="s">
        <v>82</v>
      </c>
      <c r="G262" t="s">
        <v>139</v>
      </c>
      <c r="H262" t="str">
        <f>VLOOKUP(G262, teams!B$2:C$36, 2, 0)</f>
        <v>24/7</v>
      </c>
      <c r="I262" t="s">
        <v>56</v>
      </c>
      <c r="J262">
        <v>0.44444444444444398</v>
      </c>
      <c r="K262">
        <v>1</v>
      </c>
      <c r="L262">
        <v>0.66666666666666596</v>
      </c>
      <c r="M262">
        <v>0.53333333333333299</v>
      </c>
      <c r="N262">
        <v>0.36363636363636298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1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 t="s">
        <v>49</v>
      </c>
      <c r="AO262">
        <v>1</v>
      </c>
      <c r="AP262">
        <v>4</v>
      </c>
      <c r="AQ262">
        <v>1</v>
      </c>
      <c r="AR262">
        <v>1</v>
      </c>
      <c r="AS262">
        <v>1</v>
      </c>
      <c r="AT262">
        <v>1</v>
      </c>
    </row>
    <row r="263" spans="1:46" x14ac:dyDescent="0.2">
      <c r="A263" t="s">
        <v>266</v>
      </c>
      <c r="B263" s="4">
        <f t="shared" si="4"/>
        <v>45962</v>
      </c>
      <c r="C263" t="s">
        <v>59</v>
      </c>
      <c r="D263" s="1">
        <v>1.3900462962962963E-2</v>
      </c>
      <c r="E263">
        <v>4</v>
      </c>
      <c r="F263" t="s">
        <v>82</v>
      </c>
      <c r="G263" t="s">
        <v>198</v>
      </c>
      <c r="H263" t="str">
        <f>VLOOKUP(G263, teams!B$2:C$36, 2, 0)</f>
        <v>24/7</v>
      </c>
      <c r="I263" t="s">
        <v>48</v>
      </c>
      <c r="J263">
        <v>0.55555555555555503</v>
      </c>
      <c r="K263">
        <v>1</v>
      </c>
      <c r="L263">
        <v>0.33333333333333298</v>
      </c>
      <c r="M263">
        <v>0.46666666666666601</v>
      </c>
      <c r="N263">
        <v>0.27272727272727199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1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t="s">
        <v>49</v>
      </c>
      <c r="AO263">
        <v>1</v>
      </c>
      <c r="AP263">
        <v>4</v>
      </c>
      <c r="AQ263">
        <v>1</v>
      </c>
      <c r="AR263">
        <v>1</v>
      </c>
      <c r="AS263">
        <v>1</v>
      </c>
      <c r="AT263">
        <v>1</v>
      </c>
    </row>
    <row r="264" spans="1:46" x14ac:dyDescent="0.2">
      <c r="A264" t="s">
        <v>267</v>
      </c>
      <c r="B264" s="4">
        <f t="shared" si="4"/>
        <v>45962</v>
      </c>
      <c r="C264" t="s">
        <v>91</v>
      </c>
      <c r="D264" s="1">
        <v>1.3900462962962963E-2</v>
      </c>
      <c r="E264">
        <v>4</v>
      </c>
      <c r="F264" t="s">
        <v>82</v>
      </c>
      <c r="G264" t="s">
        <v>214</v>
      </c>
      <c r="H264" t="str">
        <f>VLOOKUP(G264, teams!B$2:C$36, 2, 0)</f>
        <v>24/7</v>
      </c>
      <c r="I264" t="s">
        <v>48</v>
      </c>
      <c r="J264">
        <v>0.77777777777777701</v>
      </c>
      <c r="K264">
        <v>1</v>
      </c>
      <c r="L264">
        <v>0.33333333333333298</v>
      </c>
      <c r="M264">
        <v>0.2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 t="s">
        <v>49</v>
      </c>
      <c r="AO264">
        <v>1</v>
      </c>
      <c r="AP264">
        <v>4</v>
      </c>
      <c r="AQ264">
        <v>1</v>
      </c>
      <c r="AR264">
        <v>1</v>
      </c>
      <c r="AS264">
        <v>1</v>
      </c>
      <c r="AT264">
        <v>1</v>
      </c>
    </row>
    <row r="265" spans="1:46" x14ac:dyDescent="0.2">
      <c r="A265" t="s">
        <v>268</v>
      </c>
      <c r="B265" s="4">
        <f t="shared" si="4"/>
        <v>45992</v>
      </c>
      <c r="C265" t="s">
        <v>51</v>
      </c>
      <c r="D265" s="1">
        <v>1.3495370370370371E-2</v>
      </c>
      <c r="E265">
        <v>16</v>
      </c>
      <c r="F265" t="s">
        <v>75</v>
      </c>
      <c r="G265" t="s">
        <v>156</v>
      </c>
      <c r="H265" t="str">
        <f>VLOOKUP(G265, teams!B$2:C$36, 2, 0)</f>
        <v>24/7</v>
      </c>
      <c r="I265" t="s">
        <v>56</v>
      </c>
      <c r="J265">
        <v>0.55555555555555503</v>
      </c>
      <c r="K265">
        <v>0.5</v>
      </c>
      <c r="L265">
        <v>0.66666666666666596</v>
      </c>
      <c r="M265">
        <v>0.53333333333333299</v>
      </c>
      <c r="N265">
        <v>0.36363636363636298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t="s">
        <v>49</v>
      </c>
      <c r="AO265">
        <v>0</v>
      </c>
      <c r="AP265">
        <v>1</v>
      </c>
      <c r="AQ265">
        <v>0</v>
      </c>
      <c r="AR265">
        <v>0</v>
      </c>
      <c r="AS265">
        <v>1</v>
      </c>
      <c r="AT265">
        <v>0</v>
      </c>
    </row>
    <row r="266" spans="1:46" x14ac:dyDescent="0.2">
      <c r="A266" t="s">
        <v>269</v>
      </c>
      <c r="B266" s="4">
        <f t="shared" si="4"/>
        <v>45992</v>
      </c>
      <c r="C266" t="s">
        <v>51</v>
      </c>
      <c r="D266" s="1">
        <v>8.8773148148148153E-3</v>
      </c>
      <c r="E266">
        <v>17</v>
      </c>
      <c r="F266" t="s">
        <v>184</v>
      </c>
      <c r="G266" t="s">
        <v>182</v>
      </c>
      <c r="H266" t="str">
        <f>VLOOKUP(G266, teams!B$2:C$36, 2, 0)</f>
        <v>Service Desk</v>
      </c>
      <c r="I266" t="s">
        <v>56</v>
      </c>
      <c r="J266">
        <v>1.1111111111111101</v>
      </c>
      <c r="K266">
        <v>1</v>
      </c>
      <c r="L266">
        <v>0.83333333333333304</v>
      </c>
      <c r="M266">
        <v>0.93333333333333302</v>
      </c>
      <c r="N266">
        <v>0.63636363636363602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 t="s">
        <v>49</v>
      </c>
      <c r="AO266">
        <v>0</v>
      </c>
      <c r="AP266">
        <v>2</v>
      </c>
      <c r="AQ266">
        <v>0</v>
      </c>
      <c r="AR266">
        <v>0</v>
      </c>
      <c r="AS266">
        <v>1</v>
      </c>
      <c r="AT266">
        <v>0</v>
      </c>
    </row>
    <row r="267" spans="1:46" x14ac:dyDescent="0.2">
      <c r="A267" t="s">
        <v>270</v>
      </c>
      <c r="B267" s="4">
        <f t="shared" si="4"/>
        <v>45992</v>
      </c>
      <c r="C267" t="s">
        <v>77</v>
      </c>
      <c r="D267" s="1">
        <v>2.0856481481481483E-2</v>
      </c>
      <c r="E267">
        <v>19</v>
      </c>
      <c r="F267" t="s">
        <v>219</v>
      </c>
      <c r="G267" t="s">
        <v>129</v>
      </c>
      <c r="H267" t="str">
        <f>VLOOKUP(G267, teams!B$2:C$36, 2, 0)</f>
        <v>Tech</v>
      </c>
      <c r="I267" t="s">
        <v>48</v>
      </c>
      <c r="J267">
        <v>0.44444444444444398</v>
      </c>
      <c r="K267">
        <v>0.5</v>
      </c>
      <c r="L267">
        <v>0.66666666666666596</v>
      </c>
      <c r="M267">
        <v>0.33333333333333298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t="s">
        <v>49</v>
      </c>
      <c r="AO267">
        <v>1</v>
      </c>
      <c r="AP267">
        <v>3</v>
      </c>
      <c r="AQ267">
        <v>1</v>
      </c>
      <c r="AR267">
        <v>1</v>
      </c>
      <c r="AS267">
        <v>1</v>
      </c>
      <c r="AT267">
        <v>1</v>
      </c>
    </row>
    <row r="268" spans="1:46" x14ac:dyDescent="0.2">
      <c r="A268" t="s">
        <v>271</v>
      </c>
      <c r="B268" s="4">
        <f t="shared" si="4"/>
        <v>45992</v>
      </c>
      <c r="C268" t="s">
        <v>59</v>
      </c>
      <c r="D268" s="1">
        <v>1.7384259259259259E-2</v>
      </c>
      <c r="E268">
        <v>8</v>
      </c>
      <c r="F268" t="s">
        <v>89</v>
      </c>
      <c r="G268" t="s">
        <v>139</v>
      </c>
      <c r="H268" t="str">
        <f>VLOOKUP(G268, teams!B$2:C$36, 2, 0)</f>
        <v>24/7</v>
      </c>
      <c r="I268" t="s">
        <v>48</v>
      </c>
      <c r="J268">
        <v>0.77777777777777701</v>
      </c>
      <c r="K268">
        <v>1</v>
      </c>
      <c r="L268">
        <v>0.83333333333333304</v>
      </c>
      <c r="M268">
        <v>0.86666666666666603</v>
      </c>
      <c r="N268">
        <v>0.81818181818181801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 t="s">
        <v>49</v>
      </c>
      <c r="AO268">
        <v>0</v>
      </c>
      <c r="AP268">
        <v>1</v>
      </c>
      <c r="AQ268">
        <v>2</v>
      </c>
      <c r="AR268">
        <v>0</v>
      </c>
      <c r="AS268">
        <v>0</v>
      </c>
      <c r="AT268">
        <v>1</v>
      </c>
    </row>
    <row r="269" spans="1:46" x14ac:dyDescent="0.2">
      <c r="A269" t="s">
        <v>271</v>
      </c>
      <c r="B269" s="4">
        <f t="shared" si="4"/>
        <v>45992</v>
      </c>
      <c r="C269" t="s">
        <v>59</v>
      </c>
      <c r="D269" s="1">
        <v>1.7094907407407406E-2</v>
      </c>
      <c r="E269">
        <v>8</v>
      </c>
      <c r="F269" t="s">
        <v>89</v>
      </c>
      <c r="G269" t="s">
        <v>198</v>
      </c>
      <c r="H269" t="str">
        <f>VLOOKUP(G269, teams!B$2:C$36, 2, 0)</f>
        <v>24/7</v>
      </c>
      <c r="I269" t="s">
        <v>56</v>
      </c>
      <c r="J269">
        <v>0.44444444444444398</v>
      </c>
      <c r="K269">
        <v>1</v>
      </c>
      <c r="L269">
        <v>0.83333333333333304</v>
      </c>
      <c r="M269">
        <v>0.53333333333333299</v>
      </c>
      <c r="N269">
        <v>0.27272727272727199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 t="s">
        <v>49</v>
      </c>
      <c r="AO269">
        <v>0</v>
      </c>
      <c r="AP269">
        <v>1</v>
      </c>
      <c r="AQ269">
        <v>2</v>
      </c>
      <c r="AR269">
        <v>0</v>
      </c>
      <c r="AS269">
        <v>0</v>
      </c>
      <c r="AT269">
        <v>1</v>
      </c>
    </row>
    <row r="270" spans="1:46" x14ac:dyDescent="0.2">
      <c r="A270" t="s">
        <v>272</v>
      </c>
      <c r="B270" s="4">
        <f t="shared" si="4"/>
        <v>45992</v>
      </c>
      <c r="C270" t="s">
        <v>45</v>
      </c>
      <c r="D270" s="1">
        <v>1.4872685185185185E-2</v>
      </c>
      <c r="E270">
        <v>26</v>
      </c>
      <c r="F270" t="s">
        <v>118</v>
      </c>
      <c r="G270" t="s">
        <v>147</v>
      </c>
      <c r="H270" t="str">
        <f>VLOOKUP(G270, teams!B$2:C$36, 2, 0)</f>
        <v>24/7</v>
      </c>
      <c r="I270" t="s">
        <v>56</v>
      </c>
      <c r="J270">
        <v>0.77777777777777701</v>
      </c>
      <c r="K270">
        <v>1</v>
      </c>
      <c r="L270">
        <v>0.66666666666666596</v>
      </c>
      <c r="M270">
        <v>0.133333333333333</v>
      </c>
      <c r="N270">
        <v>0.18181818181818099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 t="s">
        <v>49</v>
      </c>
      <c r="AO270">
        <v>0</v>
      </c>
      <c r="AP270">
        <v>2</v>
      </c>
      <c r="AQ270">
        <v>0</v>
      </c>
      <c r="AR270">
        <v>0</v>
      </c>
      <c r="AS270">
        <v>0</v>
      </c>
      <c r="AT270">
        <v>0</v>
      </c>
    </row>
    <row r="271" spans="1:46" x14ac:dyDescent="0.2">
      <c r="A271" t="s">
        <v>273</v>
      </c>
      <c r="B271" s="4">
        <f t="shared" si="4"/>
        <v>45992</v>
      </c>
      <c r="C271" t="s">
        <v>51</v>
      </c>
      <c r="D271" s="1">
        <v>1.7384259259259259E-2</v>
      </c>
      <c r="E271">
        <v>18</v>
      </c>
      <c r="F271" t="s">
        <v>170</v>
      </c>
      <c r="G271" t="s">
        <v>214</v>
      </c>
      <c r="H271" t="str">
        <f>VLOOKUP(G271, teams!B$2:C$36, 2, 0)</f>
        <v>24/7</v>
      </c>
      <c r="I271" t="s">
        <v>48</v>
      </c>
      <c r="J271">
        <v>0.44444444444444398</v>
      </c>
      <c r="K271">
        <v>0</v>
      </c>
      <c r="L271">
        <v>0.33333333333333298</v>
      </c>
      <c r="M271">
        <v>0.33333333333333298</v>
      </c>
      <c r="N271">
        <v>0.27272727272727199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 t="s">
        <v>49</v>
      </c>
      <c r="AO271">
        <v>0</v>
      </c>
      <c r="AP271">
        <v>3</v>
      </c>
      <c r="AQ271">
        <v>1</v>
      </c>
      <c r="AR271">
        <v>0</v>
      </c>
      <c r="AS271">
        <v>1</v>
      </c>
      <c r="AT271">
        <v>1</v>
      </c>
    </row>
    <row r="272" spans="1:46" x14ac:dyDescent="0.2">
      <c r="A272" t="s">
        <v>273</v>
      </c>
      <c r="B272" s="4">
        <f t="shared" si="4"/>
        <v>45992</v>
      </c>
      <c r="C272" t="s">
        <v>51</v>
      </c>
      <c r="D272" s="1">
        <v>1.4224537037037037E-2</v>
      </c>
      <c r="E272">
        <v>18</v>
      </c>
      <c r="F272" t="s">
        <v>170</v>
      </c>
      <c r="G272" t="s">
        <v>156</v>
      </c>
      <c r="H272" t="str">
        <f>VLOOKUP(G272, teams!B$2:C$36, 2, 0)</f>
        <v>24/7</v>
      </c>
      <c r="I272" t="s">
        <v>56</v>
      </c>
      <c r="J272">
        <v>0.44444444444444398</v>
      </c>
      <c r="K272">
        <v>0.5</v>
      </c>
      <c r="L272">
        <v>0.66666666666666596</v>
      </c>
      <c r="M272">
        <v>0.4</v>
      </c>
      <c r="N272">
        <v>0.45454545454545398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 t="s">
        <v>49</v>
      </c>
      <c r="AO272">
        <v>0</v>
      </c>
      <c r="AP272">
        <v>3</v>
      </c>
      <c r="AQ272">
        <v>1</v>
      </c>
      <c r="AR272">
        <v>0</v>
      </c>
      <c r="AS272">
        <v>1</v>
      </c>
      <c r="AT272">
        <v>1</v>
      </c>
    </row>
    <row r="273" spans="1:46" x14ac:dyDescent="0.2">
      <c r="A273" t="s">
        <v>274</v>
      </c>
      <c r="B273" s="4">
        <f t="shared" si="4"/>
        <v>45992</v>
      </c>
      <c r="C273" t="s">
        <v>91</v>
      </c>
      <c r="D273" s="1">
        <v>1.2199074074074074E-2</v>
      </c>
      <c r="E273">
        <v>16</v>
      </c>
      <c r="F273" t="s">
        <v>75</v>
      </c>
      <c r="G273" t="s">
        <v>163</v>
      </c>
      <c r="H273" t="str">
        <f>VLOOKUP(G273, teams!B$2:C$36, 2, 0)</f>
        <v>24/7</v>
      </c>
      <c r="I273" t="s">
        <v>56</v>
      </c>
      <c r="J273">
        <v>0.44444444444444398</v>
      </c>
      <c r="K273">
        <v>0.5</v>
      </c>
      <c r="L273">
        <v>0.66666666666666596</v>
      </c>
      <c r="M273">
        <v>0.46666666666666601</v>
      </c>
      <c r="N273">
        <v>0.27272727272727199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t="s">
        <v>49</v>
      </c>
      <c r="AO273">
        <v>0</v>
      </c>
      <c r="AP273">
        <v>1</v>
      </c>
      <c r="AQ273">
        <v>0</v>
      </c>
      <c r="AR273">
        <v>0</v>
      </c>
      <c r="AS273">
        <v>1</v>
      </c>
      <c r="AT273">
        <v>0</v>
      </c>
    </row>
    <row r="274" spans="1:46" x14ac:dyDescent="0.2">
      <c r="A274" t="s">
        <v>275</v>
      </c>
      <c r="B274" s="4">
        <f t="shared" si="4"/>
        <v>46023</v>
      </c>
      <c r="C274" t="s">
        <v>51</v>
      </c>
      <c r="D274" s="1">
        <v>1.375E-2</v>
      </c>
      <c r="E274">
        <v>28</v>
      </c>
      <c r="F274" t="s">
        <v>187</v>
      </c>
      <c r="G274" t="s">
        <v>182</v>
      </c>
      <c r="H274" t="str">
        <f>VLOOKUP(G274, teams!B$2:C$36, 2, 0)</f>
        <v>Service Desk</v>
      </c>
      <c r="I274" t="s">
        <v>56</v>
      </c>
      <c r="J274">
        <v>0.33333333333333298</v>
      </c>
      <c r="K274">
        <v>0.5</v>
      </c>
      <c r="L274">
        <v>0.5</v>
      </c>
      <c r="M274">
        <v>0.46666666666666601</v>
      </c>
      <c r="N274">
        <v>0.27272727272727199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 t="s">
        <v>49</v>
      </c>
      <c r="AO274">
        <v>0</v>
      </c>
      <c r="AP274">
        <v>1</v>
      </c>
      <c r="AQ274">
        <v>1</v>
      </c>
      <c r="AR274">
        <v>1</v>
      </c>
      <c r="AS274">
        <v>0</v>
      </c>
      <c r="AT274">
        <v>1</v>
      </c>
    </row>
    <row r="275" spans="1:46" x14ac:dyDescent="0.2">
      <c r="A275" t="s">
        <v>276</v>
      </c>
      <c r="B275" s="4">
        <f t="shared" si="4"/>
        <v>46023</v>
      </c>
      <c r="C275" t="s">
        <v>51</v>
      </c>
      <c r="D275" s="1">
        <v>1.6909722222222222E-2</v>
      </c>
      <c r="E275">
        <v>18</v>
      </c>
      <c r="F275" t="s">
        <v>170</v>
      </c>
      <c r="G275" t="s">
        <v>198</v>
      </c>
      <c r="H275" t="str">
        <f>VLOOKUP(G275, teams!B$2:C$36, 2, 0)</f>
        <v>24/7</v>
      </c>
      <c r="I275" t="s">
        <v>56</v>
      </c>
      <c r="J275">
        <v>0.55555555555555503</v>
      </c>
      <c r="K275">
        <v>0</v>
      </c>
      <c r="L275">
        <v>0.33333333333333298</v>
      </c>
      <c r="M275">
        <v>0.33333333333333298</v>
      </c>
      <c r="N275">
        <v>0.27272727272727199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 t="s">
        <v>49</v>
      </c>
      <c r="AO275">
        <v>0</v>
      </c>
      <c r="AP275">
        <v>3</v>
      </c>
      <c r="AQ275">
        <v>1</v>
      </c>
      <c r="AR275">
        <v>0</v>
      </c>
      <c r="AS275">
        <v>1</v>
      </c>
      <c r="AT275">
        <v>1</v>
      </c>
    </row>
    <row r="276" spans="1:46" x14ac:dyDescent="0.2">
      <c r="A276" t="s">
        <v>277</v>
      </c>
      <c r="B276" s="4">
        <f t="shared" si="4"/>
        <v>46023</v>
      </c>
      <c r="C276" t="s">
        <v>77</v>
      </c>
      <c r="D276" s="1">
        <v>1.9618055555555555E-2</v>
      </c>
      <c r="E276">
        <v>33</v>
      </c>
      <c r="F276" t="s">
        <v>278</v>
      </c>
      <c r="G276" t="s">
        <v>97</v>
      </c>
      <c r="H276" t="str">
        <f>VLOOKUP(G276, teams!B$2:C$36, 2, 0)</f>
        <v>Tech</v>
      </c>
      <c r="I276" t="s">
        <v>56</v>
      </c>
      <c r="J276">
        <v>0.66666666666666596</v>
      </c>
      <c r="K276">
        <v>1</v>
      </c>
      <c r="L276">
        <v>0.5</v>
      </c>
      <c r="M276">
        <v>0.66666666666666596</v>
      </c>
      <c r="N276">
        <v>0.45454545454545398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 t="s">
        <v>49</v>
      </c>
      <c r="AO276">
        <v>1</v>
      </c>
      <c r="AP276">
        <v>0</v>
      </c>
      <c r="AQ276">
        <v>1</v>
      </c>
      <c r="AR276">
        <v>1</v>
      </c>
      <c r="AS276">
        <v>0</v>
      </c>
      <c r="AT276">
        <v>0</v>
      </c>
    </row>
    <row r="277" spans="1:46" x14ac:dyDescent="0.2">
      <c r="A277" t="s">
        <v>277</v>
      </c>
      <c r="B277" s="4">
        <f t="shared" si="4"/>
        <v>46023</v>
      </c>
      <c r="C277" t="s">
        <v>77</v>
      </c>
      <c r="D277" s="1">
        <v>1.3912037037037037E-2</v>
      </c>
      <c r="E277">
        <v>17</v>
      </c>
      <c r="F277" t="s">
        <v>184</v>
      </c>
      <c r="G277" t="s">
        <v>147</v>
      </c>
      <c r="H277" t="str">
        <f>VLOOKUP(G277, teams!B$2:C$36, 2, 0)</f>
        <v>24/7</v>
      </c>
      <c r="I277" t="s">
        <v>48</v>
      </c>
      <c r="J277">
        <v>0.33333333333333298</v>
      </c>
      <c r="K277">
        <v>0.5</v>
      </c>
      <c r="L277">
        <v>0.33333333333333298</v>
      </c>
      <c r="M277">
        <v>0.133333333333333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t="s">
        <v>49</v>
      </c>
      <c r="AO277">
        <v>0</v>
      </c>
      <c r="AP277">
        <v>2</v>
      </c>
      <c r="AQ277">
        <v>0</v>
      </c>
      <c r="AR277">
        <v>0</v>
      </c>
      <c r="AS277">
        <v>1</v>
      </c>
      <c r="AT277">
        <v>0</v>
      </c>
    </row>
    <row r="278" spans="1:46" x14ac:dyDescent="0.2">
      <c r="A278" t="s">
        <v>279</v>
      </c>
      <c r="B278" s="4">
        <f t="shared" si="4"/>
        <v>46023</v>
      </c>
      <c r="C278" t="s">
        <v>59</v>
      </c>
      <c r="D278" s="1">
        <v>1.3900462962962963E-2</v>
      </c>
      <c r="E278">
        <v>17</v>
      </c>
      <c r="F278" t="s">
        <v>184</v>
      </c>
      <c r="G278" t="s">
        <v>60</v>
      </c>
      <c r="H278" t="str">
        <f>VLOOKUP(G278, teams!B$2:C$36, 2, 0)</f>
        <v>Service Desk</v>
      </c>
      <c r="I278" t="s">
        <v>48</v>
      </c>
      <c r="J278">
        <v>0.66666666666666596</v>
      </c>
      <c r="K278">
        <v>0.5</v>
      </c>
      <c r="L278">
        <v>0.66666666666666596</v>
      </c>
      <c r="M278">
        <v>0.73333333333333295</v>
      </c>
      <c r="N278">
        <v>0.54545454545454497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t="s">
        <v>49</v>
      </c>
      <c r="AO278">
        <v>0</v>
      </c>
      <c r="AP278">
        <v>2</v>
      </c>
      <c r="AQ278">
        <v>0</v>
      </c>
      <c r="AR278">
        <v>0</v>
      </c>
      <c r="AS278">
        <v>1</v>
      </c>
      <c r="AT278">
        <v>0</v>
      </c>
    </row>
    <row r="279" spans="1:46" x14ac:dyDescent="0.2">
      <c r="A279" t="s">
        <v>280</v>
      </c>
      <c r="B279" s="4">
        <f t="shared" si="4"/>
        <v>46023</v>
      </c>
      <c r="C279" t="s">
        <v>77</v>
      </c>
      <c r="D279" s="1">
        <v>1.6018518518518519E-2</v>
      </c>
      <c r="E279">
        <v>19</v>
      </c>
      <c r="F279" t="s">
        <v>219</v>
      </c>
      <c r="G279" t="s">
        <v>62</v>
      </c>
      <c r="H279" t="str">
        <f>VLOOKUP(G279, teams!B$2:C$36, 2, 0)</f>
        <v>Service Desk</v>
      </c>
      <c r="I279" t="s">
        <v>56</v>
      </c>
      <c r="J279">
        <v>0.44444444444444398</v>
      </c>
      <c r="K279">
        <v>1</v>
      </c>
      <c r="L279">
        <v>0.83333333333333304</v>
      </c>
      <c r="M279">
        <v>0.4</v>
      </c>
      <c r="N279">
        <v>0.27272727272727199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t="s">
        <v>49</v>
      </c>
      <c r="AO279">
        <v>1</v>
      </c>
      <c r="AP279">
        <v>3</v>
      </c>
      <c r="AQ279">
        <v>1</v>
      </c>
      <c r="AR279">
        <v>1</v>
      </c>
      <c r="AS279">
        <v>1</v>
      </c>
      <c r="AT279">
        <v>1</v>
      </c>
    </row>
    <row r="280" spans="1:46" x14ac:dyDescent="0.2">
      <c r="A280" t="s">
        <v>281</v>
      </c>
      <c r="B280" s="4">
        <f t="shared" si="4"/>
        <v>46023</v>
      </c>
      <c r="C280" t="s">
        <v>45</v>
      </c>
      <c r="D280" s="1">
        <v>1.9756944444444445E-2</v>
      </c>
      <c r="E280">
        <v>33</v>
      </c>
      <c r="F280" t="s">
        <v>278</v>
      </c>
      <c r="G280" t="s">
        <v>103</v>
      </c>
      <c r="H280" t="str">
        <f>VLOOKUP(G280, teams!B$2:C$36, 2, 0)</f>
        <v>Tech</v>
      </c>
      <c r="I280" t="s">
        <v>56</v>
      </c>
      <c r="J280">
        <v>0.66666666666666596</v>
      </c>
      <c r="K280">
        <v>0.5</v>
      </c>
      <c r="L280">
        <v>0.16666666666666599</v>
      </c>
      <c r="M280">
        <v>0.33333333333333298</v>
      </c>
      <c r="N280">
        <v>0.18181818181818099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 t="s">
        <v>49</v>
      </c>
      <c r="AO280">
        <v>1</v>
      </c>
      <c r="AP280">
        <v>0</v>
      </c>
      <c r="AQ280">
        <v>1</v>
      </c>
      <c r="AR280">
        <v>1</v>
      </c>
      <c r="AS280">
        <v>0</v>
      </c>
      <c r="AT280">
        <v>0</v>
      </c>
    </row>
    <row r="281" spans="1:46" x14ac:dyDescent="0.2">
      <c r="A281" t="s">
        <v>282</v>
      </c>
      <c r="B281" s="4">
        <f t="shared" si="4"/>
        <v>46023</v>
      </c>
      <c r="C281" t="s">
        <v>51</v>
      </c>
      <c r="D281" s="1">
        <v>1.3946759259259259E-2</v>
      </c>
      <c r="E281">
        <v>9</v>
      </c>
      <c r="F281" t="s">
        <v>207</v>
      </c>
      <c r="G281" t="s">
        <v>132</v>
      </c>
      <c r="H281" t="str">
        <f>VLOOKUP(G281, teams!B$2:C$36, 2, 0)</f>
        <v>24/7</v>
      </c>
      <c r="I281" t="s">
        <v>56</v>
      </c>
      <c r="J281">
        <v>0.33333333333333298</v>
      </c>
      <c r="K281">
        <v>1</v>
      </c>
      <c r="L281">
        <v>1</v>
      </c>
      <c r="M281">
        <v>0.6</v>
      </c>
      <c r="N281">
        <v>0.36363636363636298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 t="s">
        <v>49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2">
      <c r="A282" t="s">
        <v>282</v>
      </c>
      <c r="B282" s="4">
        <f t="shared" si="4"/>
        <v>46023</v>
      </c>
      <c r="C282" t="s">
        <v>51</v>
      </c>
      <c r="D282" s="1">
        <v>1.7384259259259259E-2</v>
      </c>
      <c r="E282">
        <v>18</v>
      </c>
      <c r="F282" t="s">
        <v>170</v>
      </c>
      <c r="G282" t="s">
        <v>130</v>
      </c>
      <c r="H282" t="str">
        <f>VLOOKUP(G282, teams!B$2:C$36, 2, 0)</f>
        <v>24/7</v>
      </c>
      <c r="I282" t="s">
        <v>56</v>
      </c>
      <c r="J282">
        <v>0.66666666666666596</v>
      </c>
      <c r="K282">
        <v>1</v>
      </c>
      <c r="L282">
        <v>0.66666666666666596</v>
      </c>
      <c r="M282">
        <v>0.266666666666666</v>
      </c>
      <c r="N282">
        <v>0.18181818181818099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 t="s">
        <v>49</v>
      </c>
      <c r="AO282">
        <v>0</v>
      </c>
      <c r="AP282">
        <v>3</v>
      </c>
      <c r="AQ282">
        <v>1</v>
      </c>
      <c r="AR282">
        <v>0</v>
      </c>
      <c r="AS282">
        <v>1</v>
      </c>
      <c r="AT282">
        <v>1</v>
      </c>
    </row>
    <row r="283" spans="1:46" x14ac:dyDescent="0.2">
      <c r="A283" t="s">
        <v>283</v>
      </c>
      <c r="B283" s="4">
        <f t="shared" si="4"/>
        <v>46023</v>
      </c>
      <c r="C283" t="s">
        <v>77</v>
      </c>
      <c r="D283" s="1">
        <v>1.5266203703703704E-2</v>
      </c>
      <c r="E283">
        <v>18</v>
      </c>
      <c r="F283" t="s">
        <v>170</v>
      </c>
      <c r="G283" t="s">
        <v>139</v>
      </c>
      <c r="H283" t="str">
        <f>VLOOKUP(G283, teams!B$2:C$36, 2, 0)</f>
        <v>24/7</v>
      </c>
      <c r="I283" t="s">
        <v>56</v>
      </c>
      <c r="J283">
        <v>0.66666666666666596</v>
      </c>
      <c r="K283">
        <v>1</v>
      </c>
      <c r="L283">
        <v>0.66666666666666596</v>
      </c>
      <c r="M283">
        <v>0.266666666666666</v>
      </c>
      <c r="N283">
        <v>9.0909090909090898E-2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 t="s">
        <v>49</v>
      </c>
      <c r="AO283">
        <v>0</v>
      </c>
      <c r="AP283">
        <v>3</v>
      </c>
      <c r="AQ283">
        <v>1</v>
      </c>
      <c r="AR283">
        <v>0</v>
      </c>
      <c r="AS283">
        <v>1</v>
      </c>
      <c r="AT283">
        <v>1</v>
      </c>
    </row>
    <row r="284" spans="1:46" x14ac:dyDescent="0.2">
      <c r="A284" t="s">
        <v>284</v>
      </c>
      <c r="B284" s="4">
        <f t="shared" si="4"/>
        <v>46023</v>
      </c>
      <c r="C284" t="s">
        <v>45</v>
      </c>
      <c r="D284" s="1">
        <v>1.3900462962962963E-2</v>
      </c>
      <c r="E284">
        <v>9</v>
      </c>
      <c r="F284" t="s">
        <v>207</v>
      </c>
      <c r="G284" t="s">
        <v>147</v>
      </c>
      <c r="H284" t="str">
        <f>VLOOKUP(G284, teams!B$2:C$36, 2, 0)</f>
        <v>24/7</v>
      </c>
      <c r="I284" t="s">
        <v>48</v>
      </c>
      <c r="J284">
        <v>0.88888888888888795</v>
      </c>
      <c r="K284">
        <v>1</v>
      </c>
      <c r="L284">
        <v>0.33333333333333298</v>
      </c>
      <c r="M284">
        <v>0.46666666666666601</v>
      </c>
      <c r="N284">
        <v>0.27272727272727199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 t="s">
        <v>49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2">
      <c r="A285" t="s">
        <v>285</v>
      </c>
      <c r="B285" s="4">
        <f t="shared" si="4"/>
        <v>46054</v>
      </c>
      <c r="C285" t="s">
        <v>77</v>
      </c>
      <c r="D285" s="1">
        <v>9.6990740740740735E-3</v>
      </c>
      <c r="E285">
        <v>5</v>
      </c>
      <c r="F285" t="s">
        <v>286</v>
      </c>
      <c r="G285" t="s">
        <v>52</v>
      </c>
      <c r="H285" t="str">
        <f>VLOOKUP(G285, teams!B$2:C$36, 2, 0)</f>
        <v>Service Desk</v>
      </c>
      <c r="I285" t="s">
        <v>56</v>
      </c>
      <c r="J285">
        <v>0.44444444444444398</v>
      </c>
      <c r="K285">
        <v>0.5</v>
      </c>
      <c r="L285">
        <v>0.66666666666666596</v>
      </c>
      <c r="M285">
        <v>0.266666666666666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 t="s">
        <v>49</v>
      </c>
      <c r="AO285">
        <v>0</v>
      </c>
      <c r="AP285">
        <v>1</v>
      </c>
      <c r="AQ285">
        <v>1</v>
      </c>
      <c r="AR285">
        <v>0</v>
      </c>
      <c r="AS285">
        <v>0</v>
      </c>
      <c r="AT285">
        <v>0</v>
      </c>
    </row>
    <row r="286" spans="1:46" x14ac:dyDescent="0.2">
      <c r="A286" t="s">
        <v>287</v>
      </c>
      <c r="B286" s="4">
        <f t="shared" si="4"/>
        <v>46054</v>
      </c>
      <c r="C286" t="s">
        <v>77</v>
      </c>
      <c r="D286" s="1">
        <v>1.8692129629629628E-2</v>
      </c>
      <c r="E286">
        <v>19</v>
      </c>
      <c r="F286" t="s">
        <v>219</v>
      </c>
      <c r="G286" t="s">
        <v>97</v>
      </c>
      <c r="H286" t="str">
        <f>VLOOKUP(G286, teams!B$2:C$36, 2, 0)</f>
        <v>Tech</v>
      </c>
      <c r="I286" t="s">
        <v>56</v>
      </c>
      <c r="J286">
        <v>0.77777777777777701</v>
      </c>
      <c r="K286">
        <v>1</v>
      </c>
      <c r="L286">
        <v>0.66666666666666596</v>
      </c>
      <c r="M286">
        <v>0.4</v>
      </c>
      <c r="N286">
        <v>0.27272727272727199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 t="s">
        <v>49</v>
      </c>
      <c r="AO286">
        <v>1</v>
      </c>
      <c r="AP286">
        <v>3</v>
      </c>
      <c r="AQ286">
        <v>1</v>
      </c>
      <c r="AR286">
        <v>1</v>
      </c>
      <c r="AS286">
        <v>1</v>
      </c>
      <c r="AT286">
        <v>1</v>
      </c>
    </row>
    <row r="287" spans="1:46" x14ac:dyDescent="0.2">
      <c r="A287" t="s">
        <v>287</v>
      </c>
      <c r="B287" s="4">
        <f t="shared" si="4"/>
        <v>46054</v>
      </c>
      <c r="C287" t="s">
        <v>77</v>
      </c>
      <c r="D287" s="1">
        <v>1.5729166666666666E-2</v>
      </c>
      <c r="E287">
        <v>33</v>
      </c>
      <c r="F287" t="s">
        <v>278</v>
      </c>
      <c r="G287" t="s">
        <v>78</v>
      </c>
      <c r="H287" t="str">
        <f>VLOOKUP(G287, teams!B$2:C$36, 2, 0)</f>
        <v>Service Desk</v>
      </c>
      <c r="I287" t="s">
        <v>56</v>
      </c>
      <c r="J287">
        <v>0.55555555555555503</v>
      </c>
      <c r="K287">
        <v>0.5</v>
      </c>
      <c r="L287">
        <v>0.66666666666666596</v>
      </c>
      <c r="M287">
        <v>0.66666666666666596</v>
      </c>
      <c r="N287">
        <v>0.45454545454545398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 t="s">
        <v>49</v>
      </c>
      <c r="AO287">
        <v>1</v>
      </c>
      <c r="AP287">
        <v>0</v>
      </c>
      <c r="AQ287">
        <v>1</v>
      </c>
      <c r="AR287">
        <v>1</v>
      </c>
      <c r="AS287">
        <v>0</v>
      </c>
      <c r="AT287">
        <v>0</v>
      </c>
    </row>
    <row r="288" spans="1:46" x14ac:dyDescent="0.2">
      <c r="A288" t="s">
        <v>288</v>
      </c>
      <c r="B288" s="4">
        <f t="shared" si="4"/>
        <v>46054</v>
      </c>
      <c r="C288" t="s">
        <v>45</v>
      </c>
      <c r="D288" s="1">
        <v>1.4606481481481481E-2</v>
      </c>
      <c r="E288">
        <v>19</v>
      </c>
      <c r="F288" t="s">
        <v>219</v>
      </c>
      <c r="G288" t="s">
        <v>132</v>
      </c>
      <c r="H288" t="str">
        <f>VLOOKUP(G288, teams!B$2:C$36, 2, 0)</f>
        <v>24/7</v>
      </c>
      <c r="I288" t="s">
        <v>56</v>
      </c>
      <c r="J288">
        <v>0.55555555555555503</v>
      </c>
      <c r="K288">
        <v>1</v>
      </c>
      <c r="L288">
        <v>0.66666666666666596</v>
      </c>
      <c r="M288">
        <v>0.33333333333333298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t="s">
        <v>49</v>
      </c>
      <c r="AO288">
        <v>1</v>
      </c>
      <c r="AP288">
        <v>3</v>
      </c>
      <c r="AQ288">
        <v>1</v>
      </c>
      <c r="AR288">
        <v>1</v>
      </c>
      <c r="AS288">
        <v>1</v>
      </c>
      <c r="AT288">
        <v>1</v>
      </c>
    </row>
    <row r="289" spans="1:46" x14ac:dyDescent="0.2">
      <c r="A289" t="s">
        <v>289</v>
      </c>
      <c r="B289" s="4">
        <f t="shared" si="4"/>
        <v>46054</v>
      </c>
      <c r="C289" t="s">
        <v>91</v>
      </c>
      <c r="D289" s="1">
        <v>1.1134259259259259E-2</v>
      </c>
      <c r="E289">
        <v>4</v>
      </c>
      <c r="F289" t="s">
        <v>82</v>
      </c>
      <c r="G289" t="s">
        <v>163</v>
      </c>
      <c r="H289" t="str">
        <f>VLOOKUP(G289, teams!B$2:C$36, 2, 0)</f>
        <v>24/7</v>
      </c>
      <c r="I289" t="s">
        <v>56</v>
      </c>
      <c r="J289">
        <v>0.22222222222222199</v>
      </c>
      <c r="K289">
        <v>0.5</v>
      </c>
      <c r="L289">
        <v>0.5</v>
      </c>
      <c r="M289">
        <v>0.266666666666666</v>
      </c>
      <c r="N289">
        <v>9.0909090909090898E-2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1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 t="s">
        <v>49</v>
      </c>
      <c r="AO289">
        <v>1</v>
      </c>
      <c r="AP289">
        <v>4</v>
      </c>
      <c r="AQ289">
        <v>1</v>
      </c>
      <c r="AR289">
        <v>1</v>
      </c>
      <c r="AS289">
        <v>1</v>
      </c>
      <c r="AT289">
        <v>1</v>
      </c>
    </row>
    <row r="290" spans="1:46" x14ac:dyDescent="0.2">
      <c r="A290" t="s">
        <v>290</v>
      </c>
      <c r="B290" s="4">
        <f t="shared" si="4"/>
        <v>46054</v>
      </c>
      <c r="C290" t="s">
        <v>51</v>
      </c>
      <c r="D290" s="1">
        <v>1.5891203703703703E-2</v>
      </c>
      <c r="E290">
        <v>28</v>
      </c>
      <c r="F290" t="s">
        <v>187</v>
      </c>
      <c r="G290" t="s">
        <v>156</v>
      </c>
      <c r="H290" t="str">
        <f>VLOOKUP(G290, teams!B$2:C$36, 2, 0)</f>
        <v>24/7</v>
      </c>
      <c r="I290" t="s">
        <v>56</v>
      </c>
      <c r="J290">
        <v>0.44444444444444398</v>
      </c>
      <c r="K290">
        <v>0.5</v>
      </c>
      <c r="L290">
        <v>0.66666666666666596</v>
      </c>
      <c r="M290">
        <v>0.4</v>
      </c>
      <c r="N290">
        <v>0.27272727272727199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 t="s">
        <v>49</v>
      </c>
      <c r="AO290">
        <v>0</v>
      </c>
      <c r="AP290">
        <v>1</v>
      </c>
      <c r="AQ290">
        <v>1</v>
      </c>
      <c r="AR290">
        <v>1</v>
      </c>
      <c r="AS290">
        <v>0</v>
      </c>
      <c r="AT290">
        <v>1</v>
      </c>
    </row>
    <row r="291" spans="1:46" x14ac:dyDescent="0.2">
      <c r="A291" t="s">
        <v>290</v>
      </c>
      <c r="B291" s="4">
        <f t="shared" si="4"/>
        <v>46054</v>
      </c>
      <c r="C291" t="s">
        <v>51</v>
      </c>
      <c r="D291" s="1">
        <v>1.2881944444444444E-2</v>
      </c>
      <c r="E291">
        <v>33</v>
      </c>
      <c r="F291" t="s">
        <v>278</v>
      </c>
      <c r="G291" t="s">
        <v>182</v>
      </c>
      <c r="H291" t="str">
        <f>VLOOKUP(G291, teams!B$2:C$36, 2, 0)</f>
        <v>Service Desk</v>
      </c>
      <c r="I291" t="s">
        <v>56</v>
      </c>
      <c r="J291">
        <v>0.44444444444444398</v>
      </c>
      <c r="K291">
        <v>0.5</v>
      </c>
      <c r="L291">
        <v>0.66666666666666596</v>
      </c>
      <c r="M291">
        <v>0.46666666666666601</v>
      </c>
      <c r="N291">
        <v>0.27272727272727199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 t="s">
        <v>49</v>
      </c>
      <c r="AO291">
        <v>1</v>
      </c>
      <c r="AP291">
        <v>0</v>
      </c>
      <c r="AQ291">
        <v>1</v>
      </c>
      <c r="AR291">
        <v>1</v>
      </c>
      <c r="AS291">
        <v>0</v>
      </c>
      <c r="AT291">
        <v>0</v>
      </c>
    </row>
    <row r="292" spans="1:46" x14ac:dyDescent="0.2">
      <c r="A292" t="s">
        <v>291</v>
      </c>
      <c r="B292" s="4">
        <f t="shared" si="4"/>
        <v>46054</v>
      </c>
      <c r="C292" t="s">
        <v>45</v>
      </c>
      <c r="D292" s="1">
        <v>1.3912037037037037E-2</v>
      </c>
      <c r="E292">
        <v>9</v>
      </c>
      <c r="F292" t="s">
        <v>207</v>
      </c>
      <c r="G292" t="s">
        <v>60</v>
      </c>
      <c r="H292" t="str">
        <f>VLOOKUP(G292, teams!B$2:C$36, 2, 0)</f>
        <v>Service Desk</v>
      </c>
      <c r="I292" t="s">
        <v>48</v>
      </c>
      <c r="J292">
        <v>0.55555555555555503</v>
      </c>
      <c r="K292">
        <v>0.5</v>
      </c>
      <c r="L292">
        <v>0.33333333333333298</v>
      </c>
      <c r="M292">
        <v>0.266666666666666</v>
      </c>
      <c r="N292">
        <v>0.18181818181818099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t="s">
        <v>49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2">
      <c r="A293" t="s">
        <v>292</v>
      </c>
      <c r="B293" s="4">
        <f t="shared" si="4"/>
        <v>46054</v>
      </c>
      <c r="C293" t="s">
        <v>51</v>
      </c>
      <c r="D293" s="1">
        <v>1.4849537037037038E-2</v>
      </c>
      <c r="E293">
        <v>8</v>
      </c>
      <c r="F293" t="s">
        <v>89</v>
      </c>
      <c r="G293" t="s">
        <v>163</v>
      </c>
      <c r="H293" t="str">
        <f>VLOOKUP(G293, teams!B$2:C$36, 2, 0)</f>
        <v>24/7</v>
      </c>
      <c r="I293" t="s">
        <v>56</v>
      </c>
      <c r="J293">
        <v>0.44444444444444398</v>
      </c>
      <c r="K293">
        <v>0.5</v>
      </c>
      <c r="L293">
        <v>0.66666666666666596</v>
      </c>
      <c r="M293">
        <v>0.33333333333333298</v>
      </c>
      <c r="N293">
        <v>0.18181818181818099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 t="s">
        <v>49</v>
      </c>
      <c r="AO293">
        <v>0</v>
      </c>
      <c r="AP293">
        <v>1</v>
      </c>
      <c r="AQ293">
        <v>2</v>
      </c>
      <c r="AR293">
        <v>0</v>
      </c>
      <c r="AS293">
        <v>0</v>
      </c>
      <c r="AT293">
        <v>1</v>
      </c>
    </row>
    <row r="294" spans="1:46" x14ac:dyDescent="0.2">
      <c r="A294" t="s">
        <v>293</v>
      </c>
      <c r="B294" s="4">
        <f t="shared" si="4"/>
        <v>46054</v>
      </c>
      <c r="C294" t="s">
        <v>77</v>
      </c>
      <c r="D294" s="1">
        <v>1.3078703703703703E-2</v>
      </c>
      <c r="E294">
        <v>28</v>
      </c>
      <c r="F294" t="s">
        <v>187</v>
      </c>
      <c r="G294" t="s">
        <v>130</v>
      </c>
      <c r="H294" t="str">
        <f>VLOOKUP(G294, teams!B$2:C$36, 2, 0)</f>
        <v>24/7</v>
      </c>
      <c r="I294" t="s">
        <v>56</v>
      </c>
      <c r="J294">
        <v>0.44444444444444398</v>
      </c>
      <c r="K294">
        <v>0.5</v>
      </c>
      <c r="L294">
        <v>0.33333333333333298</v>
      </c>
      <c r="M294">
        <v>0.46666666666666601</v>
      </c>
      <c r="N294">
        <v>0.27272727272727199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 t="s">
        <v>49</v>
      </c>
      <c r="AO294">
        <v>0</v>
      </c>
      <c r="AP294">
        <v>1</v>
      </c>
      <c r="AQ294">
        <v>1</v>
      </c>
      <c r="AR294">
        <v>1</v>
      </c>
      <c r="AS294">
        <v>0</v>
      </c>
      <c r="AT29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F9D3-17EC-4A4E-AB4C-E8F1284B3FC7}">
  <dimension ref="A1:C36"/>
  <sheetViews>
    <sheetView topLeftCell="B1" workbookViewId="0">
      <selection activeCell="E39" sqref="E39"/>
    </sheetView>
  </sheetViews>
  <sheetFormatPr baseColWidth="10" defaultRowHeight="16" x14ac:dyDescent="0.2"/>
  <cols>
    <col min="1" max="1" width="17.1640625" customWidth="1"/>
    <col min="2" max="2" width="32.6640625" customWidth="1"/>
    <col min="3" max="3" width="27.6640625" customWidth="1"/>
    <col min="6" max="6" width="19.5" bestFit="1" customWidth="1"/>
    <col min="7" max="7" width="20" bestFit="1" customWidth="1"/>
    <col min="9" max="9" width="23" customWidth="1"/>
    <col min="10" max="10" width="22.1640625" customWidth="1"/>
  </cols>
  <sheetData>
    <row r="1" spans="1:3" x14ac:dyDescent="0.2">
      <c r="A1" t="s">
        <v>4</v>
      </c>
      <c r="B1" s="2" t="s">
        <v>5</v>
      </c>
      <c r="C1" s="2" t="s">
        <v>294</v>
      </c>
    </row>
    <row r="2" spans="1:3" x14ac:dyDescent="0.2">
      <c r="A2" t="str">
        <f>LEFT(B2, LEN(B2)-10)</f>
        <v>uma</v>
      </c>
      <c r="B2" t="s">
        <v>163</v>
      </c>
      <c r="C2" s="3" t="s">
        <v>295</v>
      </c>
    </row>
    <row r="3" spans="1:3" x14ac:dyDescent="0.2">
      <c r="A3" t="str">
        <f t="shared" ref="A3:A36" si="0">LEFT(B3, LEN(B3)-10)</f>
        <v>richa</v>
      </c>
      <c r="B3" t="s">
        <v>60</v>
      </c>
      <c r="C3" s="3" t="s">
        <v>296</v>
      </c>
    </row>
    <row r="4" spans="1:3" x14ac:dyDescent="0.2">
      <c r="A4" t="str">
        <f t="shared" si="0"/>
        <v>sub</v>
      </c>
      <c r="B4" t="s">
        <v>182</v>
      </c>
      <c r="C4" s="3" t="s">
        <v>296</v>
      </c>
    </row>
    <row r="5" spans="1:3" x14ac:dyDescent="0.2">
      <c r="A5" t="str">
        <f t="shared" si="0"/>
        <v>abdulkad</v>
      </c>
      <c r="B5" t="s">
        <v>156</v>
      </c>
      <c r="C5" s="3" t="s">
        <v>295</v>
      </c>
    </row>
    <row r="6" spans="1:3" x14ac:dyDescent="0.2">
      <c r="A6" t="str">
        <f t="shared" si="0"/>
        <v/>
      </c>
      <c r="B6" t="s">
        <v>132</v>
      </c>
      <c r="C6" s="3" t="s">
        <v>295</v>
      </c>
    </row>
    <row r="7" spans="1:3" x14ac:dyDescent="0.2">
      <c r="A7" t="str">
        <f t="shared" si="0"/>
        <v>as</v>
      </c>
      <c r="B7" t="s">
        <v>78</v>
      </c>
      <c r="C7" s="3" t="s">
        <v>296</v>
      </c>
    </row>
    <row r="8" spans="1:3" x14ac:dyDescent="0.2">
      <c r="A8" t="str">
        <f t="shared" si="0"/>
        <v/>
      </c>
      <c r="B8" t="s">
        <v>97</v>
      </c>
      <c r="C8" s="3" t="s">
        <v>297</v>
      </c>
    </row>
    <row r="9" spans="1:3" x14ac:dyDescent="0.2">
      <c r="A9" t="str">
        <f t="shared" si="0"/>
        <v>zis</v>
      </c>
      <c r="B9" t="s">
        <v>52</v>
      </c>
      <c r="C9" s="3" t="s">
        <v>296</v>
      </c>
    </row>
    <row r="10" spans="1:3" x14ac:dyDescent="0.2">
      <c r="A10" t="str">
        <f t="shared" si="0"/>
        <v>ba</v>
      </c>
      <c r="B10" t="s">
        <v>147</v>
      </c>
      <c r="C10" s="3" t="s">
        <v>295</v>
      </c>
    </row>
    <row r="11" spans="1:3" x14ac:dyDescent="0.2">
      <c r="A11" t="str">
        <f t="shared" si="0"/>
        <v>omo</v>
      </c>
      <c r="B11" t="s">
        <v>139</v>
      </c>
      <c r="C11" s="3" t="s">
        <v>295</v>
      </c>
    </row>
    <row r="12" spans="1:3" x14ac:dyDescent="0.2">
      <c r="A12" t="str">
        <f t="shared" si="0"/>
        <v>ma</v>
      </c>
      <c r="B12" t="s">
        <v>130</v>
      </c>
      <c r="C12" s="3" t="s">
        <v>295</v>
      </c>
    </row>
    <row r="13" spans="1:3" x14ac:dyDescent="0.2">
      <c r="A13" t="str">
        <f t="shared" si="0"/>
        <v>mi</v>
      </c>
      <c r="B13" t="s">
        <v>103</v>
      </c>
      <c r="C13" s="3" t="s">
        <v>297</v>
      </c>
    </row>
    <row r="14" spans="1:3" x14ac:dyDescent="0.2">
      <c r="A14" t="str">
        <f t="shared" si="0"/>
        <v>warr</v>
      </c>
      <c r="B14" t="s">
        <v>62</v>
      </c>
      <c r="C14" s="3" t="s">
        <v>296</v>
      </c>
    </row>
    <row r="15" spans="1:3" x14ac:dyDescent="0.2">
      <c r="A15" t="str">
        <f t="shared" si="0"/>
        <v>div</v>
      </c>
      <c r="B15" t="s">
        <v>198</v>
      </c>
      <c r="C15" s="3" t="s">
        <v>295</v>
      </c>
    </row>
    <row r="16" spans="1:3" x14ac:dyDescent="0.2">
      <c r="A16" t="str">
        <f t="shared" si="0"/>
        <v>pe</v>
      </c>
      <c r="B16" t="s">
        <v>214</v>
      </c>
      <c r="C16" s="3" t="s">
        <v>295</v>
      </c>
    </row>
    <row r="17" spans="1:3" x14ac:dyDescent="0.2">
      <c r="A17" t="str">
        <f t="shared" si="0"/>
        <v>r.enchi</v>
      </c>
      <c r="B17" t="s">
        <v>129</v>
      </c>
      <c r="C17" s="3" t="s">
        <v>297</v>
      </c>
    </row>
    <row r="18" spans="1:3" x14ac:dyDescent="0.2">
      <c r="A18" t="str">
        <f t="shared" si="0"/>
        <v>n</v>
      </c>
      <c r="B18" t="s">
        <v>99</v>
      </c>
      <c r="C18" s="3" t="s">
        <v>296</v>
      </c>
    </row>
    <row r="19" spans="1:3" x14ac:dyDescent="0.2">
      <c r="A19" t="str">
        <f t="shared" si="0"/>
        <v>o</v>
      </c>
      <c r="B19" t="s">
        <v>185</v>
      </c>
      <c r="C19" s="3" t="s">
        <v>297</v>
      </c>
    </row>
    <row r="20" spans="1:3" x14ac:dyDescent="0.2">
      <c r="A20" t="e">
        <f t="shared" si="0"/>
        <v>#VALUE!</v>
      </c>
      <c r="B20" t="s">
        <v>201</v>
      </c>
      <c r="C20" s="3" t="s">
        <v>295</v>
      </c>
    </row>
    <row r="21" spans="1:3" x14ac:dyDescent="0.2">
      <c r="A21" t="str">
        <f t="shared" si="0"/>
        <v>pragnap</v>
      </c>
      <c r="B21" t="s">
        <v>150</v>
      </c>
      <c r="C21" s="3" t="s">
        <v>295</v>
      </c>
    </row>
    <row r="22" spans="1:3" x14ac:dyDescent="0.2">
      <c r="A22" t="str">
        <f t="shared" si="0"/>
        <v>koustav.</v>
      </c>
      <c r="B22" t="s">
        <v>217</v>
      </c>
      <c r="C22" s="3" t="s">
        <v>295</v>
      </c>
    </row>
    <row r="23" spans="1:3" x14ac:dyDescent="0.2">
      <c r="A23" t="str">
        <f t="shared" si="0"/>
        <v>dar</v>
      </c>
      <c r="B23" t="s">
        <v>211</v>
      </c>
      <c r="C23" s="3" t="s">
        <v>296</v>
      </c>
    </row>
    <row r="24" spans="1:3" x14ac:dyDescent="0.2">
      <c r="A24" t="e">
        <f t="shared" si="0"/>
        <v>#VALUE!</v>
      </c>
      <c r="B24" t="s">
        <v>299</v>
      </c>
      <c r="C24" s="3" t="s">
        <v>298</v>
      </c>
    </row>
    <row r="25" spans="1:3" x14ac:dyDescent="0.2">
      <c r="A25" t="str">
        <f t="shared" si="0"/>
        <v>q</v>
      </c>
      <c r="B25" t="s">
        <v>193</v>
      </c>
      <c r="C25" s="3" t="s">
        <v>295</v>
      </c>
    </row>
    <row r="26" spans="1:3" x14ac:dyDescent="0.2">
      <c r="A26" t="str">
        <f t="shared" si="0"/>
        <v>imr</v>
      </c>
      <c r="B26" t="s">
        <v>165</v>
      </c>
      <c r="C26" s="3" t="s">
        <v>297</v>
      </c>
    </row>
    <row r="27" spans="1:3" x14ac:dyDescent="0.2">
      <c r="A27" t="str">
        <f t="shared" si="0"/>
        <v>huss</v>
      </c>
      <c r="B27" t="s">
        <v>168</v>
      </c>
      <c r="C27" s="3" t="s">
        <v>295</v>
      </c>
    </row>
    <row r="28" spans="1:3" x14ac:dyDescent="0.2">
      <c r="A28" t="str">
        <f t="shared" si="0"/>
        <v>kw</v>
      </c>
      <c r="B28" t="s">
        <v>106</v>
      </c>
      <c r="C28" s="3" t="s">
        <v>296</v>
      </c>
    </row>
    <row r="29" spans="1:3" x14ac:dyDescent="0.2">
      <c r="A29" t="str">
        <f t="shared" si="0"/>
        <v>mani</v>
      </c>
      <c r="B29" t="s">
        <v>143</v>
      </c>
      <c r="C29" s="3" t="s">
        <v>298</v>
      </c>
    </row>
    <row r="30" spans="1:3" x14ac:dyDescent="0.2">
      <c r="A30" t="str">
        <f t="shared" si="0"/>
        <v>ra</v>
      </c>
      <c r="B30" t="s">
        <v>300</v>
      </c>
      <c r="C30" s="3" t="s">
        <v>298</v>
      </c>
    </row>
    <row r="31" spans="1:3" x14ac:dyDescent="0.2">
      <c r="A31" t="str">
        <f t="shared" si="0"/>
        <v>navachetha</v>
      </c>
      <c r="B31" t="s">
        <v>92</v>
      </c>
      <c r="C31" s="3" t="s">
        <v>298</v>
      </c>
    </row>
    <row r="32" spans="1:3" x14ac:dyDescent="0.2">
      <c r="A32" t="str">
        <f t="shared" si="0"/>
        <v>nikhil.na</v>
      </c>
      <c r="B32" t="s">
        <v>55</v>
      </c>
      <c r="C32" s="3" t="s">
        <v>298</v>
      </c>
    </row>
    <row r="33" spans="1:3" x14ac:dyDescent="0.2">
      <c r="A33" t="str">
        <f t="shared" si="0"/>
        <v>gopal.na</v>
      </c>
      <c r="B33" t="s">
        <v>95</v>
      </c>
      <c r="C33" s="3" t="s">
        <v>298</v>
      </c>
    </row>
    <row r="34" spans="1:3" x14ac:dyDescent="0.2">
      <c r="A34" t="str">
        <f t="shared" si="0"/>
        <v>s</v>
      </c>
      <c r="B34" t="s">
        <v>80</v>
      </c>
      <c r="C34" s="3" t="s">
        <v>298</v>
      </c>
    </row>
    <row r="35" spans="1:3" x14ac:dyDescent="0.2">
      <c r="A35" t="str">
        <f t="shared" si="0"/>
        <v>um</v>
      </c>
      <c r="B35" t="s">
        <v>68</v>
      </c>
      <c r="C35" s="3" t="s">
        <v>298</v>
      </c>
    </row>
    <row r="36" spans="1:3" x14ac:dyDescent="0.2">
      <c r="A36" t="str">
        <f t="shared" si="0"/>
        <v>q</v>
      </c>
      <c r="B36" t="s">
        <v>47</v>
      </c>
      <c r="C36" s="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6dg-career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Rimell</dc:creator>
  <cp:lastModifiedBy>Stuart Rimell</cp:lastModifiedBy>
  <dcterms:created xsi:type="dcterms:W3CDTF">2026-02-25T13:09:28Z</dcterms:created>
  <dcterms:modified xsi:type="dcterms:W3CDTF">2026-02-27T08:53:48Z</dcterms:modified>
</cp:coreProperties>
</file>