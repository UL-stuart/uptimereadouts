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options/account-meeting-march-26/"/>
    </mc:Choice>
  </mc:AlternateContent>
  <xr:revisionPtr revIDLastSave="0" documentId="13_ncr:9_{B2079041-BDC8-214D-847B-B54B58F31B91}" xr6:coauthVersionLast="47" xr6:coauthVersionMax="47" xr10:uidLastSave="{00000000-0000-0000-0000-000000000000}"/>
  <bookViews>
    <workbookView xWindow="3080" yWindow="2200" windowWidth="28040" windowHeight="17180" activeTab="4" xr2:uid="{809B4E2B-3796-4F41-80F9-FA3CAC9AD9B5}"/>
  </bookViews>
  <sheets>
    <sheet name="GUOT" sheetId="6" r:id="rId1"/>
    <sheet name="airtable" sheetId="5" r:id="rId2"/>
    <sheet name="cohort" sheetId="3" r:id="rId3"/>
    <sheet name="pivot" sheetId="4" r:id="rId4"/>
    <sheet name="Graphs" sheetId="7" r:id="rId5"/>
    <sheet name="optionsdata_for_dashboard" sheetId="1" r:id="rId6"/>
  </sheets>
  <calcPr calcId="191029"/>
  <pivotCaches>
    <pivotCache cacheId="13" r:id="rId7"/>
    <pivotCache cacheId="1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2" i="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2" i="1"/>
</calcChain>
</file>

<file path=xl/sharedStrings.xml><?xml version="1.0" encoding="utf-8"?>
<sst xmlns="http://schemas.openxmlformats.org/spreadsheetml/2006/main" count="3194" uniqueCount="639">
  <si>
    <t>session_start</t>
  </si>
  <si>
    <t>day_of_week</t>
  </si>
  <si>
    <t>duration</t>
  </si>
  <si>
    <t>level</t>
  </si>
  <si>
    <t>name</t>
  </si>
  <si>
    <t>player</t>
  </si>
  <si>
    <t>completion_status</t>
  </si>
  <si>
    <t>identify_scope</t>
  </si>
  <si>
    <t>incident_mechanics</t>
  </si>
  <si>
    <t>external_comms</t>
  </si>
  <si>
    <t>internal_comms</t>
  </si>
  <si>
    <t>commanding_the_incident</t>
  </si>
  <si>
    <t>Complexity: Ambiguous cues (multiple alternatives)</t>
  </si>
  <si>
    <t>Complexity: Attention Demands</t>
  </si>
  <si>
    <t>Complexity: Conflicting Advice</t>
  </si>
  <si>
    <t>Complexity: Decreased access to team members</t>
  </si>
  <si>
    <t>Complexity: Distributed information across individuals/organiza</t>
  </si>
  <si>
    <t>Complexity: Doublebind situations (dilemmas)</t>
  </si>
  <si>
    <t>Complexity: False prime explanations (garden path)</t>
  </si>
  <si>
    <t>Complexity: Hidden coupling (effects at a distance; cascading e</t>
  </si>
  <si>
    <t>Complexity: Implied relationship (red herring)</t>
  </si>
  <si>
    <t>Complexity: Interdependencies amongst roles (someone needs some</t>
  </si>
  <si>
    <t>Complexity: Lack of predefined plan</t>
  </si>
  <si>
    <t>Complexity: Misleading indicators (low predictive value)</t>
  </si>
  <si>
    <t>Complexity: Mismatch between prede fined plans or procedures an</t>
  </si>
  <si>
    <t>Complexity: Missing Information</t>
  </si>
  <si>
    <t>Complexity: Multi Party Dilema</t>
  </si>
  <si>
    <t>Complexity: Multiple simultaneous influences (more than one exp</t>
  </si>
  <si>
    <t>Complexity: Multiple simultaneous influences (multiple explanat</t>
  </si>
  <si>
    <t>Complexity: Saturation</t>
  </si>
  <si>
    <t>Complexity: Simultaneous seperate issues</t>
  </si>
  <si>
    <t>Complexity: Stakeholder Interference</t>
  </si>
  <si>
    <t>Complexity: Stereotype violations (not the usual suspect)</t>
  </si>
  <si>
    <t>Complexity: Stress or fatigue</t>
  </si>
  <si>
    <t>Complexity: Uncertain information (unreliable data)</t>
  </si>
  <si>
    <t>Complexity: Unintended effects (managing side effects)</t>
  </si>
  <si>
    <t>Complexity: Absence of strong signals (no alarms, no threshold</t>
  </si>
  <si>
    <t>max</t>
  </si>
  <si>
    <t>Category: Detecting</t>
  </si>
  <si>
    <t>Category: Sensemaking</t>
  </si>
  <si>
    <t>Category: Planning</t>
  </si>
  <si>
    <t>Category: Deciding</t>
  </si>
  <si>
    <t>Category: Coordination</t>
  </si>
  <si>
    <t>Category: Executing</t>
  </si>
  <si>
    <t>2025-04-30 01:00:00.000 +0100</t>
  </si>
  <si>
    <t>Wednesday</t>
  </si>
  <si>
    <t>Too Good To Be True</t>
  </si>
  <si>
    <t>jack.walsh</t>
  </si>
  <si>
    <t>COMPLETED</t>
  </si>
  <si>
    <t>-</t>
  </si>
  <si>
    <t>OUT_OF_TIME</t>
  </si>
  <si>
    <t>2025-05-01 01:00:00.000 +0100</t>
  </si>
  <si>
    <t xml:space="preserve">Thursday </t>
  </si>
  <si>
    <t>ciara.scullion</t>
  </si>
  <si>
    <t>2025-05-07 01:00:00.000 +0100</t>
  </si>
  <si>
    <t>Bezs Beatles Day!</t>
  </si>
  <si>
    <t>2025-05-08 01:00:00.000 +0100</t>
  </si>
  <si>
    <t>2025-05-12 01:00:00.000 +0100</t>
  </si>
  <si>
    <t xml:space="preserve">Monday   </t>
  </si>
  <si>
    <t>jamie.dow</t>
  </si>
  <si>
    <t>2025-05-16 01:00:00.000 +0100</t>
  </si>
  <si>
    <t xml:space="preserve">Friday   </t>
  </si>
  <si>
    <t>zach.davis</t>
  </si>
  <si>
    <t>2025-05-19 01:00:00.000 +0100</t>
  </si>
  <si>
    <t>2025-05-21 01:00:00.000 +0100</t>
  </si>
  <si>
    <t>ritchie.mcgrath</t>
  </si>
  <si>
    <t>2025-05-22 01:00:00.000 +0100</t>
  </si>
  <si>
    <t>The Big Investor</t>
  </si>
  <si>
    <t>2025-05-28 01:00:00.000 +0100</t>
  </si>
  <si>
    <t>2025-05-29 01:00:00.000 +0100</t>
  </si>
  <si>
    <t>Rumours</t>
  </si>
  <si>
    <t>2025-06-04 01:00:00.000 +0100</t>
  </si>
  <si>
    <t>2025-06-06 01:00:00.000 +0100</t>
  </si>
  <si>
    <t>Radio Silence</t>
  </si>
  <si>
    <t>2025-06-09 01:00:00.000 +0100</t>
  </si>
  <si>
    <t>2025-06-11 01:00:00.000 +0100</t>
  </si>
  <si>
    <t>2025-06-13 01:00:00.000 +0100</t>
  </si>
  <si>
    <t>Missing Delivery</t>
  </si>
  <si>
    <t>2025-06-18 01:00:00.000 +0100</t>
  </si>
  <si>
    <t>2025-06-23 01:00:00.000 +0100</t>
  </si>
  <si>
    <t>2025-06-25 01:00:00.000 +0100</t>
  </si>
  <si>
    <t>2025-06-27 01:00:00.000 +0100</t>
  </si>
  <si>
    <t>peter.graham</t>
  </si>
  <si>
    <t>2025-07-03 01:00:00.000 +0100</t>
  </si>
  <si>
    <t>Memory Lane</t>
  </si>
  <si>
    <t>2025-07-07 01:00:00.000 +0100</t>
  </si>
  <si>
    <t>2025-07-09 01:00:00.000 +0100</t>
  </si>
  <si>
    <t>Roblox</t>
  </si>
  <si>
    <t>2025-07-11 01:00:00.000 +0100</t>
  </si>
  <si>
    <t>2025-07-16 01:00:00.000 +0100</t>
  </si>
  <si>
    <t>2025-07-17 01:00:00.000 +0100</t>
  </si>
  <si>
    <t>2025-07-22 01:00:00.000 +0100</t>
  </si>
  <si>
    <t xml:space="preserve">Tuesday  </t>
  </si>
  <si>
    <t>2025-07-25 01:00:00.000 +0100</t>
  </si>
  <si>
    <t>2025-07-30 01:00:00.000 +0100</t>
  </si>
  <si>
    <t>The Chain</t>
  </si>
  <si>
    <t>2025-08-01 01:00:00.000 +0100</t>
  </si>
  <si>
    <t>2025-08-08 01:00:00.000 +0100</t>
  </si>
  <si>
    <t>2025-08-12 01:00:00.000 +0100</t>
  </si>
  <si>
    <t>2025-08-13 01:00:00.000 +0100</t>
  </si>
  <si>
    <t>The Switch</t>
  </si>
  <si>
    <t>2025-08-15 01:00:00.000 +0100</t>
  </si>
  <si>
    <t>2025-08-21 01:00:00.000 +0100</t>
  </si>
  <si>
    <t>2025-08-29 01:00:00.000 +0100</t>
  </si>
  <si>
    <t>2025-09-05 01:00:00.000 +0100</t>
  </si>
  <si>
    <t>2025-09-11 01:00:00.000 +0100</t>
  </si>
  <si>
    <t>Too Good To Be True V2</t>
  </si>
  <si>
    <t>aoife.breen</t>
  </si>
  <si>
    <t>2025-09-12 01:00:00.000 +0100</t>
  </si>
  <si>
    <t>2025-09-17 01:00:00.000 +0100</t>
  </si>
  <si>
    <t>emma.allsopp</t>
  </si>
  <si>
    <t>DEFCON 1</t>
  </si>
  <si>
    <t>2025-09-22 01:00:00.000 +0100</t>
  </si>
  <si>
    <t>First day blues</t>
  </si>
  <si>
    <t>storm.chambers</t>
  </si>
  <si>
    <t>2025-09-25 01:00:00.000 +0100</t>
  </si>
  <si>
    <t>2025-09-26 01:00:00.000 +0100</t>
  </si>
  <si>
    <t>2025-10-01 01:00:00.000 +0100</t>
  </si>
  <si>
    <t>caoimhe.kelly</t>
  </si>
  <si>
    <t>Bezs Beatles Day! V2</t>
  </si>
  <si>
    <t>2025-10-02 01:00:00.000 +0100</t>
  </si>
  <si>
    <t>2025-10-03 01:00:00.000 +0100</t>
  </si>
  <si>
    <t>2025-10-07 01:00:00.000 +0100</t>
  </si>
  <si>
    <t>The Big Investor V2</t>
  </si>
  <si>
    <t>sinead.glennon</t>
  </si>
  <si>
    <t>2025-10-08 01:00:00.000 +0100</t>
  </si>
  <si>
    <t>2025-10-10 01:00:00.000 +0100</t>
  </si>
  <si>
    <t>2025-10-14 01:00:00.000 +0100</t>
  </si>
  <si>
    <t>2025-10-15 01:00:00.000 +0100</t>
  </si>
  <si>
    <t>2025-10-16 01:00:00.000 +0100</t>
  </si>
  <si>
    <t>2025-10-17 01:00:00.000 +0100</t>
  </si>
  <si>
    <t>elsa.savage</t>
  </si>
  <si>
    <t>2025-10-21 01:00:00.000 +0100</t>
  </si>
  <si>
    <t>2025-10-22 01:00:00.000 +0100</t>
  </si>
  <si>
    <t>2025-10-24 01:00:00.000 +0100</t>
  </si>
  <si>
    <t>james.sheppy</t>
  </si>
  <si>
    <t>2025-10-28 00:00:00.000 +0000</t>
  </si>
  <si>
    <t>leah.murphy</t>
  </si>
  <si>
    <t>2025-10-29 00:00:00.000 +0000</t>
  </si>
  <si>
    <t>2025-10-30 00:00:00.000 +0000</t>
  </si>
  <si>
    <t>amelia.horwood</t>
  </si>
  <si>
    <t>2025-10-31 00:00:00.000 +0000</t>
  </si>
  <si>
    <t>2025-11-04 00:00:00.000 +0000</t>
  </si>
  <si>
    <t>ellie.walsh</t>
  </si>
  <si>
    <t>2025-11-05 00:00:00.000 +0000</t>
  </si>
  <si>
    <t>2025-11-06 00:00:00.000 +0000</t>
  </si>
  <si>
    <t>donnchadh.tierney</t>
  </si>
  <si>
    <t>2025-11-07 00:00:00.000 +0000</t>
  </si>
  <si>
    <t>Version confusion</t>
  </si>
  <si>
    <t>2025-11-11 00:00:00.000 +0000</t>
  </si>
  <si>
    <t>2025-11-12 00:00:00.000 +0000</t>
  </si>
  <si>
    <t>Missing Delivery V2</t>
  </si>
  <si>
    <t>2025-11-14 00:00:00.000 +0000</t>
  </si>
  <si>
    <t>2025-11-18 00:00:00.000 +0000</t>
  </si>
  <si>
    <t>mark.mcgarry</t>
  </si>
  <si>
    <t>2025-11-19 00:00:00.000 +0000</t>
  </si>
  <si>
    <t>2025-11-20 00:00:00.000 +0000</t>
  </si>
  <si>
    <t>2025-11-21 00:00:00.000 +0000</t>
  </si>
  <si>
    <t>2025-11-25 00:00:00.000 +0000</t>
  </si>
  <si>
    <t>2025-11-26 00:00:00.000 +0000</t>
  </si>
  <si>
    <t>2025-11-27 00:00:00.000 +0000</t>
  </si>
  <si>
    <t>2025-12-02 00:00:00.000 +0000</t>
  </si>
  <si>
    <t>2025-12-03 00:00:00.000 +0000</t>
  </si>
  <si>
    <t>2025-12-04 00:00:00.000 +0000</t>
  </si>
  <si>
    <t>2025-12-08 00:00:00.000 +0000</t>
  </si>
  <si>
    <t>jessica.mcdonald</t>
  </si>
  <si>
    <t>2025-12-09 00:00:00.000 +0000</t>
  </si>
  <si>
    <t>2025-12-10 00:00:00.000 +0000</t>
  </si>
  <si>
    <t>Breaking Bez</t>
  </si>
  <si>
    <t>2025-12-11 00:00:00.000 +0000</t>
  </si>
  <si>
    <t>2025-12-12 00:00:00.000 +0000</t>
  </si>
  <si>
    <t>2025-12-16 00:00:00.000 +0000</t>
  </si>
  <si>
    <t>2025-12-17 00:00:00.000 +0000</t>
  </si>
  <si>
    <t>Cart-astrophe</t>
  </si>
  <si>
    <t>2025-12-18 00:00:00.000 +0000</t>
  </si>
  <si>
    <t>2026-01-06 00:00:00.000 +0000</t>
  </si>
  <si>
    <t>2026-01-08 00:00:00.000 +0000</t>
  </si>
  <si>
    <t>2026-01-09 00:00:00.000 +0000</t>
  </si>
  <si>
    <t>2026-01-13 00:00:00.000 +0000</t>
  </si>
  <si>
    <t>2026-01-14 00:00:00.000 +0000</t>
  </si>
  <si>
    <t>2026-01-15 00:00:00.000 +0000</t>
  </si>
  <si>
    <t>2026-01-16 00:00:00.000 +0000</t>
  </si>
  <si>
    <t>2026-01-19 00:00:00.000 +0000</t>
  </si>
  <si>
    <t>2026-01-20 00:00:00.000 +0000</t>
  </si>
  <si>
    <t>2026-01-21 00:00:00.000 +0000</t>
  </si>
  <si>
    <t>2026-01-22 00:00:00.000 +0000</t>
  </si>
  <si>
    <t>2026-01-29 00:00:00.000 +0000</t>
  </si>
  <si>
    <t>2026-02-03 00:00:00.000 +0000</t>
  </si>
  <si>
    <t>2026-02-04 00:00:00.000 +0000</t>
  </si>
  <si>
    <t>2026-02-06 00:00:00.000 +0000</t>
  </si>
  <si>
    <t>2026-02-09 00:00:00.000 +0000</t>
  </si>
  <si>
    <t>2026-02-12 00:00:00.000 +0000</t>
  </si>
  <si>
    <t>2026-02-23 00:00:00.000 +0000</t>
  </si>
  <si>
    <t>2026-02-24 00:00:00.000 +0000</t>
  </si>
  <si>
    <t>2026-02-25 00:00:00.000 +0000</t>
  </si>
  <si>
    <t>2026-03-02 00:00:00.000 +0000</t>
  </si>
  <si>
    <t>patrick.collins</t>
  </si>
  <si>
    <t>2026-03-03 00:00:00.000 +0000</t>
  </si>
  <si>
    <t>2026-03-05 00:00:00.000 +0000</t>
  </si>
  <si>
    <t>2026-03-10 00:00:00.000 +0000</t>
  </si>
  <si>
    <t>2026-03-16 00:00:00.000 +0000</t>
  </si>
  <si>
    <t>Details Matter</t>
  </si>
  <si>
    <t>month</t>
  </si>
  <si>
    <t>Row Labels</t>
  </si>
  <si>
    <t>(blank)</t>
  </si>
  <si>
    <t>Grand Total</t>
  </si>
  <si>
    <t>Count of session_start</t>
  </si>
  <si>
    <t>cohort</t>
  </si>
  <si>
    <t>x</t>
  </si>
  <si>
    <t>(All)</t>
  </si>
  <si>
    <t>Karan</t>
  </si>
  <si>
    <t>Options IT</t>
  </si>
  <si>
    <t>Ritchie</t>
  </si>
  <si>
    <t>Rishi</t>
  </si>
  <si>
    <t>James</t>
  </si>
  <si>
    <t>Ed</t>
  </si>
  <si>
    <t>Intro</t>
  </si>
  <si>
    <t>Ruairi</t>
  </si>
  <si>
    <t>The Chain,Grounding Workshop</t>
  </si>
  <si>
    <t>Amelia</t>
  </si>
  <si>
    <t>Donnchadh</t>
  </si>
  <si>
    <t>Emma</t>
  </si>
  <si>
    <t>Caoimhe</t>
  </si>
  <si>
    <t>Aoife</t>
  </si>
  <si>
    <t>Double check if he is going to attend</t>
  </si>
  <si>
    <t>checked</t>
  </si>
  <si>
    <t>Onboarding,Too Good To Be True V2</t>
  </si>
  <si>
    <t>Ciaran</t>
  </si>
  <si>
    <t>Leah</t>
  </si>
  <si>
    <t>Matthew</t>
  </si>
  <si>
    <t>Elsa</t>
  </si>
  <si>
    <t>Account Meeting</t>
  </si>
  <si>
    <t>Move to every 2 weeks</t>
  </si>
  <si>
    <t>Rumours V2</t>
  </si>
  <si>
    <t>Jessica</t>
  </si>
  <si>
    <t>Bez Beatles Day V2</t>
  </si>
  <si>
    <t>Patrick</t>
  </si>
  <si>
    <t>No Show</t>
  </si>
  <si>
    <t>Ciara</t>
  </si>
  <si>
    <t>Attended</t>
  </si>
  <si>
    <t>Mentioned it is worth doing these sessions every 6-9 sessions, sees the benefit of them</t>
  </si>
  <si>
    <t>No Score</t>
  </si>
  <si>
    <t>Asked about the score but didn't get a number , didn't want to ruin a good session with a pushed answered from customer</t>
  </si>
  <si>
    <t>Profile Report</t>
  </si>
  <si>
    <t>Mark</t>
  </si>
  <si>
    <t>Declined the invite</t>
  </si>
  <si>
    <t>Cancelled</t>
  </si>
  <si>
    <t>Ellie</t>
  </si>
  <si>
    <t xml:space="preserve">Nice drill. Easy to find a resolution, but difficult to pull people on board . Didnt share her screen to ask about the score and improvements </t>
  </si>
  <si>
    <t>Ask for feedback, she is canceling too much maybe move her to 2 weeks</t>
  </si>
  <si>
    <t>Good one. I could have asked more specific questions to Hamed about his change, asking for more evidences like logs</t>
  </si>
  <si>
    <t>Jack</t>
  </si>
  <si>
    <t>An incident came up</t>
  </si>
  <si>
    <t>Late Cancellation</t>
  </si>
  <si>
    <t>She now has work scheduled at this time</t>
  </si>
  <si>
    <t>busy with work</t>
  </si>
  <si>
    <t>Currently busy in the office at the minute after moving building</t>
  </si>
  <si>
    <t>On a business trip to HK</t>
  </si>
  <si>
    <t>mentioned that this time suits him but also if it's possible he would like a session at 8;30 UK if possible. @Mildred Ranque </t>
  </si>
  <si>
    <t>She's been pulled into something urgent</t>
  </si>
  <si>
    <t xml:space="preserve">he said it was a chaotic drill and enjoyed it </t>
  </si>
  <si>
    <t>Cart-astroph</t>
  </si>
  <si>
    <t>Jamie</t>
  </si>
  <si>
    <t>Out this week due to bereavement</t>
  </si>
  <si>
    <t>Feedback please</t>
  </si>
  <si>
    <t>He is OOO</t>
  </si>
  <si>
    <t>Feedback @Naz Mostoufi check session plan</t>
  </si>
  <si>
    <t>Zach</t>
  </si>
  <si>
    <t xml:space="preserve">she found the session helpful, liked the suggestion of playing an older drill </t>
  </si>
  <si>
    <t>Maybe play an older drill before advancing to the harder ones, hasn't played in a few weeks</t>
  </si>
  <si>
    <t>Charlene</t>
  </si>
  <si>
    <t>it was nice to see 2 separate issues, it was different from other drills</t>
  </si>
  <si>
    <t>Next session should be profile ? @Mildred Ranque 
Yes, that is correct @Eduards Stalmaconoks </t>
  </si>
  <si>
    <t>Had a last minute clash</t>
  </si>
  <si>
    <t>Rescheduled</t>
  </si>
  <si>
    <t>it didn't seem like she remembered this drill which was good, accidentally had her play the big investor v2. regardless she liked the drill and the fact it wasn't too difficult</t>
  </si>
  <si>
    <t>play Bez Beatles Day V2 next</t>
  </si>
  <si>
    <t>The Big Investors</t>
  </si>
  <si>
    <t>Felt human-like interactions with bots. This is very cool. He enjoyed it</t>
  </si>
  <si>
    <t>Double check to use not AI version</t>
  </si>
  <si>
    <t>In the middle of something</t>
  </si>
  <si>
    <t>didn't have too much time to talk about drill since she had to drop to another meeting</t>
  </si>
  <si>
    <t>Version Confusion</t>
  </si>
  <si>
    <t>Did not provide any reason</t>
  </si>
  <si>
    <t>mentioned that session was relevant ot her job</t>
  </si>
  <si>
    <t>clash of meeting, they have corparate dinner and meeting at the same time, asked to resheedule for later or earlier since he is in asia</t>
  </si>
  <si>
    <t>Really enjoyed the session today, she was a bit rusty as its been a month from her last session but she got the drill in the end</t>
  </si>
  <si>
    <t xml:space="preserve">Liked the drill and was happy to see a change from the regular narratives where they are always change related, this being 3rd party was refreshing </t>
  </si>
  <si>
    <t xml:space="preserve">He likes matter most over slack.
</t>
  </si>
  <si>
    <t>An incident has just come up on their side</t>
  </si>
  <si>
    <t>He now has meetings on Thursdays</t>
  </si>
  <si>
    <t>Does PIR timelines all the time, i could see this score improving over time with the more in depth PIR's we have</t>
  </si>
  <si>
    <t>PIR on Switch</t>
  </si>
  <si>
    <t>Out of office</t>
  </si>
  <si>
    <t>Will not be able to join</t>
  </si>
  <si>
    <t>Naz</t>
  </si>
  <si>
    <t>Unable to join today.</t>
  </si>
  <si>
    <t>Good to have everything explained in details for PIR</t>
  </si>
  <si>
    <t>A few of his teammates are on AL this week so its quite busy</t>
  </si>
  <si>
    <t xml:space="preserve">During drill player was trying to reproduce an issue and  was facing 500 error during the placing order stage.
After recovered and end drill states were triggered, the error was still persistent </t>
  </si>
  <si>
    <t>INC-402 Roblox (OB showed 500 error in cart)</t>
  </si>
  <si>
    <t>Drill was great, can't think of anything that it's missing. It was realistic enough</t>
  </si>
  <si>
    <t>seemed postive throughout the session - I kept the session interactive asking questions on the scenario to ensure you understood the root cause thoroughly as she completed the drill quickly</t>
  </si>
  <si>
    <t xml:space="preserve">Enjoyed it. Much better than the last time. This time, Bez was calm, which is good. </t>
  </si>
  <si>
    <t xml:space="preserve">Amazing drill. Wasn't expecting it to be combo of networks and security. Network incidents are always trivial for him </t>
  </si>
  <si>
    <t>Currently undergoing a building move. </t>
  </si>
  <si>
    <t>Some users can't view reports
users mark.mcgarry@options-it.com &amp; daniel.houlihan@storiogroup.com
This is not company specific issue
Clarified: page refreshed, logged in and out. Lead operator can view the reports but in user the network tab can be clearly seen 403 is unauthorized.</t>
  </si>
  <si>
    <t>INC-399 users can't view reports</t>
  </si>
  <si>
    <t>had couple hiccups during the session, guessing mayas introduction was slightly to obvious</t>
  </si>
  <si>
    <t>On sick leave</t>
  </si>
  <si>
    <t xml:space="preserve">to get to a higher, she wanted more info at the start of the drill to explain why some users didnt have any isues </t>
  </si>
  <si>
    <t>use Stu Check list</t>
  </si>
  <si>
    <t xml:space="preserve">Said the drill was too short and needs more time due to the nature of this narrative </t>
  </si>
  <si>
    <t>she struggled with the difficulty of the the drill - she did watch the videos and found it useful</t>
  </si>
  <si>
    <t>The links to the site came up by themselves for this user, for the first time</t>
  </si>
  <si>
    <t>Grounding Workshop,The Switch</t>
  </si>
  <si>
    <t>He is looking forward to see a PIR where he didn't do so well to see where can he improve and what he missed</t>
  </si>
  <si>
    <t>Score is between 8/9 but if the first number is 8 he mentioned it's most likely the once that resonates closer to what he feels</t>
  </si>
  <si>
    <t>PIR on Breaking Bez</t>
  </si>
  <si>
    <t>There was an internal town hall sent out last-minute</t>
  </si>
  <si>
    <t>Dont forget Check list</t>
  </si>
  <si>
    <t>couldn't start a drill</t>
  </si>
  <si>
    <t>Abandoned Session</t>
  </si>
  <si>
    <t>It was good. Slightly confusing with Ads and recommendations. Should've pulled in team early</t>
  </si>
  <si>
    <t xml:space="preserve">Definitely sees the value in these training sessions, says its soo similar to what she does in work herself.
Helps her get used to the pressure of an incident in a controlled environment.
Other than the pressure, she can also see her external comms improving.
Has nothing to bring up on her own but really likes the product and is enjoying each of the drills.
To get more than 7 she said to show more stats on the profile, i then went through the profile pages, but more with he and she said that's what she was talking about and took back the statement. </t>
  </si>
  <si>
    <t>due to unexpected work commitments.</t>
  </si>
  <si>
    <t>Due to unexpected work commitments.</t>
  </si>
  <si>
    <t>Did not provide any reason.</t>
  </si>
  <si>
    <t>Something urgent has popped up</t>
  </si>
  <si>
    <t>Something urgent has popped up and she needs to join a client at 3:00 PM.</t>
  </si>
  <si>
    <t>There's a snowstorm in the US and she's WFH with only on one screen. She asked to reschedule instead.</t>
  </si>
  <si>
    <t>She learned a lot from the drill despite not completing it on time</t>
  </si>
  <si>
    <t>She's been pulled into a meeting this afternoon that clashes with the session</t>
  </si>
  <si>
    <t>Storm</t>
  </si>
  <si>
    <t>She liked the drill, felt the characters were slow and had to ask more direct questions (she types really quickly)</t>
  </si>
  <si>
    <t>Issue with submitting feedback form on mattermost</t>
  </si>
  <si>
    <t xml:space="preserve">Liked the drill and understands the importance of grounding and how to use it </t>
  </si>
  <si>
    <t>Won't be able to make it this week</t>
  </si>
  <si>
    <t xml:space="preserve">Liked the drill, He wanted to fill out the PIR himself because he done well in the actual drill </t>
  </si>
  <si>
    <t>She enjoyed the Profile a lot, we talked about a lot of the qualities of an Incident responder and the convo had a lot of focus on taking command and business comms</t>
  </si>
  <si>
    <t xml:space="preserve">He liked the drill. didnt say too much more </t>
  </si>
  <si>
    <t>It was a good drill due to resemblence it has with what they do in options IT</t>
  </si>
  <si>
    <t>He's busy for the past 2 weeks</t>
  </si>
  <si>
    <t>liked the drill, didn't have any questions or any comments about it</t>
  </si>
  <si>
    <t>try to organise a team drill in near future</t>
  </si>
  <si>
    <t xml:space="preserve">Straightforward drill like earlier ones. Recovery took time to bring up the services - (its narrative issue, beacuse in chain it brings 2-3 services in an order, so it takes times. Need to adjust the messages in recovered state )
Why 7 and what it'd take to get 10 ? 
1. Changes in grafana brings more realism. Or even the wiki link must be provided before the drill itself.
2. The scenario didn't test different working theory where we have a chance of taking the wrong theory and later getting invalidated. 
3. Tougher drills, as the scenario so far looks generic 
</t>
  </si>
  <si>
    <t>On an incident call right now</t>
  </si>
  <si>
    <t>mentiened that it felt realistic</t>
  </si>
  <si>
    <t>Aim for next session is to focus on restoration over root cause. She seemed to like it.</t>
  </si>
  <si>
    <t>Matthew L</t>
  </si>
  <si>
    <t>getting used to MM and new character</t>
  </si>
  <si>
    <t xml:space="preserve">Drill was good. Rolling back more than one deployments. 
A bit rusty to figure out whom to tag </t>
  </si>
  <si>
    <t>was slightly rusty, drill felt slightly difficult affecting his overall GUOT</t>
  </si>
  <si>
    <t>Internal Reschedule/Cancellation</t>
  </si>
  <si>
    <t>Reaching out to 3rd party PCS was great. This time Bez was quite talkative in business comms
Operator feedback on AI: 
Context has been clearly met. There are lots of long messages in both inc and biz channel . Good thing  - Not letting player close an incident without validations from different sources. 
Indirect PIR question from Bez shouldn't be there at the end</t>
  </si>
  <si>
    <t>Something came up</t>
  </si>
  <si>
    <t xml:space="preserve">session plan maybe breaking bez
</t>
  </si>
  <si>
    <t>move her to every 2 weeks</t>
  </si>
  <si>
    <t>mentioned it was fresh to look at something that isn't a sev 1</t>
  </si>
  <si>
    <t>Vcluster connection issues</t>
  </si>
  <si>
    <t>INC-375 Vcluster connection issues</t>
  </si>
  <si>
    <t>Had to cancel due to internal issues. Vcluster connection issues</t>
  </si>
  <si>
    <t xml:space="preserve">Enjoyed the profile report, likes that she can see all the stars and where to improve on </t>
  </si>
  <si>
    <t xml:space="preserve">Found this very insightful. Getting to know what has been covered so far really refreshes everything and especially the areas of improvement and how to overcome same. </t>
  </si>
  <si>
    <t xml:space="preserve">Enjoyed the drill and can tell he is getting </t>
  </si>
  <si>
    <t>She liked that drill and feels an improvement compared to her previous one</t>
  </si>
  <si>
    <t>we can move him to every 2 wekks</t>
  </si>
  <si>
    <t xml:space="preserve">Mentioned that there is a benefit in proile sessions, 
score for profile is between 8/9
</t>
  </si>
  <si>
    <t>Attendance confirmed</t>
  </si>
  <si>
    <t xml:space="preserve">This was fun. Not my best till now, took time in getting email service restarted and the rollback. Good learning </t>
  </si>
  <si>
    <t>if she is going to play</t>
  </si>
  <si>
    <t>session plan (I moved him to 2 weeks last session did i not?   -Matthew)</t>
  </si>
  <si>
    <t>Test Mattermost</t>
  </si>
  <si>
    <t>couldn't start the drill in MM</t>
  </si>
  <si>
    <t>had small struggle at the beggining due to MM glitch , decided to play a diffferent drill which worked out fine</t>
  </si>
  <si>
    <t>something new every week, good experience every time</t>
  </si>
  <si>
    <t xml:space="preserve">Loved the drill. Narrowing down the scope is very important. Had a similar issue a few weeks back on my browser </t>
  </si>
  <si>
    <t>They have a Christmas party</t>
  </si>
  <si>
    <t>Mentioned that session was really useful</t>
  </si>
  <si>
    <t>off next week 18th(no session) , 8 jan is back to session</t>
  </si>
  <si>
    <t>Liked the drill, said the pressure was good.
Went well, told him about the PIR's and how we run some of them differently, I told him when they do the PIR on the switch we can gather the teams documents and send them over to him, he liked this idea.
Also sent over the completed PIR so he could take a look at it</t>
  </si>
  <si>
    <t>Either PIR or Breaking Bez
Move every 2 weeks</t>
  </si>
  <si>
    <t>PIR on Switch,Breaking Bez</t>
  </si>
  <si>
    <t xml:space="preserve">Very realistic - This is a third party and outside team control .
great validation before making any decisions .
The challenge of waiting for 3rd party </t>
  </si>
  <si>
    <t>He is the manager. Plan is to play and understand what is the drill about so in Jan we offer this to the team</t>
  </si>
  <si>
    <t>Peter</t>
  </si>
  <si>
    <t>Liked the drill</t>
  </si>
  <si>
    <t xml:space="preserve">Absolutely different than previous ones. </t>
  </si>
  <si>
    <t>Move her every 2 weeks</t>
  </si>
  <si>
    <t xml:space="preserve">He sees the value in the PIR and looking back on his own logs </t>
  </si>
  <si>
    <t>she really struggled with this drill. spent a lot of time explaining retro actively what went wrong and skills to improve on. the difficulty of this drill reflects in the score</t>
  </si>
  <si>
    <t>Said it was a good drill , he was able to figure out it's going to be a local issue pretty much from the beginning</t>
  </si>
  <si>
    <t>he played big investor, updated to rumours</t>
  </si>
  <si>
    <t>Really liked the drill, and felt the pressure of the drill</t>
  </si>
  <si>
    <t>Onboarding,Too Good To Be True</t>
  </si>
  <si>
    <t>good drill to understand if the issues been happening for a while and why</t>
  </si>
  <si>
    <t>next session on 5th or 12th</t>
  </si>
  <si>
    <t>Finds PIR sessions beneficaial as they are allowing to reflect on what was missed during the investigation and drill</t>
  </si>
  <si>
    <t>PIR on Memory Lane</t>
  </si>
  <si>
    <t>She liked the drill, never had an experience with 2 issues at the same time</t>
  </si>
  <si>
    <t>Been pulled into some work</t>
  </si>
  <si>
    <t>Something has come up unfortunately</t>
  </si>
  <si>
    <t>She is very hands on troubleshhoter and wants to investigate herself, this is what's missing to get to 10</t>
  </si>
  <si>
    <t>Was pretty happy with drill and learning outcomes</t>
  </si>
  <si>
    <t>Realistic. Got to learn about being careful while doing a rollback and checking people's availability in the beginning itself</t>
  </si>
  <si>
    <t>she definitely felt this drill was an advanced drill. gave her some feedback about involving more team members and being more formal in the business. she was very receptive to the feedback</t>
  </si>
  <si>
    <t>He has a work call that came up</t>
  </si>
  <si>
    <t xml:space="preserve">definately an advanced one. Enjoyed playing it, got to know on how to reach out 3rd party here in UL drills. Also, felt silly on herself while escalating it to Bez rather than Tinus - CTO </t>
  </si>
  <si>
    <t>she liked the learnings of this drill and wanted to hear feedback, talked top her about working theory and grounding</t>
  </si>
  <si>
    <t>Positive session overall, we touched base on cadence, overall performance and talked depth about business coms</t>
  </si>
  <si>
    <t>He asked to move to Mondays</t>
  </si>
  <si>
    <t>Seemed very interested in the whole process and liked the session</t>
  </si>
  <si>
    <t>Bez Beatles Day</t>
  </si>
  <si>
    <t>She is currently in their NYC office and have to pop out to see a client at the last minute</t>
  </si>
  <si>
    <t xml:space="preserve">He said this was a good drill </t>
  </si>
  <si>
    <t>She liked that drill - found it easier compared to previous drills played. She completed the drill quickly so I spent more time giving her comprehensive feedback in preparation for the harder drills</t>
  </si>
  <si>
    <t xml:space="preserve">He found this one interesting. </t>
  </si>
  <si>
    <t>She was pretty please with her performance and didn't have any questions</t>
  </si>
  <si>
    <t>feedback on the session was positive.</t>
  </si>
  <si>
    <t>Stuart</t>
  </si>
  <si>
    <t>PIR on Defcon1</t>
  </si>
  <si>
    <t>Nice and short session, she is pretty happy with uptimelabs engagement</t>
  </si>
  <si>
    <t>Didn't press for the GUOT number since that would ruin the session closure</t>
  </si>
  <si>
    <t xml:space="preserve">Good one. Realistic scenario and the messages during the chat </t>
  </si>
  <si>
    <t>Said it was good and he needs to familiarise with team more</t>
  </si>
  <si>
    <t xml:space="preserve">Would like to know his team's work on this (I told him we would send him a message about this when his team starts The Switch drill)
Was a good drill and he liked it a lot, He thinks his team will get in the habit of thinking its all change-related to wants to see how they do </t>
  </si>
  <si>
    <t>She said she wasn't in the best mindset to play the drill and didn't fully understand what was happening. explained the drill afterwards and she said she would've understood more if she took the time to read the context. it would seem her enjoyment correlates to her skill in the drill</t>
  </si>
  <si>
    <t>It was good - day to day problem .
What would take it 10 :
I need incident with high pressure</t>
  </si>
  <si>
    <t xml:space="preserve">Good one. Applied the working theory instantly as she handles customers directly </t>
  </si>
  <si>
    <t>learned something new as she hadn't heard about chaos testing before so she found the drill more challenging as it wasn't change related</t>
  </si>
  <si>
    <t>@Mildred Ranquehe will be OOO next tuesday but he can play same time next wednesday or following week</t>
  </si>
  <si>
    <t>It was good intro level. he was pretty pleased with drill</t>
  </si>
  <si>
    <t>He's up to his neck at the moment</t>
  </si>
  <si>
    <t xml:space="preserve">Liked the drill. Got a bit lost when daniel pushed back and could have been more commanding in his instructions. </t>
  </si>
  <si>
    <t>They have a work issue that she needs to address</t>
  </si>
  <si>
    <t>Karan, Missing Delivery</t>
  </si>
  <si>
    <t>Joe</t>
  </si>
  <si>
    <t>Is always looking forward to drills as you don't know what will happen</t>
  </si>
  <si>
    <t>Gives on avergage 8/9</t>
  </si>
  <si>
    <t>Liked the drill, thought it was interesting as there were vendors involved. said she could relate to it in work</t>
  </si>
  <si>
    <t>Elsa has given 6 &amp; 7 for all previous drills. She seemed quite happy with Rumors as it was rather different from previous drill she's played</t>
  </si>
  <si>
    <t xml:space="preserve">This one was technical and liked the scenario. She discussed about the toughest part in hadnling incident is whom to escalate and which team owns it. </t>
  </si>
  <si>
    <t>Retrospective helps great - During an incident , the learning is less since we are focussed on resolution - When we do these retrospective actions - We can see ourselves and do much better</t>
  </si>
  <si>
    <t>Found that drill more difficult than the onboarding but she felt she learned something from the drill and she had a smile on her face</t>
  </si>
  <si>
    <t>It was my mistake. I accidentally removed him from the invite instead of Karan.</t>
  </si>
  <si>
    <t>Drew</t>
  </si>
  <si>
    <t>She will me on holidays next week</t>
  </si>
  <si>
    <t>It was good drill that made you think, very logical drill</t>
  </si>
  <si>
    <t>Would like it to be more independent and have more hand on the approach</t>
  </si>
  <si>
    <t>There's an urgent meeting that she needs to attend to</t>
  </si>
  <si>
    <t xml:space="preserve">She found the issue very common and liked the drill very much
</t>
  </si>
  <si>
    <t>Finds this interesting and will take the feedback on board for her next sessions</t>
  </si>
  <si>
    <t>Move her to every 2 weeks</t>
  </si>
  <si>
    <t>She enjoyed the session very much. She gave us a score of 7, as she wasn’t expecting the AI bot to respond so much like a human.
We need to remind her GUOT is about experience as she clearly said this is fun and very common issue.</t>
  </si>
  <si>
    <t>felt the simulations are quite realistic in terms of emulating stress felt in real life scenarios, was surprised by the promptness of the characters</t>
  </si>
  <si>
    <t>states failed to trigger so I had to improvise!</t>
  </si>
  <si>
    <t>James gave hs score verbally as we were talking after the drill and by the time he got around to pressing the button the drill had spun down</t>
  </si>
  <si>
    <t>Something has came up</t>
  </si>
  <si>
    <t>won't be training with us too long; he is here to see the product and understand the value it can bring to his team and report on that, and will stop sessions soon to swap with one of his team members. (This is a good thing that he is stopping, not to be looked at as a bad thing)</t>
  </si>
  <si>
    <t>Liked the drill and found it challenging. This is an average score for this user</t>
  </si>
  <si>
    <t>Something has come up last minute.</t>
  </si>
  <si>
    <t xml:space="preserve">It was good
, The character response was precise - </t>
  </si>
  <si>
    <t>She is not generous with GUOT</t>
  </si>
  <si>
    <t xml:space="preserve">Loved how realistic the drills are </t>
  </si>
  <si>
    <t xml:space="preserve">Really liked the drill and says we captured the feeling of a real drill
Every 6 months they does a phishing workshop </t>
  </si>
  <si>
    <t>OOO on 10-16th, would prefer sessions anytime from 11:30-12:30 on thursdays</t>
  </si>
  <si>
    <t>it wasn't a client facing  issue and it was different</t>
  </si>
  <si>
    <t>had wrong session plan, changes to radio silence</t>
  </si>
  <si>
    <t>Felt the difference from the intermediate drills, said that the drill was very true to life with the engagement to third parties and the resolution with Hamed having connections to reduce the ETA</t>
  </si>
  <si>
    <t xml:space="preserve">The drill was good compared to last time. The score reflects more on Daniel's behavior. She didn't know that bots would argue to her commands given in chat. 
What it'd take to get 10 ? 
Ensuring the fact that people know that the bots would argue as well and they are like humans </t>
  </si>
  <si>
    <t>she could feel the difference between the advanced drills and the intermediate. Learned a lot from playing the simulation. Quite a good score considering the minor incident at the start of the call</t>
  </si>
  <si>
    <t>Waiting screen timed out</t>
  </si>
  <si>
    <t xml:space="preserve">Quite busy but pretty good - Surprised that mediation steps </t>
  </si>
  <si>
    <t>Defcon1</t>
  </si>
  <si>
    <t>Tends to score around this mark - it may increase as the drills get harder as she fully understands the learnings of each of the beginner drills</t>
  </si>
  <si>
    <t xml:space="preserve">She has a meeting today and she's heading to Singapore until new year and asked to pause her sessions.
</t>
  </si>
  <si>
    <t>She is heading to Singapore with work until new year and he asked to pause his sessions.</t>
  </si>
  <si>
    <t>Sinéad</t>
  </si>
  <si>
    <t>She's in London for client meetings</t>
  </si>
  <si>
    <t xml:space="preserve">Felt like a 5 min drill with how stressful it was. Really enjoyed this drill </t>
  </si>
  <si>
    <t xml:space="preserve">It was a good one. She has never seen ransomware attack. Had to follow up between channels a lot. </t>
  </si>
  <si>
    <t>Can you ask Joe MC to join your call to check the issue</t>
  </si>
  <si>
    <t>Running late</t>
  </si>
  <si>
    <t>score is more reflection as to how i did but i had a lot of fun</t>
  </si>
  <si>
    <t>Last session was August</t>
  </si>
  <si>
    <t>Still blocked from Slack</t>
  </si>
  <si>
    <t>Was stuck on the lobby wait screen</t>
  </si>
  <si>
    <t>Said she likes how these drills run, is looking forward to more of them</t>
  </si>
  <si>
    <t>Double check with Product Team everything is ok</t>
  </si>
  <si>
    <t>It was a good one. He liked the drill where most of the issues happen due to changes. However, he rated 7 initially , because he want to see more challenge coming on his way. This was simple for him to follow up 
Initially he gave 7, but while discussing he said he'd give 9 for this. And to make it 10, its his personal choice where he like to experience more challenge.</t>
  </si>
  <si>
    <t>Something has come up with work</t>
  </si>
  <si>
    <t>She had a whitelisting issue , UL is blocked</t>
  </si>
  <si>
    <t>she wasn't sharing her screen and I didn't realise she hadn't submitted the feedback form.
However!!! She is enjoying the drills and the platform and seems eager to play more drills</t>
  </si>
  <si>
    <t>she felt nervous going into the drill but had a strong sense of relief/ satisfaction once the drill was completed</t>
  </si>
  <si>
    <t xml:space="preserve">He really enjoyed the drill. He commented that the stakeholder interaction and back and fore between Daniel and Shay on possible cause was excellent.
</t>
  </si>
  <si>
    <t xml:space="preserve">the session failed to start so I directed him directly to a slack link. This has happened to 3 options it folks recently
</t>
  </si>
  <si>
    <t>The frontend timer is not ending even after the session starts</t>
  </si>
  <si>
    <t>INC-312 Frontend is not marking ready form frist time players</t>
  </si>
  <si>
    <t>She said playing the drill was fun. i asked more about the reasoning behind the score as she really liked out the platform gave her the stressful feeling of being in a p1. She said it was because this was her first drill with us, so her own performance is in the drill is linked with the score given.</t>
  </si>
  <si>
    <t>Slack is not opening</t>
  </si>
  <si>
    <t>"I have learned a lot I just need more practice and get better at structure"</t>
  </si>
  <si>
    <t>Need to remove some AI post drill stars for big investor</t>
  </si>
  <si>
    <t>When in the session with zach.davis@options-it.com he seemed to have some connection issues, we aborted he first drill and made a new one, in the new one he was stuck in the waiting screen and refreshing didn't help</t>
  </si>
  <si>
    <t>INC-305 Client session wasn't moving to the screen with the chat links and w…</t>
  </si>
  <si>
    <t>Had some issues in the session, not sure if it was on our end as he was having some network issues during the call.</t>
  </si>
  <si>
    <t xml:space="preserve">this was a good practice over a security issue. And it was totally different than the previous ones where it used to be just the changes </t>
  </si>
  <si>
    <t>she is on leave till 30th Sep</t>
  </si>
  <si>
    <t>Let them know that the issue with missing sessions on the report page, caused by an incident, has now been resolved.</t>
  </si>
  <si>
    <t>Her daughter is ill and will not be able to attend</t>
  </si>
  <si>
    <t>INformative session to look thru the performance</t>
  </si>
  <si>
    <t>Something has come up last minute in work</t>
  </si>
  <si>
    <t>Impressed to play this drill. It was indeed tough and never faced such issue earlier , have faced such an intrusion to only a server . 
Definitely a good exercise, and I found the playbook to be very helpful</t>
  </si>
  <si>
    <t>utilized the session to the maximum, found it very interesting</t>
  </si>
  <si>
    <t>N/A</t>
  </si>
  <si>
    <t>Enjoyed having to work with the new character Maya</t>
  </si>
  <si>
    <t>"It was much simplier to use platform than I expected"</t>
  </si>
  <si>
    <t>He's in NYC this week and will not be able to attend</t>
  </si>
  <si>
    <t xml:space="preserve">player timed out do to state( recover not working) </t>
  </si>
  <si>
    <t xml:space="preserve">https://uptime-labs.atlassian.net/browse/INC-290
</t>
  </si>
  <si>
    <t>He enjoyed it. He was very stressed and in a rush. Since he is going to be off next week, he wanted to go over the sessions. He needs to work on sizing up.
There was nothing else to improve in order to reach a 10.</t>
  </si>
  <si>
    <t>He is currently in the middle of a critical issue</t>
  </si>
  <si>
    <t xml:space="preserve">Different to other drills - get the rest of the team involved, for next time need to check dependencies with changes as well </t>
  </si>
  <si>
    <t>Leon</t>
  </si>
  <si>
    <t>I didn’t receive any message about canceling today. I pinged him to confirm and got a prompt that he’s OOO.</t>
  </si>
  <si>
    <t>Move him to every 2 weeks</t>
  </si>
  <si>
    <t>The session was quite useful as it's something he  does quite often and can relate to</t>
  </si>
  <si>
    <t>Last-minute conflict</t>
  </si>
  <si>
    <t>@Joseph Mckevitt He gave us 5 last session</t>
  </si>
  <si>
    <t xml:space="preserve">Similar to the last drill 
Play the switch next </t>
  </si>
  <si>
    <t xml:space="preserve">Liked the drill and the fact is was 3rd party service related </t>
  </si>
  <si>
    <t>They're dealing with a critical issue at the moment</t>
  </si>
  <si>
    <t xml:space="preserve">Liked this drill; overall was an ok drill.
Didn't talk a whole lot on the drill </t>
  </si>
  <si>
    <t>Juan</t>
  </si>
  <si>
    <t>He was surprised by this drill, he said he felt unfulfilled and post drill he said he "failed" the drill. I mentioned to him he needs to work on communicating and co-ordinating the team and step away from his role as an SRE however, because he couldn't' resolve the incident he felt like he hadn't learnt anything and was lost.
I would recommend he replay the chain again and f he got some expert coaching on grounding and communication. To preface he watched the videos prior to playing but I think he needs a more personalised feedback session</t>
  </si>
  <si>
    <t>Maram</t>
  </si>
  <si>
    <t>He's been OOO for the past couple of weeks unexpectedly.</t>
  </si>
  <si>
    <t>Clara</t>
  </si>
  <si>
    <t>It's a good exercise to ask questions and do more investigation before jumping to any conclusions</t>
  </si>
  <si>
    <t>Someone has scheduled a call to cover a real P1</t>
  </si>
  <si>
    <t xml:space="preserve">This session was good, got to know where she's lacking and how to overcome it, understood all with the help of examples in each star under a pillar where she lacked highly. </t>
  </si>
  <si>
    <t>"All good". It was visible that h hasn't played in a while and struggled with core structure</t>
  </si>
  <si>
    <t>Liked the drill but towards the end was confused about the cause of the issue</t>
  </si>
  <si>
    <t xml:space="preserve">Made a comment on the load times of the different pages**
other than that he liked the drill </t>
  </si>
  <si>
    <t>He declined invite</t>
  </si>
  <si>
    <t>She is OOO</t>
  </si>
  <si>
    <t xml:space="preserve">Grounding... shared hte content - he is going to try practice in the next couple of drills.
I also told him to focus on impact assessment in the first 5-10mins of each dirll (metrics, reproducign the error and asking probing questiosn to bob)
I also told him we will line him up for challenge drill i Sept (note he going off to get married at the end of the Sept)
I also said we will look at seeing how far/close he is to getting certificated
</t>
  </si>
  <si>
    <t>Had only grounding with Joe, will have a session next week</t>
  </si>
  <si>
    <t>Grounding Workshop</t>
  </si>
  <si>
    <t xml:space="preserve">Stressful. Learned the lesson of prioritization by doing impact analysis. </t>
  </si>
  <si>
    <t>Moved schedule to Tuesdays</t>
  </si>
  <si>
    <t>Pinged him at the 5-minute waiting mark and received an OOO prompt.</t>
  </si>
  <si>
    <t>Was stressed that we cannot see the issue .
Why 10 ?
Its great to have a scenario which is not direct customer impact but definately a tech issue</t>
  </si>
  <si>
    <t>He said that this drill was better than the previous one, it's more relatable to what they do at work. Also he only had 30 minutes for ful indepth analysis due tomeeting clash</t>
  </si>
  <si>
    <t>He has an on-going project work.</t>
  </si>
  <si>
    <t>He is online but he has a few things to do.</t>
  </si>
  <si>
    <t>He is OOO until July 15</t>
  </si>
  <si>
    <t>She enjoyed this drill a lot compared to previous drills</t>
  </si>
  <si>
    <t>He's busy at work</t>
  </si>
  <si>
    <t>Liked the drill but gave a 7 because he didn't know that he could have contacted the network team so this was annoying for himself.</t>
  </si>
  <si>
    <t>Quite stressfull - I thought it is interesting since we got options to rollback .
Log messages were usefull - and great to see all characters and error messages being accurate</t>
  </si>
  <si>
    <t>The engineers were almost re-learning the architecture as the drill progressed, maps with reality a lot of the time
enjoyed it and liked the 'don't delete log files aspect' he said thats super important in his world...  you don't delete anything in the finanical world.... so he likes the idea that everyone who joins uptimelabs will have an opportunity to learn that experience.</t>
  </si>
  <si>
    <t>Demo,Memory Lane</t>
  </si>
  <si>
    <t>Reason why 4
a lot that was mentioned in profile report session was covered during the 2nd session, this made session repetative.
If more time had passed this session would have been a better use of time</t>
  </si>
  <si>
    <t>Follow Jack session</t>
  </si>
  <si>
    <t>He asked to cancel and did not provide any reason.</t>
  </si>
  <si>
    <t>He will speak with his team about possibly adjusting his schedule or withdrawing from sessions.</t>
  </si>
  <si>
    <t>Demo</t>
  </si>
  <si>
    <t>He liked the drill since it was different compared to the previous 3 drills. The drill had an isolated issue, which was a pleasant surprise</t>
  </si>
  <si>
    <t>Solo lead operator experiment</t>
  </si>
  <si>
    <t xml:space="preserve">error while trying to checkout using JYP currency, waiting for recording to proccess to create a ticket
</t>
  </si>
  <si>
    <t>INC-242 Radio silence JYP currency error</t>
  </si>
  <si>
    <t>The drill was interesting, but the error he saw during the JYP checkout threw him off. Drill does a good job of mimicking people being unavailable and on PTO</t>
  </si>
  <si>
    <t>She had a meeting that overran and mentioned she would join as soon as possible, but she still asked to reschedule.</t>
  </si>
  <si>
    <t>It was a nice and short drill, after dealing with so many P1's, and nice to remember that sometimes you don't need to over-engineer things and go with the obvious solution</t>
  </si>
  <si>
    <t>He liked the drill, and he is looking forward to trying Missing delivery +. Also, he is keen to know where he sits within the team/company
feedback on Jack that we can note for the coaching
Peter recommended that we help Jack with practicing facts over opinion (validating advice, feedback from the investigating Devs)</t>
  </si>
  <si>
    <t>Added some notes for his next session</t>
  </si>
  <si>
    <t>Something has come up and won't be able to join the session today.</t>
  </si>
  <si>
    <t>She enjoyed the session liked that it was different from other drills she's played as it wasn't changed related. Her confidence seems to have risen as she's engaging with the characters really well, just mentioned she needs to focus now on the business comms.</t>
  </si>
  <si>
    <t>Next session: Missing Delivery</t>
  </si>
  <si>
    <t>When op console froze for about 40 seconds during a CS session, character messages or stars weren't getting sent on time due to it</t>
  </si>
  <si>
    <t xml:space="preserve">Why 8 ? 
He liked the experience but mentioned it to be very similar to the previous one - same error and same issues (Daniel) , that's why less challenging than earlier one. 
</t>
  </si>
  <si>
    <t xml:space="preserve">
He needs to focus on impact assessment (nail that over the next 1 or 2 drills) - didn't spot the local issue quickly in Rumours
Enjoyed the session, find it useful to practice drills once a week especially since they are booked into the calendar
My notes (Joe)
* happy to play week, but i recomemended after baout 6, we will reduce the cadence to fortnighlty
* he did ask about a profile session (i suggest he gets in the next 1 or 2 sesssion)
</t>
  </si>
  <si>
    <t xml:space="preserve">its good. He liked the push of not getting something easily as it was not caused due to a change. And he wants to play more sort of these drills where change is not a culprit. </t>
  </si>
  <si>
    <t>He thinks drill do very well as for what they are designed for. He is looking forward to his next session</t>
  </si>
  <si>
    <t>She observed Tanya's unresponsiveness. Liked the different scenario as it brings different experience every time</t>
  </si>
  <si>
    <t>Asked to reschedule the following day</t>
  </si>
  <si>
    <t>The k8s dashboard doesn't show up in teleport.
We need to add states</t>
  </si>
  <si>
    <t>INC-229 Drill Kubernetes Dashboard not registering in teleport</t>
  </si>
  <si>
    <t xml:space="preserve">Interesting how some engineers can push back - Felt realistic .
Surprise : I thought tough to tell senior engineer to tell to look back at their work .
Why 9 ?
Nothing comes to my mind - I could give a 10 </t>
  </si>
  <si>
    <t>There's a live issue</t>
  </si>
  <si>
    <t>Early Cancellation</t>
  </si>
  <si>
    <t>can't join</t>
  </si>
  <si>
    <t xml:space="preserve">Liking the overall setup of tools and dashboards. 
Why 8?
She was rating the drill as it was just for a single user. Earlier ones were impacting regions or the global scale. </t>
  </si>
  <si>
    <t>Rishi and Karan were already in the call</t>
  </si>
  <si>
    <t>What could make it 10 ?
I think, it was probably a 10  - i put 9 because that he should have picked it up well but he should have used team to do the job</t>
  </si>
  <si>
    <t xml:space="preserve">Enjoying it, and good to experience how it's getting more challenging every week. She finds it realistic and the drill's resemblance to real-life at work as well. </t>
  </si>
  <si>
    <t xml:space="preserve">Much better than what i was expecting - Surprised with the fact that the character responses are so relevant .
What can we do to make it 10 :
Slight confusion of being overwhelmed with too many tasks - this might change once i get familiar with platform </t>
  </si>
  <si>
    <t>It was stress-ful - a lot to think about - Like the human element of it due to resistance to roll back .
Why 8 : 
He might not be absolute demography for this since he is seasoned Incident manager - He would give 10 if he learn something new - In this specific incident he didn't learn anything new</t>
  </si>
  <si>
    <t xml:space="preserve">He likes the platform. He is going to use the platform and looking forward to play more drills
</t>
  </si>
  <si>
    <t>Conail</t>
  </si>
  <si>
    <t>Intro,Onboarding,Too Good To Be True</t>
  </si>
  <si>
    <t>Due to conference</t>
  </si>
  <si>
    <t xml:space="preserve">Human responses are realistic - 
Impressed with great responses from BOTS - 
Surprise : How speedy the BOTS responded and it was human like .
Why 8 ??:
Options we use different tool set which are different than what we use in Online Boutique - If they can integrate the tools they use in Options IT in OB - That would be great </t>
  </si>
  <si>
    <t xml:space="preserve">Good close to reality , bit more difficult than last time. 
What did the player like or find surprising?
The way Dan was adamant over his change. 
Why did she gave this score ? 
Nothing major comments when asked. Getting along with the platform. 
</t>
  </si>
  <si>
    <t xml:space="preserve">Ritchie is in IT Options from 7 montsh and has overall 5 year sof experience .
His role is Tech support engineer and they are client facing , gets information from clients and feed it to tech team - Biggest challenge during P1 is to get the engineers responsible to bring on cal to resolve incident </t>
  </si>
  <si>
    <t xml:space="preserve">Surprise : Senior engineer pushing back can happen in real life </t>
  </si>
  <si>
    <t>He has a call during this time</t>
  </si>
  <si>
    <t>She is a young Technical Support Engineer, handling security and various issues. She found our platform similar to real-life scenarios and liked it, although she may need a bit more time to get used to it. Her confidence level is around 6–7. She has 1.5 years of experience, all within Options IT.</t>
  </si>
  <si>
    <t>He was caught up in a meeting</t>
  </si>
  <si>
    <t xml:space="preserve">He scored 8 since he thought its his performance and since LO was guiding him - he felt he could've done much better . He liked the simulation platform and getting used to Slack .
For Drill he owuld definitly score 10 </t>
  </si>
  <si>
    <t>Jamie is Operations team Engineer for Change Release - He has more than 15 years of experience in Option-IT right from first line support engineer to Change manager .
He covers change mgmt, CAB calls, Operation calls and customer communication during Major Incidents .
UK and US time has better incident management coverage compared to APAC due to less experienced and junior staff in APAC</t>
  </si>
  <si>
    <t>Notes for Mildred</t>
  </si>
  <si>
    <t>Technical Issue Reason</t>
  </si>
  <si>
    <t>Technical Issues</t>
  </si>
  <si>
    <t>INC #</t>
  </si>
  <si>
    <t>Attendance Reason</t>
  </si>
  <si>
    <t>Attendance</t>
  </si>
  <si>
    <t>Feedback Notes</t>
  </si>
  <si>
    <t>Feedback Quality Score</t>
  </si>
  <si>
    <t>Session ID</t>
  </si>
  <si>
    <t>Score Notes</t>
  </si>
  <si>
    <t>GUOT</t>
  </si>
  <si>
    <t>Session Notes</t>
  </si>
  <si>
    <t>Star Guru</t>
  </si>
  <si>
    <t>Lead</t>
  </si>
  <si>
    <t>AI</t>
  </si>
  <si>
    <t>Session Plan</t>
  </si>
  <si>
    <t>Sessions Done</t>
  </si>
  <si>
    <t>Company</t>
  </si>
  <si>
    <t>Name</t>
  </si>
  <si>
    <t>Time</t>
  </si>
  <si>
    <t>Date</t>
  </si>
  <si>
    <t>Average of GUOT</t>
  </si>
  <si>
    <t>Incident Mechanics</t>
  </si>
  <si>
    <t>Commanding The Incident</t>
  </si>
  <si>
    <t>Internal Comms</t>
  </si>
  <si>
    <t>External Comms</t>
  </si>
  <si>
    <t>Identify Scope</t>
  </si>
  <si>
    <t>Session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</si>
</sst>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2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8" fillId="0" borderId="0" xfId="0" applyFont="1" applyAlignment="1">
      <alignment horizontal="left"/>
    </xf>
    <xf numFmtId="0" fontId="19" fillId="0" borderId="0" xfId="0" applyFont="1"/>
    <xf numFmtId="0" fontId="0" fillId="0" borderId="0" xfId="0" applyAlignment="1">
      <alignment horizontal="left" indent="1"/>
    </xf>
    <xf numFmtId="18" fontId="0" fillId="0" borderId="0" xfId="0" applyNumberFormat="1"/>
    <xf numFmtId="0" fontId="0" fillId="0" borderId="0" xfId="0" applyAlignment="1">
      <alignment wrapText="1"/>
    </xf>
    <xf numFmtId="14" fontId="0" fillId="0" borderId="0" xfId="0" applyNumberFormat="1" applyAlignment="1">
      <alignment horizontal="left"/>
    </xf>
    <xf numFmtId="9"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2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[optionsdata_and_charts.xlsx]GUOT!PivotTable3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 Of Time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GUOT!$B$3</c:f>
              <c:strCache>
                <c:ptCount val="1"/>
                <c:pt idx="0">
                  <c:v>Total</c:v>
                </c:pt>
              </c:strCache>
            </c:strRef>
          </c:tx>
          <c:spPr>
            <a:ln w="28575" cap="rnd">
              <a:solidFill>
                <a:schemeClr val="accent1"/>
              </a:solidFill>
              <a:round/>
            </a:ln>
            <a:effectLst/>
          </c:spPr>
          <c:marker>
            <c:symbol val="none"/>
          </c:marker>
          <c:cat>
            <c:strRef>
              <c:f>GUOT!$A$4:$A$17</c:f>
              <c:strCache>
                <c:ptCount val="13"/>
                <c:pt idx="0">
                  <c:v>01/04/2025</c:v>
                </c:pt>
                <c:pt idx="1">
                  <c:v>01/05/2025</c:v>
                </c:pt>
                <c:pt idx="2">
                  <c:v>01/06/2025</c:v>
                </c:pt>
                <c:pt idx="3">
                  <c:v>01/07/2025</c:v>
                </c:pt>
                <c:pt idx="4">
                  <c:v>01/08/2025</c:v>
                </c:pt>
                <c:pt idx="5">
                  <c:v>01/09/2025</c:v>
                </c:pt>
                <c:pt idx="6">
                  <c:v>01/10/2025</c:v>
                </c:pt>
                <c:pt idx="7">
                  <c:v>01/11/2025</c:v>
                </c:pt>
                <c:pt idx="8">
                  <c:v>01/12/2025</c:v>
                </c:pt>
                <c:pt idx="9">
                  <c:v>01/01/2026</c:v>
                </c:pt>
                <c:pt idx="10">
                  <c:v>01/02/2026</c:v>
                </c:pt>
                <c:pt idx="11">
                  <c:v>01/03/2026</c:v>
                </c:pt>
                <c:pt idx="12">
                  <c:v>(blank)</c:v>
                </c:pt>
              </c:strCache>
            </c:strRef>
          </c:cat>
          <c:val>
            <c:numRef>
              <c:f>GUOT!$B$4:$B$17</c:f>
              <c:numCache>
                <c:formatCode>General</c:formatCode>
                <c:ptCount val="13"/>
                <c:pt idx="0">
                  <c:v>8</c:v>
                </c:pt>
                <c:pt idx="1">
                  <c:v>9</c:v>
                </c:pt>
                <c:pt idx="2">
                  <c:v>9.7272727272727266</c:v>
                </c:pt>
                <c:pt idx="3">
                  <c:v>9</c:v>
                </c:pt>
                <c:pt idx="4">
                  <c:v>9.1111111111111107</c:v>
                </c:pt>
                <c:pt idx="5">
                  <c:v>9.25</c:v>
                </c:pt>
                <c:pt idx="6">
                  <c:v>8.9259259259259256</c:v>
                </c:pt>
                <c:pt idx="7">
                  <c:v>8.8275862068965516</c:v>
                </c:pt>
                <c:pt idx="8">
                  <c:v>9.1428571428571423</c:v>
                </c:pt>
                <c:pt idx="9">
                  <c:v>9.0500000000000007</c:v>
                </c:pt>
                <c:pt idx="10">
                  <c:v>8.6666666666666661</c:v>
                </c:pt>
                <c:pt idx="11">
                  <c:v>9.1666666666666661</c:v>
                </c:pt>
              </c:numCache>
            </c:numRef>
          </c:val>
          <c:smooth val="1"/>
          <c:extLst>
            <c:ext xmlns:c16="http://schemas.microsoft.com/office/drawing/2014/chart" uri="{C3380CC4-5D6E-409C-BE32-E72D297353CC}">
              <c16:uniqueId val="{00000000-04DA-C84A-9C94-0C8B5A481E6E}"/>
            </c:ext>
          </c:extLst>
        </c:ser>
        <c:dLbls>
          <c:showLegendKey val="0"/>
          <c:showVal val="0"/>
          <c:showCatName val="0"/>
          <c:showSerName val="0"/>
          <c:showPercent val="0"/>
          <c:showBubbleSize val="0"/>
        </c:dLbls>
        <c:smooth val="0"/>
        <c:axId val="2147463872"/>
        <c:axId val="307795647"/>
      </c:lineChart>
      <c:catAx>
        <c:axId val="21474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95647"/>
        <c:crosses val="autoZero"/>
        <c:auto val="1"/>
        <c:lblAlgn val="ctr"/>
        <c:lblOffset val="100"/>
        <c:noMultiLvlLbl val="0"/>
      </c:catAx>
      <c:valAx>
        <c:axId val="307795647"/>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46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[optionsdata_and_charts.xlsx]pivot!PivotTable2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multiLvlStrRef>
              <c:f>pivot!$A$4:$A$26</c:f>
              <c:multiLvlStrCache>
                <c:ptCount val="18"/>
                <c:lvl>
                  <c:pt idx="0">
                    <c:v>ciara.scullion</c:v>
                  </c:pt>
                  <c:pt idx="1">
                    <c:v>jack.walsh</c:v>
                  </c:pt>
                  <c:pt idx="2">
                    <c:v>jamie.dow</c:v>
                  </c:pt>
                  <c:pt idx="3">
                    <c:v>ritchie.mcgrath</c:v>
                  </c:pt>
                  <c:pt idx="4">
                    <c:v>zach.davis</c:v>
                  </c:pt>
                  <c:pt idx="5">
                    <c:v>aoife.breen</c:v>
                  </c:pt>
                  <c:pt idx="6">
                    <c:v>ellie.walsh</c:v>
                  </c:pt>
                  <c:pt idx="7">
                    <c:v>elsa.savage</c:v>
                  </c:pt>
                  <c:pt idx="8">
                    <c:v>emma.allsopp</c:v>
                  </c:pt>
                  <c:pt idx="9">
                    <c:v>sinead.glennon</c:v>
                  </c:pt>
                  <c:pt idx="10">
                    <c:v>storm.chambers</c:v>
                  </c:pt>
                  <c:pt idx="11">
                    <c:v>amelia.horwood</c:v>
                  </c:pt>
                  <c:pt idx="12">
                    <c:v>donnchadh.tierney</c:v>
                  </c:pt>
                  <c:pt idx="13">
                    <c:v>james.sheppy</c:v>
                  </c:pt>
                  <c:pt idx="14">
                    <c:v>leah.murphy</c:v>
                  </c:pt>
                  <c:pt idx="15">
                    <c:v>mark.mcgarry</c:v>
                  </c:pt>
                  <c:pt idx="16">
                    <c:v>jessica.mcdonald</c:v>
                  </c:pt>
                  <c:pt idx="17">
                    <c:v>patrick.collins</c:v>
                  </c:pt>
                </c:lvl>
                <c:lvl>
                  <c:pt idx="0">
                    <c:v>1</c:v>
                  </c:pt>
                  <c:pt idx="5">
                    <c:v>2</c:v>
                  </c:pt>
                  <c:pt idx="11">
                    <c:v>3</c:v>
                  </c:pt>
                  <c:pt idx="16">
                    <c:v>4</c:v>
                  </c:pt>
                </c:lvl>
              </c:multiLvlStrCache>
            </c:multiLvlStrRef>
          </c:cat>
          <c:val>
            <c:numRef>
              <c:f>pivot!$B$4:$B$26</c:f>
              <c:numCache>
                <c:formatCode>General</c:formatCode>
                <c:ptCount val="18"/>
                <c:pt idx="0">
                  <c:v>13</c:v>
                </c:pt>
                <c:pt idx="1">
                  <c:v>14</c:v>
                </c:pt>
                <c:pt idx="2">
                  <c:v>13</c:v>
                </c:pt>
                <c:pt idx="3">
                  <c:v>10</c:v>
                </c:pt>
                <c:pt idx="4">
                  <c:v>8</c:v>
                </c:pt>
                <c:pt idx="5">
                  <c:v>11</c:v>
                </c:pt>
                <c:pt idx="6">
                  <c:v>9</c:v>
                </c:pt>
                <c:pt idx="7">
                  <c:v>9</c:v>
                </c:pt>
                <c:pt idx="8">
                  <c:v>10</c:v>
                </c:pt>
                <c:pt idx="9">
                  <c:v>1</c:v>
                </c:pt>
                <c:pt idx="10">
                  <c:v>7</c:v>
                </c:pt>
                <c:pt idx="11">
                  <c:v>7</c:v>
                </c:pt>
                <c:pt idx="12">
                  <c:v>6</c:v>
                </c:pt>
                <c:pt idx="13">
                  <c:v>7</c:v>
                </c:pt>
                <c:pt idx="14">
                  <c:v>8</c:v>
                </c:pt>
                <c:pt idx="15">
                  <c:v>8</c:v>
                </c:pt>
                <c:pt idx="16">
                  <c:v>5</c:v>
                </c:pt>
                <c:pt idx="17">
                  <c:v>1</c:v>
                </c:pt>
              </c:numCache>
            </c:numRef>
          </c:val>
          <c:extLst>
            <c:ext xmlns:c16="http://schemas.microsoft.com/office/drawing/2014/chart" uri="{C3380CC4-5D6E-409C-BE32-E72D297353CC}">
              <c16:uniqueId val="{00000000-63B1-8542-9051-C0A5683840C4}"/>
            </c:ext>
          </c:extLst>
        </c:ser>
        <c:dLbls>
          <c:showLegendKey val="0"/>
          <c:showVal val="0"/>
          <c:showCatName val="0"/>
          <c:showSerName val="0"/>
          <c:showPercent val="0"/>
          <c:showBubbleSize val="0"/>
        </c:dLbls>
        <c:gapWidth val="219"/>
        <c:overlap val="-27"/>
        <c:axId val="289104639"/>
        <c:axId val="289108223"/>
      </c:barChart>
      <c:catAx>
        <c:axId val="28910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player and 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108223"/>
        <c:crosses val="autoZero"/>
        <c:auto val="1"/>
        <c:lblAlgn val="ctr"/>
        <c:lblOffset val="100"/>
        <c:noMultiLvlLbl val="0"/>
      </c:catAx>
      <c:valAx>
        <c:axId val="28910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10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pivot!$B$58</c:f>
              <c:strCache>
                <c:ptCount val="1"/>
                <c:pt idx="0">
                  <c:v>Incident Mechanics</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Pt>
            <c:idx val="9"/>
            <c:invertIfNegative val="0"/>
            <c:bubble3D val="0"/>
            <c:spPr>
              <a:solidFill>
                <a:schemeClr val="accent4">
                  <a:lumMod val="60000"/>
                </a:schemeClr>
              </a:solidFill>
              <a:ln>
                <a:noFill/>
              </a:ln>
              <a:effectLst/>
            </c:spPr>
          </c:dPt>
          <c:dPt>
            <c:idx val="10"/>
            <c:invertIfNegative val="0"/>
            <c:bubble3D val="0"/>
            <c:spPr>
              <a:solidFill>
                <a:schemeClr val="accent5">
                  <a:lumMod val="60000"/>
                </a:schemeClr>
              </a:solidFill>
              <a:ln>
                <a:noFill/>
              </a:ln>
              <a:effectLst/>
            </c:spPr>
          </c:dPt>
          <c:dPt>
            <c:idx val="11"/>
            <c:invertIfNegative val="0"/>
            <c:bubble3D val="0"/>
            <c:spPr>
              <a:solidFill>
                <a:schemeClr val="accent6">
                  <a:lumMod val="60000"/>
                </a:schemeClr>
              </a:solidFill>
              <a:ln>
                <a:noFill/>
              </a:ln>
              <a:effectLst/>
            </c:spPr>
          </c:dPt>
          <c:dPt>
            <c:idx val="12"/>
            <c:invertIfNegative val="0"/>
            <c:bubble3D val="0"/>
            <c:spPr>
              <a:solidFill>
                <a:schemeClr val="accent1">
                  <a:lumMod val="80000"/>
                  <a:lumOff val="20000"/>
                </a:schemeClr>
              </a:solidFill>
              <a:ln>
                <a:noFill/>
              </a:ln>
              <a:effectLst/>
            </c:spPr>
          </c:dPt>
          <c:dPt>
            <c:idx val="13"/>
            <c:invertIfNegative val="0"/>
            <c:bubble3D val="0"/>
            <c:spPr>
              <a:solidFill>
                <a:schemeClr val="accent2">
                  <a:lumMod val="80000"/>
                  <a:lumOff val="20000"/>
                </a:schemeClr>
              </a:solidFill>
              <a:ln>
                <a:noFill/>
              </a:ln>
              <a:effectLst/>
            </c:spPr>
          </c:dPt>
          <c:dPt>
            <c:idx val="14"/>
            <c:invertIfNegative val="0"/>
            <c:bubble3D val="0"/>
            <c:spPr>
              <a:solidFill>
                <a:schemeClr val="accent3">
                  <a:lumMod val="80000"/>
                  <a:lumOff val="20000"/>
                </a:schemeClr>
              </a:solidFill>
              <a:ln>
                <a:noFill/>
              </a:ln>
              <a:effectLst/>
            </c:spPr>
          </c:dPt>
          <c:dPt>
            <c:idx val="15"/>
            <c:invertIfNegative val="0"/>
            <c:bubble3D val="0"/>
            <c:spPr>
              <a:solidFill>
                <a:schemeClr val="accent4">
                  <a:lumMod val="80000"/>
                  <a:lumOff val="20000"/>
                </a:schemeClr>
              </a:solidFill>
              <a:ln>
                <a:noFill/>
              </a:ln>
              <a:effectLst/>
            </c:spPr>
          </c:dPt>
          <c:dPt>
            <c:idx val="16"/>
            <c:invertIfNegative val="0"/>
            <c:bubble3D val="0"/>
            <c:spPr>
              <a:solidFill>
                <a:schemeClr val="accent5">
                  <a:lumMod val="80000"/>
                  <a:lumOff val="20000"/>
                </a:schemeClr>
              </a:solidFill>
              <a:ln>
                <a:noFill/>
              </a:ln>
              <a:effectLst/>
            </c:spPr>
          </c:dPt>
          <c:dPt>
            <c:idx val="17"/>
            <c:invertIfNegative val="0"/>
            <c:bubble3D val="0"/>
            <c:spPr>
              <a:solidFill>
                <a:schemeClr val="accent6">
                  <a:lumMod val="80000"/>
                  <a:lumOff val="20000"/>
                </a:schemeClr>
              </a:solidFill>
              <a:ln>
                <a:noFill/>
              </a:ln>
              <a:effectLst/>
            </c:spPr>
          </c:dPt>
          <c:dPt>
            <c:idx val="18"/>
            <c:invertIfNegative val="0"/>
            <c:bubble3D val="0"/>
            <c:spPr>
              <a:solidFill>
                <a:schemeClr val="accent1">
                  <a:lumMod val="80000"/>
                </a:schemeClr>
              </a:solidFill>
              <a:ln>
                <a:noFill/>
              </a:ln>
              <a:effectLst/>
            </c:spPr>
          </c:dPt>
          <c:dPt>
            <c:idx val="19"/>
            <c:invertIfNegative val="0"/>
            <c:bubble3D val="0"/>
            <c:spPr>
              <a:solidFill>
                <a:schemeClr val="accent2">
                  <a:lumMod val="80000"/>
                </a:schemeClr>
              </a:solidFill>
              <a:ln>
                <a:noFill/>
              </a:ln>
              <a:effectLst/>
            </c:spPr>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pivot!$B$59:$B$78</c:f>
              <c:numCache>
                <c:formatCode>0%</c:formatCode>
                <c:ptCount val="20"/>
                <c:pt idx="0">
                  <c:v>0.78571428571428603</c:v>
                </c:pt>
                <c:pt idx="1">
                  <c:v>1</c:v>
                </c:pt>
                <c:pt idx="2">
                  <c:v>0.875</c:v>
                </c:pt>
                <c:pt idx="3">
                  <c:v>0.84615384615384615</c:v>
                </c:pt>
                <c:pt idx="4">
                  <c:v>0.83333333333333337</c:v>
                </c:pt>
                <c:pt idx="5">
                  <c:v>0.72222222222222221</c:v>
                </c:pt>
                <c:pt idx="6">
                  <c:v>0.72222222222222221</c:v>
                </c:pt>
                <c:pt idx="7">
                  <c:v>1</c:v>
                </c:pt>
                <c:pt idx="8">
                  <c:v>0.8571428571428571</c:v>
                </c:pt>
                <c:pt idx="9">
                  <c:v>0.5714285714285714</c:v>
                </c:pt>
                <c:pt idx="10">
                  <c:v>0.96153846153846156</c:v>
                </c:pt>
                <c:pt idx="11">
                  <c:v>0.6</c:v>
                </c:pt>
                <c:pt idx="12">
                  <c:v>0.5625</c:v>
                </c:pt>
                <c:pt idx="13">
                  <c:v>1</c:v>
                </c:pt>
                <c:pt idx="14">
                  <c:v>0.5</c:v>
                </c:pt>
                <c:pt idx="15">
                  <c:v>0.75</c:v>
                </c:pt>
                <c:pt idx="16">
                  <c:v>1</c:v>
                </c:pt>
                <c:pt idx="17">
                  <c:v>0.5</c:v>
                </c:pt>
                <c:pt idx="18">
                  <c:v>0.5714285714285714</c:v>
                </c:pt>
                <c:pt idx="19">
                  <c:v>0.9375</c:v>
                </c:pt>
              </c:numCache>
            </c:numRef>
          </c:val>
          <c:extLst>
            <c:ext xmlns:c16="http://schemas.microsoft.com/office/drawing/2014/chart" uri="{C3380CC4-5D6E-409C-BE32-E72D297353CC}">
              <c16:uniqueId val="{00000000-D691-3A40-8601-65FA06EED893}"/>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pivot!$C$58</c:f>
              <c:strCache>
                <c:ptCount val="1"/>
                <c:pt idx="0">
                  <c:v>Commanding The Incident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75-7D4C-BAF9-5FCC53BC8B1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75-7D4C-BAF9-5FCC53BC8B1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75-7D4C-BAF9-5FCC53BC8B1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75-7D4C-BAF9-5FCC53BC8B1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75-7D4C-BAF9-5FCC53BC8B1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B75-7D4C-BAF9-5FCC53BC8B1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B75-7D4C-BAF9-5FCC53BC8B1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B75-7D4C-BAF9-5FCC53BC8B1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B75-7D4C-BAF9-5FCC53BC8B1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B75-7D4C-BAF9-5FCC53BC8B1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B75-7D4C-BAF9-5FCC53BC8B1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B75-7D4C-BAF9-5FCC53BC8B1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B75-7D4C-BAF9-5FCC53BC8B1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B75-7D4C-BAF9-5FCC53BC8B1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B75-7D4C-BAF9-5FCC53BC8B1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B75-7D4C-BAF9-5FCC53BC8B15}"/>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B75-7D4C-BAF9-5FCC53BC8B15}"/>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B75-7D4C-BAF9-5FCC53BC8B15}"/>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4B75-7D4C-BAF9-5FCC53BC8B15}"/>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4B75-7D4C-BAF9-5FCC53BC8B15}"/>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pivot!$C$59:$C$78</c:f>
              <c:numCache>
                <c:formatCode>0%</c:formatCode>
                <c:ptCount val="20"/>
                <c:pt idx="0">
                  <c:v>0.1558441558441554</c:v>
                </c:pt>
                <c:pt idx="1">
                  <c:v>0.38842975206611519</c:v>
                </c:pt>
                <c:pt idx="2">
                  <c:v>0.2386363636363632</c:v>
                </c:pt>
                <c:pt idx="3">
                  <c:v>0.34965034965034913</c:v>
                </c:pt>
                <c:pt idx="4">
                  <c:v>0.22727272727272677</c:v>
                </c:pt>
                <c:pt idx="5">
                  <c:v>0.22222222222222174</c:v>
                </c:pt>
                <c:pt idx="6">
                  <c:v>0.25252525252525232</c:v>
                </c:pt>
                <c:pt idx="7">
                  <c:v>0.31818181818181779</c:v>
                </c:pt>
                <c:pt idx="8">
                  <c:v>0.42207792207792155</c:v>
                </c:pt>
                <c:pt idx="9">
                  <c:v>0.1948051948051944</c:v>
                </c:pt>
                <c:pt idx="10">
                  <c:v>0.43356643356643293</c:v>
                </c:pt>
                <c:pt idx="11">
                  <c:v>0.23636363636363575</c:v>
                </c:pt>
                <c:pt idx="12">
                  <c:v>0.22727272727272685</c:v>
                </c:pt>
                <c:pt idx="13">
                  <c:v>0.44318181818181779</c:v>
                </c:pt>
                <c:pt idx="14">
                  <c:v>9.0909090909090898E-2</c:v>
                </c:pt>
                <c:pt idx="15">
                  <c:v>0.38636363636363596</c:v>
                </c:pt>
                <c:pt idx="16">
                  <c:v>0.38181818181818117</c:v>
                </c:pt>
                <c:pt idx="17">
                  <c:v>9.0909090909090898E-2</c:v>
                </c:pt>
                <c:pt idx="18">
                  <c:v>0.2077922077922075</c:v>
                </c:pt>
                <c:pt idx="19">
                  <c:v>0.20454545454545409</c:v>
                </c:pt>
              </c:numCache>
            </c:numRef>
          </c:val>
          <c:extLst>
            <c:ext xmlns:c16="http://schemas.microsoft.com/office/drawing/2014/chart" uri="{C3380CC4-5D6E-409C-BE32-E72D297353CC}">
              <c16:uniqueId val="{00000000-D691-3A40-8601-65FA06EED893}"/>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pivot!$D$58</c:f>
              <c:strCache>
                <c:ptCount val="1"/>
                <c:pt idx="0">
                  <c:v>Internal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75-7D4C-BAF9-5FCC53BC8B1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75-7D4C-BAF9-5FCC53BC8B1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75-7D4C-BAF9-5FCC53BC8B1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75-7D4C-BAF9-5FCC53BC8B1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75-7D4C-BAF9-5FCC53BC8B1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B75-7D4C-BAF9-5FCC53BC8B1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B75-7D4C-BAF9-5FCC53BC8B1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B75-7D4C-BAF9-5FCC53BC8B1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B75-7D4C-BAF9-5FCC53BC8B1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B75-7D4C-BAF9-5FCC53BC8B1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B75-7D4C-BAF9-5FCC53BC8B1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B75-7D4C-BAF9-5FCC53BC8B1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B75-7D4C-BAF9-5FCC53BC8B1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B75-7D4C-BAF9-5FCC53BC8B1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B75-7D4C-BAF9-5FCC53BC8B1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B75-7D4C-BAF9-5FCC53BC8B15}"/>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B75-7D4C-BAF9-5FCC53BC8B15}"/>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B75-7D4C-BAF9-5FCC53BC8B15}"/>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4B75-7D4C-BAF9-5FCC53BC8B15}"/>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4B75-7D4C-BAF9-5FCC53BC8B15}"/>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pivot!$D$59:$D$78</c:f>
              <c:numCache>
                <c:formatCode>0%</c:formatCode>
                <c:ptCount val="20"/>
                <c:pt idx="0">
                  <c:v>0.37142857142857116</c:v>
                </c:pt>
                <c:pt idx="1">
                  <c:v>0.52121212121212068</c:v>
                </c:pt>
                <c:pt idx="2">
                  <c:v>0.44999999999999973</c:v>
                </c:pt>
                <c:pt idx="3">
                  <c:v>0.48717948717948684</c:v>
                </c:pt>
                <c:pt idx="4">
                  <c:v>0.39999999999999969</c:v>
                </c:pt>
                <c:pt idx="5">
                  <c:v>0.39259259259259216</c:v>
                </c:pt>
                <c:pt idx="6">
                  <c:v>0.41481481481481469</c:v>
                </c:pt>
                <c:pt idx="7">
                  <c:v>0.43999999999999967</c:v>
                </c:pt>
                <c:pt idx="8">
                  <c:v>0.59047619047619015</c:v>
                </c:pt>
                <c:pt idx="9">
                  <c:v>0.3809523809523806</c:v>
                </c:pt>
                <c:pt idx="10">
                  <c:v>0.62564102564102519</c:v>
                </c:pt>
                <c:pt idx="11">
                  <c:v>0.43999999999999961</c:v>
                </c:pt>
                <c:pt idx="12">
                  <c:v>0.36666666666666659</c:v>
                </c:pt>
                <c:pt idx="13">
                  <c:v>0.62499999999999978</c:v>
                </c:pt>
                <c:pt idx="14">
                  <c:v>0.33333333333333298</c:v>
                </c:pt>
                <c:pt idx="15">
                  <c:v>0.51666666666666627</c:v>
                </c:pt>
                <c:pt idx="16">
                  <c:v>0.47999999999999982</c:v>
                </c:pt>
                <c:pt idx="17">
                  <c:v>0.2</c:v>
                </c:pt>
                <c:pt idx="18">
                  <c:v>0.33333333333333298</c:v>
                </c:pt>
                <c:pt idx="19">
                  <c:v>0.37499999999999967</c:v>
                </c:pt>
              </c:numCache>
            </c:numRef>
          </c:val>
          <c:extLst>
            <c:ext xmlns:c16="http://schemas.microsoft.com/office/drawing/2014/chart" uri="{C3380CC4-5D6E-409C-BE32-E72D297353CC}">
              <c16:uniqueId val="{00000000-D691-3A40-8601-65FA06EED893}"/>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pivot!$F$58</c:f>
              <c:strCache>
                <c:ptCount val="1"/>
                <c:pt idx="0">
                  <c:v>Identify Scope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75-7D4C-BAF9-5FCC53BC8B1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75-7D4C-BAF9-5FCC53BC8B1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75-7D4C-BAF9-5FCC53BC8B1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75-7D4C-BAF9-5FCC53BC8B1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75-7D4C-BAF9-5FCC53BC8B1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B75-7D4C-BAF9-5FCC53BC8B1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B75-7D4C-BAF9-5FCC53BC8B1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B75-7D4C-BAF9-5FCC53BC8B1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B75-7D4C-BAF9-5FCC53BC8B1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B75-7D4C-BAF9-5FCC53BC8B1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B75-7D4C-BAF9-5FCC53BC8B1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B75-7D4C-BAF9-5FCC53BC8B1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B75-7D4C-BAF9-5FCC53BC8B1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B75-7D4C-BAF9-5FCC53BC8B1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B75-7D4C-BAF9-5FCC53BC8B1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B75-7D4C-BAF9-5FCC53BC8B15}"/>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B75-7D4C-BAF9-5FCC53BC8B15}"/>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B75-7D4C-BAF9-5FCC53BC8B15}"/>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4B75-7D4C-BAF9-5FCC53BC8B15}"/>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4B75-7D4C-BAF9-5FCC53BC8B15}"/>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pivot!$F$59:$F$78</c:f>
              <c:numCache>
                <c:formatCode>0%</c:formatCode>
                <c:ptCount val="20"/>
                <c:pt idx="0">
                  <c:v>0.58730158730158677</c:v>
                </c:pt>
                <c:pt idx="1">
                  <c:v>0.75757575757575679</c:v>
                </c:pt>
                <c:pt idx="2">
                  <c:v>0.54166666666666607</c:v>
                </c:pt>
                <c:pt idx="3">
                  <c:v>0.53846153846153788</c:v>
                </c:pt>
                <c:pt idx="4">
                  <c:v>0.5740740740740734</c:v>
                </c:pt>
                <c:pt idx="5">
                  <c:v>0.59259259259259212</c:v>
                </c:pt>
                <c:pt idx="6">
                  <c:v>0.61728395061728347</c:v>
                </c:pt>
                <c:pt idx="7">
                  <c:v>0.57777777777777717</c:v>
                </c:pt>
                <c:pt idx="8">
                  <c:v>0.682539682539682</c:v>
                </c:pt>
                <c:pt idx="9">
                  <c:v>0.55555555555555503</c:v>
                </c:pt>
                <c:pt idx="10">
                  <c:v>0.72649572649572591</c:v>
                </c:pt>
                <c:pt idx="11">
                  <c:v>0.57777777777777717</c:v>
                </c:pt>
                <c:pt idx="12">
                  <c:v>0.55555555555555503</c:v>
                </c:pt>
                <c:pt idx="13">
                  <c:v>0.74999999999999933</c:v>
                </c:pt>
                <c:pt idx="14">
                  <c:v>0</c:v>
                </c:pt>
                <c:pt idx="15">
                  <c:v>0.55555555555555491</c:v>
                </c:pt>
                <c:pt idx="16">
                  <c:v>0.65555555555555478</c:v>
                </c:pt>
                <c:pt idx="17">
                  <c:v>0.11111111111111099</c:v>
                </c:pt>
                <c:pt idx="18">
                  <c:v>0.36507936507936473</c:v>
                </c:pt>
                <c:pt idx="19">
                  <c:v>0.45833333333333287</c:v>
                </c:pt>
              </c:numCache>
            </c:numRef>
          </c:val>
          <c:extLst>
            <c:ext xmlns:c16="http://schemas.microsoft.com/office/drawing/2014/chart" uri="{C3380CC4-5D6E-409C-BE32-E72D297353CC}">
              <c16:uniqueId val="{00000000-D691-3A40-8601-65FA06EED893}"/>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pivot!$E$58</c:f>
              <c:strCache>
                <c:ptCount val="1"/>
                <c:pt idx="0">
                  <c:v>External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75-7D4C-BAF9-5FCC53BC8B1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75-7D4C-BAF9-5FCC53BC8B1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75-7D4C-BAF9-5FCC53BC8B1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75-7D4C-BAF9-5FCC53BC8B1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75-7D4C-BAF9-5FCC53BC8B1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B75-7D4C-BAF9-5FCC53BC8B1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B75-7D4C-BAF9-5FCC53BC8B1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B75-7D4C-BAF9-5FCC53BC8B1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B75-7D4C-BAF9-5FCC53BC8B1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B75-7D4C-BAF9-5FCC53BC8B1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B75-7D4C-BAF9-5FCC53BC8B1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B75-7D4C-BAF9-5FCC53BC8B1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B75-7D4C-BAF9-5FCC53BC8B1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B75-7D4C-BAF9-5FCC53BC8B1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B75-7D4C-BAF9-5FCC53BC8B1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B75-7D4C-BAF9-5FCC53BC8B15}"/>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B75-7D4C-BAF9-5FCC53BC8B15}"/>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B75-7D4C-BAF9-5FCC53BC8B15}"/>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4B75-7D4C-BAF9-5FCC53BC8B15}"/>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4B75-7D4C-BAF9-5FCC53BC8B15}"/>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pivot!$E$59:$E$78</c:f>
              <c:numCache>
                <c:formatCode>0%</c:formatCode>
                <c:ptCount val="20"/>
                <c:pt idx="0">
                  <c:v>0.6190476190476184</c:v>
                </c:pt>
                <c:pt idx="1">
                  <c:v>0.54545454545454508</c:v>
                </c:pt>
                <c:pt idx="2">
                  <c:v>0.54166666666666641</c:v>
                </c:pt>
                <c:pt idx="3">
                  <c:v>0.57692307692307654</c:v>
                </c:pt>
                <c:pt idx="4">
                  <c:v>0.63888888888888851</c:v>
                </c:pt>
                <c:pt idx="5">
                  <c:v>0.51851851851851827</c:v>
                </c:pt>
                <c:pt idx="6">
                  <c:v>0.59259259259259234</c:v>
                </c:pt>
                <c:pt idx="7">
                  <c:v>0.63333333333333286</c:v>
                </c:pt>
                <c:pt idx="8">
                  <c:v>0.57142857142857095</c:v>
                </c:pt>
                <c:pt idx="9">
                  <c:v>0.5238095238095235</c:v>
                </c:pt>
                <c:pt idx="10">
                  <c:v>0.61538461538461509</c:v>
                </c:pt>
                <c:pt idx="11">
                  <c:v>0.33333333333333304</c:v>
                </c:pt>
                <c:pt idx="12">
                  <c:v>0.52083333333333315</c:v>
                </c:pt>
                <c:pt idx="13">
                  <c:v>0.66666666666666596</c:v>
                </c:pt>
                <c:pt idx="14">
                  <c:v>0.16666666666666599</c:v>
                </c:pt>
                <c:pt idx="15">
                  <c:v>0.4999999999999995</c:v>
                </c:pt>
                <c:pt idx="16">
                  <c:v>0.69999999999999973</c:v>
                </c:pt>
                <c:pt idx="17">
                  <c:v>0.66666666666666596</c:v>
                </c:pt>
                <c:pt idx="18">
                  <c:v>0.47619047619047583</c:v>
                </c:pt>
                <c:pt idx="19">
                  <c:v>0.58333333333333304</c:v>
                </c:pt>
              </c:numCache>
            </c:numRef>
          </c:val>
          <c:extLst>
            <c:ext xmlns:c16="http://schemas.microsoft.com/office/drawing/2014/chart" uri="{C3380CC4-5D6E-409C-BE32-E72D297353CC}">
              <c16:uniqueId val="{00000000-D691-3A40-8601-65FA06EED893}"/>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pivot!$G$58</c:f>
              <c:strCache>
                <c:ptCount val="1"/>
                <c:pt idx="0">
                  <c:v>Session Count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75-7D4C-BAF9-5FCC53BC8B1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75-7D4C-BAF9-5FCC53BC8B1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75-7D4C-BAF9-5FCC53BC8B1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75-7D4C-BAF9-5FCC53BC8B1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75-7D4C-BAF9-5FCC53BC8B1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B75-7D4C-BAF9-5FCC53BC8B1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B75-7D4C-BAF9-5FCC53BC8B1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B75-7D4C-BAF9-5FCC53BC8B1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B75-7D4C-BAF9-5FCC53BC8B1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B75-7D4C-BAF9-5FCC53BC8B1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B75-7D4C-BAF9-5FCC53BC8B1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B75-7D4C-BAF9-5FCC53BC8B1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B75-7D4C-BAF9-5FCC53BC8B1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B75-7D4C-BAF9-5FCC53BC8B1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B75-7D4C-BAF9-5FCC53BC8B1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B75-7D4C-BAF9-5FCC53BC8B15}"/>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B75-7D4C-BAF9-5FCC53BC8B15}"/>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B75-7D4C-BAF9-5FCC53BC8B15}"/>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4B75-7D4C-BAF9-5FCC53BC8B15}"/>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4B75-7D4C-BAF9-5FCC53BC8B15}"/>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pivot!$G$59:$G$78</c:f>
              <c:numCache>
                <c:formatCode>General</c:formatCode>
                <c:ptCount val="20"/>
                <c:pt idx="0">
                  <c:v>7</c:v>
                </c:pt>
                <c:pt idx="1">
                  <c:v>11</c:v>
                </c:pt>
                <c:pt idx="2">
                  <c:v>8</c:v>
                </c:pt>
                <c:pt idx="3">
                  <c:v>13</c:v>
                </c:pt>
                <c:pt idx="4">
                  <c:v>6</c:v>
                </c:pt>
                <c:pt idx="5">
                  <c:v>9</c:v>
                </c:pt>
                <c:pt idx="6">
                  <c:v>9</c:v>
                </c:pt>
                <c:pt idx="7">
                  <c:v>10</c:v>
                </c:pt>
                <c:pt idx="8">
                  <c:v>14</c:v>
                </c:pt>
                <c:pt idx="9">
                  <c:v>7</c:v>
                </c:pt>
                <c:pt idx="10">
                  <c:v>13</c:v>
                </c:pt>
                <c:pt idx="11">
                  <c:v>5</c:v>
                </c:pt>
                <c:pt idx="12">
                  <c:v>8</c:v>
                </c:pt>
                <c:pt idx="13">
                  <c:v>8</c:v>
                </c:pt>
                <c:pt idx="14">
                  <c:v>1</c:v>
                </c:pt>
                <c:pt idx="15">
                  <c:v>4</c:v>
                </c:pt>
                <c:pt idx="16">
                  <c:v>10</c:v>
                </c:pt>
                <c:pt idx="17">
                  <c:v>1</c:v>
                </c:pt>
                <c:pt idx="18">
                  <c:v>7</c:v>
                </c:pt>
                <c:pt idx="19">
                  <c:v>8</c:v>
                </c:pt>
              </c:numCache>
            </c:numRef>
          </c:val>
          <c:extLst>
            <c:ext xmlns:c16="http://schemas.microsoft.com/office/drawing/2014/chart" uri="{C3380CC4-5D6E-409C-BE32-E72D297353CC}">
              <c16:uniqueId val="{00000000-D691-3A40-8601-65FA06EED893}"/>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[optionsdata_and_charts.xlsx]pivot!PivotTable2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multiLvlStrRef>
              <c:f>pivot!$A$4:$A$26</c:f>
              <c:multiLvlStrCache>
                <c:ptCount val="18"/>
                <c:lvl>
                  <c:pt idx="0">
                    <c:v>ciara.scullion</c:v>
                  </c:pt>
                  <c:pt idx="1">
                    <c:v>jack.walsh</c:v>
                  </c:pt>
                  <c:pt idx="2">
                    <c:v>jamie.dow</c:v>
                  </c:pt>
                  <c:pt idx="3">
                    <c:v>ritchie.mcgrath</c:v>
                  </c:pt>
                  <c:pt idx="4">
                    <c:v>zach.davis</c:v>
                  </c:pt>
                  <c:pt idx="5">
                    <c:v>aoife.breen</c:v>
                  </c:pt>
                  <c:pt idx="6">
                    <c:v>ellie.walsh</c:v>
                  </c:pt>
                  <c:pt idx="7">
                    <c:v>elsa.savage</c:v>
                  </c:pt>
                  <c:pt idx="8">
                    <c:v>emma.allsopp</c:v>
                  </c:pt>
                  <c:pt idx="9">
                    <c:v>sinead.glennon</c:v>
                  </c:pt>
                  <c:pt idx="10">
                    <c:v>storm.chambers</c:v>
                  </c:pt>
                  <c:pt idx="11">
                    <c:v>amelia.horwood</c:v>
                  </c:pt>
                  <c:pt idx="12">
                    <c:v>donnchadh.tierney</c:v>
                  </c:pt>
                  <c:pt idx="13">
                    <c:v>james.sheppy</c:v>
                  </c:pt>
                  <c:pt idx="14">
                    <c:v>leah.murphy</c:v>
                  </c:pt>
                  <c:pt idx="15">
                    <c:v>mark.mcgarry</c:v>
                  </c:pt>
                  <c:pt idx="16">
                    <c:v>jessica.mcdonald</c:v>
                  </c:pt>
                  <c:pt idx="17">
                    <c:v>patrick.collins</c:v>
                  </c:pt>
                </c:lvl>
                <c:lvl>
                  <c:pt idx="0">
                    <c:v>1</c:v>
                  </c:pt>
                  <c:pt idx="5">
                    <c:v>2</c:v>
                  </c:pt>
                  <c:pt idx="11">
                    <c:v>3</c:v>
                  </c:pt>
                  <c:pt idx="16">
                    <c:v>4</c:v>
                  </c:pt>
                </c:lvl>
              </c:multiLvlStrCache>
            </c:multiLvlStrRef>
          </c:cat>
          <c:val>
            <c:numRef>
              <c:f>pivot!$B$4:$B$26</c:f>
              <c:numCache>
                <c:formatCode>General</c:formatCode>
                <c:ptCount val="18"/>
                <c:pt idx="0">
                  <c:v>13</c:v>
                </c:pt>
                <c:pt idx="1">
                  <c:v>14</c:v>
                </c:pt>
                <c:pt idx="2">
                  <c:v>13</c:v>
                </c:pt>
                <c:pt idx="3">
                  <c:v>10</c:v>
                </c:pt>
                <c:pt idx="4">
                  <c:v>8</c:v>
                </c:pt>
                <c:pt idx="5">
                  <c:v>11</c:v>
                </c:pt>
                <c:pt idx="6">
                  <c:v>9</c:v>
                </c:pt>
                <c:pt idx="7">
                  <c:v>9</c:v>
                </c:pt>
                <c:pt idx="8">
                  <c:v>10</c:v>
                </c:pt>
                <c:pt idx="9">
                  <c:v>1</c:v>
                </c:pt>
                <c:pt idx="10">
                  <c:v>7</c:v>
                </c:pt>
                <c:pt idx="11">
                  <c:v>7</c:v>
                </c:pt>
                <c:pt idx="12">
                  <c:v>6</c:v>
                </c:pt>
                <c:pt idx="13">
                  <c:v>7</c:v>
                </c:pt>
                <c:pt idx="14">
                  <c:v>8</c:v>
                </c:pt>
                <c:pt idx="15">
                  <c:v>8</c:v>
                </c:pt>
                <c:pt idx="16">
                  <c:v>5</c:v>
                </c:pt>
                <c:pt idx="17">
                  <c:v>1</c:v>
                </c:pt>
              </c:numCache>
            </c:numRef>
          </c:val>
          <c:extLst>
            <c:ext xmlns:c16="http://schemas.microsoft.com/office/drawing/2014/chart" uri="{C3380CC4-5D6E-409C-BE32-E72D297353CC}">
              <c16:uniqueId val="{00000000-92E2-9C4C-BC5F-D27F5BFEB0C6}"/>
            </c:ext>
          </c:extLst>
        </c:ser>
        <c:dLbls>
          <c:showLegendKey val="0"/>
          <c:showVal val="0"/>
          <c:showCatName val="0"/>
          <c:showSerName val="0"/>
          <c:showPercent val="0"/>
          <c:showBubbleSize val="0"/>
        </c:dLbls>
        <c:gapWidth val="219"/>
        <c:overlap val="-27"/>
        <c:axId val="289104639"/>
        <c:axId val="289108223"/>
      </c:barChart>
      <c:catAx>
        <c:axId val="28910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player and 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108223"/>
        <c:crosses val="autoZero"/>
        <c:auto val="1"/>
        <c:lblAlgn val="ctr"/>
        <c:lblOffset val="100"/>
        <c:noMultiLvlLbl val="0"/>
      </c:catAx>
      <c:valAx>
        <c:axId val="28910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10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pivot!$B$58</c:f>
              <c:strCache>
                <c:ptCount val="1"/>
                <c:pt idx="0">
                  <c:v>Incident Mechanics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7B8-9B4E-802B-DD0EA44B32C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7B8-9B4E-802B-DD0EA44B32C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7B8-9B4E-802B-DD0EA44B32C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7B8-9B4E-802B-DD0EA44B32C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7B8-9B4E-802B-DD0EA44B32C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B7B8-9B4E-802B-DD0EA44B32C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B7B8-9B4E-802B-DD0EA44B32C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B7B8-9B4E-802B-DD0EA44B32C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B7B8-9B4E-802B-DD0EA44B32C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B7B8-9B4E-802B-DD0EA44B32C0}"/>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B7B8-9B4E-802B-DD0EA44B32C0}"/>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B7B8-9B4E-802B-DD0EA44B32C0}"/>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B7B8-9B4E-802B-DD0EA44B32C0}"/>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B7B8-9B4E-802B-DD0EA44B32C0}"/>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B7B8-9B4E-802B-DD0EA44B32C0}"/>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B7B8-9B4E-802B-DD0EA44B32C0}"/>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B7B8-9B4E-802B-DD0EA44B32C0}"/>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B7B8-9B4E-802B-DD0EA44B32C0}"/>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B7B8-9B4E-802B-DD0EA44B32C0}"/>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B7B8-9B4E-802B-DD0EA44B32C0}"/>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pivot!$B$59:$B$78</c:f>
              <c:numCache>
                <c:formatCode>0%</c:formatCode>
                <c:ptCount val="20"/>
                <c:pt idx="0">
                  <c:v>0.78571428571428603</c:v>
                </c:pt>
                <c:pt idx="1">
                  <c:v>1</c:v>
                </c:pt>
                <c:pt idx="2">
                  <c:v>0.875</c:v>
                </c:pt>
                <c:pt idx="3">
                  <c:v>0.84615384615384615</c:v>
                </c:pt>
                <c:pt idx="4">
                  <c:v>0.83333333333333337</c:v>
                </c:pt>
                <c:pt idx="5">
                  <c:v>0.72222222222222221</c:v>
                </c:pt>
                <c:pt idx="6">
                  <c:v>0.72222222222222221</c:v>
                </c:pt>
                <c:pt idx="7">
                  <c:v>1</c:v>
                </c:pt>
                <c:pt idx="8">
                  <c:v>0.8571428571428571</c:v>
                </c:pt>
                <c:pt idx="9">
                  <c:v>0.5714285714285714</c:v>
                </c:pt>
                <c:pt idx="10">
                  <c:v>0.96153846153846156</c:v>
                </c:pt>
                <c:pt idx="11">
                  <c:v>0.6</c:v>
                </c:pt>
                <c:pt idx="12">
                  <c:v>0.5625</c:v>
                </c:pt>
                <c:pt idx="13">
                  <c:v>1</c:v>
                </c:pt>
                <c:pt idx="14">
                  <c:v>0.5</c:v>
                </c:pt>
                <c:pt idx="15">
                  <c:v>0.75</c:v>
                </c:pt>
                <c:pt idx="16">
                  <c:v>1</c:v>
                </c:pt>
                <c:pt idx="17">
                  <c:v>0.5</c:v>
                </c:pt>
                <c:pt idx="18">
                  <c:v>0.5714285714285714</c:v>
                </c:pt>
                <c:pt idx="19">
                  <c:v>0.9375</c:v>
                </c:pt>
              </c:numCache>
            </c:numRef>
          </c:val>
          <c:extLst>
            <c:ext xmlns:c16="http://schemas.microsoft.com/office/drawing/2014/chart" uri="{C3380CC4-5D6E-409C-BE32-E72D297353CC}">
              <c16:uniqueId val="{00000028-B7B8-9B4E-802B-DD0EA44B32C0}"/>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pivot!$C$58</c:f>
              <c:strCache>
                <c:ptCount val="1"/>
                <c:pt idx="0">
                  <c:v>Commanding The Incident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2BC-5C4B-B8CA-21CF3DABAB5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2BC-5C4B-B8CA-21CF3DABAB5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2BC-5C4B-B8CA-21CF3DABAB5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2BC-5C4B-B8CA-21CF3DABAB5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2BC-5C4B-B8CA-21CF3DABAB5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2BC-5C4B-B8CA-21CF3DABAB5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2BC-5C4B-B8CA-21CF3DABAB5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2BC-5C4B-B8CA-21CF3DABAB5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2BC-5C4B-B8CA-21CF3DABAB5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2BC-5C4B-B8CA-21CF3DABAB5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E2BC-5C4B-B8CA-21CF3DABAB5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E2BC-5C4B-B8CA-21CF3DABAB5E}"/>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E2BC-5C4B-B8CA-21CF3DABAB5E}"/>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E2BC-5C4B-B8CA-21CF3DABAB5E}"/>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E2BC-5C4B-B8CA-21CF3DABAB5E}"/>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E2BC-5C4B-B8CA-21CF3DABAB5E}"/>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E2BC-5C4B-B8CA-21CF3DABAB5E}"/>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E2BC-5C4B-B8CA-21CF3DABAB5E}"/>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E2BC-5C4B-B8CA-21CF3DABAB5E}"/>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E2BC-5C4B-B8CA-21CF3DABAB5E}"/>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pivot!$C$59:$C$78</c:f>
              <c:numCache>
                <c:formatCode>0%</c:formatCode>
                <c:ptCount val="20"/>
                <c:pt idx="0">
                  <c:v>0.1558441558441554</c:v>
                </c:pt>
                <c:pt idx="1">
                  <c:v>0.38842975206611519</c:v>
                </c:pt>
                <c:pt idx="2">
                  <c:v>0.2386363636363632</c:v>
                </c:pt>
                <c:pt idx="3">
                  <c:v>0.34965034965034913</c:v>
                </c:pt>
                <c:pt idx="4">
                  <c:v>0.22727272727272677</c:v>
                </c:pt>
                <c:pt idx="5">
                  <c:v>0.22222222222222174</c:v>
                </c:pt>
                <c:pt idx="6">
                  <c:v>0.25252525252525232</c:v>
                </c:pt>
                <c:pt idx="7">
                  <c:v>0.31818181818181779</c:v>
                </c:pt>
                <c:pt idx="8">
                  <c:v>0.42207792207792155</c:v>
                </c:pt>
                <c:pt idx="9">
                  <c:v>0.1948051948051944</c:v>
                </c:pt>
                <c:pt idx="10">
                  <c:v>0.43356643356643293</c:v>
                </c:pt>
                <c:pt idx="11">
                  <c:v>0.23636363636363575</c:v>
                </c:pt>
                <c:pt idx="12">
                  <c:v>0.22727272727272685</c:v>
                </c:pt>
                <c:pt idx="13">
                  <c:v>0.44318181818181779</c:v>
                </c:pt>
                <c:pt idx="14">
                  <c:v>9.0909090909090898E-2</c:v>
                </c:pt>
                <c:pt idx="15">
                  <c:v>0.38636363636363596</c:v>
                </c:pt>
                <c:pt idx="16">
                  <c:v>0.38181818181818117</c:v>
                </c:pt>
                <c:pt idx="17">
                  <c:v>9.0909090909090898E-2</c:v>
                </c:pt>
                <c:pt idx="18">
                  <c:v>0.2077922077922075</c:v>
                </c:pt>
                <c:pt idx="19">
                  <c:v>0.20454545454545409</c:v>
                </c:pt>
              </c:numCache>
            </c:numRef>
          </c:val>
          <c:extLst>
            <c:ext xmlns:c16="http://schemas.microsoft.com/office/drawing/2014/chart" uri="{C3380CC4-5D6E-409C-BE32-E72D297353CC}">
              <c16:uniqueId val="{00000028-E2BC-5C4B-B8CA-21CF3DABAB5E}"/>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pivot!$D$58</c:f>
              <c:strCache>
                <c:ptCount val="1"/>
                <c:pt idx="0">
                  <c:v>Internal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DDB-1145-8605-9AF81C344D4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DDB-1145-8605-9AF81C344D4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DDB-1145-8605-9AF81C344D4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DDB-1145-8605-9AF81C344D4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DDB-1145-8605-9AF81C344D4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DDB-1145-8605-9AF81C344D4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DDB-1145-8605-9AF81C344D4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DDB-1145-8605-9AF81C344D4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DDB-1145-8605-9AF81C344D4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DDB-1145-8605-9AF81C344D4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DDB-1145-8605-9AF81C344D4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DDB-1145-8605-9AF81C344D4C}"/>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DDB-1145-8605-9AF81C344D4C}"/>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DDB-1145-8605-9AF81C344D4C}"/>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DDB-1145-8605-9AF81C344D4C}"/>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DDB-1145-8605-9AF81C344D4C}"/>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DDB-1145-8605-9AF81C344D4C}"/>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DDB-1145-8605-9AF81C344D4C}"/>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9DDB-1145-8605-9AF81C344D4C}"/>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9DDB-1145-8605-9AF81C344D4C}"/>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pivot!$D$59:$D$78</c:f>
              <c:numCache>
                <c:formatCode>0%</c:formatCode>
                <c:ptCount val="20"/>
                <c:pt idx="0">
                  <c:v>0.37142857142857116</c:v>
                </c:pt>
                <c:pt idx="1">
                  <c:v>0.52121212121212068</c:v>
                </c:pt>
                <c:pt idx="2">
                  <c:v>0.44999999999999973</c:v>
                </c:pt>
                <c:pt idx="3">
                  <c:v>0.48717948717948684</c:v>
                </c:pt>
                <c:pt idx="4">
                  <c:v>0.39999999999999969</c:v>
                </c:pt>
                <c:pt idx="5">
                  <c:v>0.39259259259259216</c:v>
                </c:pt>
                <c:pt idx="6">
                  <c:v>0.41481481481481469</c:v>
                </c:pt>
                <c:pt idx="7">
                  <c:v>0.43999999999999967</c:v>
                </c:pt>
                <c:pt idx="8">
                  <c:v>0.59047619047619015</c:v>
                </c:pt>
                <c:pt idx="9">
                  <c:v>0.3809523809523806</c:v>
                </c:pt>
                <c:pt idx="10">
                  <c:v>0.62564102564102519</c:v>
                </c:pt>
                <c:pt idx="11">
                  <c:v>0.43999999999999961</c:v>
                </c:pt>
                <c:pt idx="12">
                  <c:v>0.36666666666666659</c:v>
                </c:pt>
                <c:pt idx="13">
                  <c:v>0.62499999999999978</c:v>
                </c:pt>
                <c:pt idx="14">
                  <c:v>0.33333333333333298</c:v>
                </c:pt>
                <c:pt idx="15">
                  <c:v>0.51666666666666627</c:v>
                </c:pt>
                <c:pt idx="16">
                  <c:v>0.47999999999999982</c:v>
                </c:pt>
                <c:pt idx="17">
                  <c:v>0.2</c:v>
                </c:pt>
                <c:pt idx="18">
                  <c:v>0.33333333333333298</c:v>
                </c:pt>
                <c:pt idx="19">
                  <c:v>0.37499999999999967</c:v>
                </c:pt>
              </c:numCache>
            </c:numRef>
          </c:val>
          <c:extLst>
            <c:ext xmlns:c16="http://schemas.microsoft.com/office/drawing/2014/chart" uri="{C3380CC4-5D6E-409C-BE32-E72D297353CC}">
              <c16:uniqueId val="{00000028-9DDB-1145-8605-9AF81C344D4C}"/>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pivot!$F$58</c:f>
              <c:strCache>
                <c:ptCount val="1"/>
                <c:pt idx="0">
                  <c:v>Identify Scope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BAC-8E4B-B51B-55E8FB8A79E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BAC-8E4B-B51B-55E8FB8A79E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BAC-8E4B-B51B-55E8FB8A79E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BAC-8E4B-B51B-55E8FB8A79E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BAC-8E4B-B51B-55E8FB8A79E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BAC-8E4B-B51B-55E8FB8A79E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BAC-8E4B-B51B-55E8FB8A79E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BAC-8E4B-B51B-55E8FB8A79E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BAC-8E4B-B51B-55E8FB8A79E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BAC-8E4B-B51B-55E8FB8A79E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EBAC-8E4B-B51B-55E8FB8A79E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EBAC-8E4B-B51B-55E8FB8A79EE}"/>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EBAC-8E4B-B51B-55E8FB8A79EE}"/>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EBAC-8E4B-B51B-55E8FB8A79EE}"/>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EBAC-8E4B-B51B-55E8FB8A79EE}"/>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EBAC-8E4B-B51B-55E8FB8A79EE}"/>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EBAC-8E4B-B51B-55E8FB8A79EE}"/>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EBAC-8E4B-B51B-55E8FB8A79EE}"/>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EBAC-8E4B-B51B-55E8FB8A79EE}"/>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EBAC-8E4B-B51B-55E8FB8A79EE}"/>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pivot!$F$59:$F$78</c:f>
              <c:numCache>
                <c:formatCode>0%</c:formatCode>
                <c:ptCount val="20"/>
                <c:pt idx="0">
                  <c:v>0.58730158730158677</c:v>
                </c:pt>
                <c:pt idx="1">
                  <c:v>0.75757575757575679</c:v>
                </c:pt>
                <c:pt idx="2">
                  <c:v>0.54166666666666607</c:v>
                </c:pt>
                <c:pt idx="3">
                  <c:v>0.53846153846153788</c:v>
                </c:pt>
                <c:pt idx="4">
                  <c:v>0.5740740740740734</c:v>
                </c:pt>
                <c:pt idx="5">
                  <c:v>0.59259259259259212</c:v>
                </c:pt>
                <c:pt idx="6">
                  <c:v>0.61728395061728347</c:v>
                </c:pt>
                <c:pt idx="7">
                  <c:v>0.57777777777777717</c:v>
                </c:pt>
                <c:pt idx="8">
                  <c:v>0.682539682539682</c:v>
                </c:pt>
                <c:pt idx="9">
                  <c:v>0.55555555555555503</c:v>
                </c:pt>
                <c:pt idx="10">
                  <c:v>0.72649572649572591</c:v>
                </c:pt>
                <c:pt idx="11">
                  <c:v>0.57777777777777717</c:v>
                </c:pt>
                <c:pt idx="12">
                  <c:v>0.55555555555555503</c:v>
                </c:pt>
                <c:pt idx="13">
                  <c:v>0.74999999999999933</c:v>
                </c:pt>
                <c:pt idx="14">
                  <c:v>0</c:v>
                </c:pt>
                <c:pt idx="15">
                  <c:v>0.55555555555555491</c:v>
                </c:pt>
                <c:pt idx="16">
                  <c:v>0.65555555555555478</c:v>
                </c:pt>
                <c:pt idx="17">
                  <c:v>0.11111111111111099</c:v>
                </c:pt>
                <c:pt idx="18">
                  <c:v>0.36507936507936473</c:v>
                </c:pt>
                <c:pt idx="19">
                  <c:v>0.45833333333333287</c:v>
                </c:pt>
              </c:numCache>
            </c:numRef>
          </c:val>
          <c:extLst>
            <c:ext xmlns:c16="http://schemas.microsoft.com/office/drawing/2014/chart" uri="{C3380CC4-5D6E-409C-BE32-E72D297353CC}">
              <c16:uniqueId val="{00000028-EBAC-8E4B-B51B-55E8FB8A79EE}"/>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pivot!$E$58</c:f>
              <c:strCache>
                <c:ptCount val="1"/>
                <c:pt idx="0">
                  <c:v>External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863-9F40-8FBF-4F6A7B6ED3F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863-9F40-8FBF-4F6A7B6ED3F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863-9F40-8FBF-4F6A7B6ED3F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863-9F40-8FBF-4F6A7B6ED3F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863-9F40-8FBF-4F6A7B6ED3F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863-9F40-8FBF-4F6A7B6ED3FF}"/>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863-9F40-8FBF-4F6A7B6ED3FF}"/>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863-9F40-8FBF-4F6A7B6ED3FF}"/>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863-9F40-8FBF-4F6A7B6ED3FF}"/>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863-9F40-8FBF-4F6A7B6ED3FF}"/>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7863-9F40-8FBF-4F6A7B6ED3FF}"/>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7863-9F40-8FBF-4F6A7B6ED3FF}"/>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7863-9F40-8FBF-4F6A7B6ED3FF}"/>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7863-9F40-8FBF-4F6A7B6ED3FF}"/>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7863-9F40-8FBF-4F6A7B6ED3FF}"/>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7863-9F40-8FBF-4F6A7B6ED3FF}"/>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7863-9F40-8FBF-4F6A7B6ED3FF}"/>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7863-9F40-8FBF-4F6A7B6ED3FF}"/>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7863-9F40-8FBF-4F6A7B6ED3FF}"/>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7863-9F40-8FBF-4F6A7B6ED3FF}"/>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pivot!$E$59:$E$78</c:f>
              <c:numCache>
                <c:formatCode>0%</c:formatCode>
                <c:ptCount val="20"/>
                <c:pt idx="0">
                  <c:v>0.6190476190476184</c:v>
                </c:pt>
                <c:pt idx="1">
                  <c:v>0.54545454545454508</c:v>
                </c:pt>
                <c:pt idx="2">
                  <c:v>0.54166666666666641</c:v>
                </c:pt>
                <c:pt idx="3">
                  <c:v>0.57692307692307654</c:v>
                </c:pt>
                <c:pt idx="4">
                  <c:v>0.63888888888888851</c:v>
                </c:pt>
                <c:pt idx="5">
                  <c:v>0.51851851851851827</c:v>
                </c:pt>
                <c:pt idx="6">
                  <c:v>0.59259259259259234</c:v>
                </c:pt>
                <c:pt idx="7">
                  <c:v>0.63333333333333286</c:v>
                </c:pt>
                <c:pt idx="8">
                  <c:v>0.57142857142857095</c:v>
                </c:pt>
                <c:pt idx="9">
                  <c:v>0.5238095238095235</c:v>
                </c:pt>
                <c:pt idx="10">
                  <c:v>0.61538461538461509</c:v>
                </c:pt>
                <c:pt idx="11">
                  <c:v>0.33333333333333304</c:v>
                </c:pt>
                <c:pt idx="12">
                  <c:v>0.52083333333333315</c:v>
                </c:pt>
                <c:pt idx="13">
                  <c:v>0.66666666666666596</c:v>
                </c:pt>
                <c:pt idx="14">
                  <c:v>0.16666666666666599</c:v>
                </c:pt>
                <c:pt idx="15">
                  <c:v>0.4999999999999995</c:v>
                </c:pt>
                <c:pt idx="16">
                  <c:v>0.69999999999999973</c:v>
                </c:pt>
                <c:pt idx="17">
                  <c:v>0.66666666666666596</c:v>
                </c:pt>
                <c:pt idx="18">
                  <c:v>0.47619047619047583</c:v>
                </c:pt>
                <c:pt idx="19">
                  <c:v>0.58333333333333304</c:v>
                </c:pt>
              </c:numCache>
            </c:numRef>
          </c:val>
          <c:extLst>
            <c:ext xmlns:c16="http://schemas.microsoft.com/office/drawing/2014/chart" uri="{C3380CC4-5D6E-409C-BE32-E72D297353CC}">
              <c16:uniqueId val="{00000028-7863-9F40-8FBF-4F6A7B6ED3FF}"/>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pivot!$G$58</c:f>
              <c:strCache>
                <c:ptCount val="1"/>
                <c:pt idx="0">
                  <c:v>Session Count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144-1048-9468-0BA2811391F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144-1048-9468-0BA2811391F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0144-1048-9468-0BA2811391F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144-1048-9468-0BA2811391F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0144-1048-9468-0BA2811391F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0144-1048-9468-0BA2811391FF}"/>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0144-1048-9468-0BA2811391FF}"/>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0144-1048-9468-0BA2811391FF}"/>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0144-1048-9468-0BA2811391FF}"/>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0144-1048-9468-0BA2811391FF}"/>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0144-1048-9468-0BA2811391FF}"/>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0144-1048-9468-0BA2811391FF}"/>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0144-1048-9468-0BA2811391FF}"/>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0144-1048-9468-0BA2811391FF}"/>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0144-1048-9468-0BA2811391FF}"/>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0144-1048-9468-0BA2811391FF}"/>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0144-1048-9468-0BA2811391FF}"/>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0144-1048-9468-0BA2811391FF}"/>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0144-1048-9468-0BA2811391FF}"/>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0144-1048-9468-0BA2811391FF}"/>
              </c:ext>
            </c:extLst>
          </c:dPt>
          <c:cat>
            <c:strRef>
              <c:f>pivot!$A$59:$A$78</c:f>
              <c:strCache>
                <c:ptCount val="20"/>
                <c:pt idx="0">
                  <c:v>amelia.horwood</c:v>
                </c:pt>
                <c:pt idx="1">
                  <c:v>aoife.breen</c:v>
                </c:pt>
                <c:pt idx="2">
                  <c:v>caoimhe.kelly</c:v>
                </c:pt>
                <c:pt idx="3">
                  <c:v>ciara.scullion</c:v>
                </c:pt>
                <c:pt idx="4">
                  <c:v>donnchadh.tierney</c:v>
                </c:pt>
                <c:pt idx="5">
                  <c:v>ellie.walsh</c:v>
                </c:pt>
                <c:pt idx="6">
                  <c:v>elsa.savage</c:v>
                </c:pt>
                <c:pt idx="7">
                  <c:v>emma.allsopp</c:v>
                </c:pt>
                <c:pt idx="8">
                  <c:v>jack.walsh</c:v>
                </c:pt>
                <c:pt idx="9">
                  <c:v>james.sheppy</c:v>
                </c:pt>
                <c:pt idx="10">
                  <c:v>jamie.dow</c:v>
                </c:pt>
                <c:pt idx="11">
                  <c:v>jessica.mcdonald</c:v>
                </c:pt>
                <c:pt idx="12">
                  <c:v>leah.murphy</c:v>
                </c:pt>
                <c:pt idx="13">
                  <c:v>mark.mcgarry</c:v>
                </c:pt>
                <c:pt idx="14">
                  <c:v>patrick.collins</c:v>
                </c:pt>
                <c:pt idx="15">
                  <c:v>peter.graham</c:v>
                </c:pt>
                <c:pt idx="16">
                  <c:v>ritchie.mcgrath</c:v>
                </c:pt>
                <c:pt idx="17">
                  <c:v>sinead.glennon</c:v>
                </c:pt>
                <c:pt idx="18">
                  <c:v>storm.chambers</c:v>
                </c:pt>
                <c:pt idx="19">
                  <c:v>zach.davis</c:v>
                </c:pt>
              </c:strCache>
            </c:strRef>
          </c:cat>
          <c:val>
            <c:numRef>
              <c:f>pivot!$G$59:$G$78</c:f>
              <c:numCache>
                <c:formatCode>General</c:formatCode>
                <c:ptCount val="20"/>
                <c:pt idx="0">
                  <c:v>7</c:v>
                </c:pt>
                <c:pt idx="1">
                  <c:v>11</c:v>
                </c:pt>
                <c:pt idx="2">
                  <c:v>8</c:v>
                </c:pt>
                <c:pt idx="3">
                  <c:v>13</c:v>
                </c:pt>
                <c:pt idx="4">
                  <c:v>6</c:v>
                </c:pt>
                <c:pt idx="5">
                  <c:v>9</c:v>
                </c:pt>
                <c:pt idx="6">
                  <c:v>9</c:v>
                </c:pt>
                <c:pt idx="7">
                  <c:v>10</c:v>
                </c:pt>
                <c:pt idx="8">
                  <c:v>14</c:v>
                </c:pt>
                <c:pt idx="9">
                  <c:v>7</c:v>
                </c:pt>
                <c:pt idx="10">
                  <c:v>13</c:v>
                </c:pt>
                <c:pt idx="11">
                  <c:v>5</c:v>
                </c:pt>
                <c:pt idx="12">
                  <c:v>8</c:v>
                </c:pt>
                <c:pt idx="13">
                  <c:v>8</c:v>
                </c:pt>
                <c:pt idx="14">
                  <c:v>1</c:v>
                </c:pt>
                <c:pt idx="15">
                  <c:v>4</c:v>
                </c:pt>
                <c:pt idx="16">
                  <c:v>10</c:v>
                </c:pt>
                <c:pt idx="17">
                  <c:v>1</c:v>
                </c:pt>
                <c:pt idx="18">
                  <c:v>7</c:v>
                </c:pt>
                <c:pt idx="19">
                  <c:v>8</c:v>
                </c:pt>
              </c:numCache>
            </c:numRef>
          </c:val>
          <c:extLst>
            <c:ext xmlns:c16="http://schemas.microsoft.com/office/drawing/2014/chart" uri="{C3380CC4-5D6E-409C-BE32-E72D297353CC}">
              <c16:uniqueId val="{00000028-0144-1048-9468-0BA2811391FF}"/>
            </c:ext>
          </c:extLst>
        </c:ser>
        <c:dLbls>
          <c:showLegendKey val="0"/>
          <c:showVal val="0"/>
          <c:showCatName val="0"/>
          <c:showSerName val="0"/>
          <c:showPercent val="0"/>
          <c:showBubbleSize val="0"/>
        </c:dLbls>
        <c:gapWidth val="182"/>
        <c:axId val="345345983"/>
        <c:axId val="213023167"/>
      </c:barChart>
      <c:catAx>
        <c:axId val="3453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3167"/>
        <c:crosses val="autoZero"/>
        <c:auto val="1"/>
        <c:lblAlgn val="ctr"/>
        <c:lblOffset val="100"/>
        <c:noMultiLvlLbl val="0"/>
      </c:catAx>
      <c:valAx>
        <c:axId val="21302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[optionsdata_and_charts.xlsx]GUOT!PivotTable3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 Of Time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83752434171536E-2"/>
          <c:y val="0.12379411764705882"/>
          <c:w val="0.93740298591708293"/>
          <c:h val="0.74480268642890224"/>
        </c:manualLayout>
      </c:layout>
      <c:lineChart>
        <c:grouping val="standard"/>
        <c:varyColors val="0"/>
        <c:ser>
          <c:idx val="0"/>
          <c:order val="0"/>
          <c:tx>
            <c:strRef>
              <c:f>GUOT!$B$3</c:f>
              <c:strCache>
                <c:ptCount val="1"/>
                <c:pt idx="0">
                  <c:v>Total</c:v>
                </c:pt>
              </c:strCache>
            </c:strRef>
          </c:tx>
          <c:spPr>
            <a:ln w="28575" cap="rnd">
              <a:solidFill>
                <a:schemeClr val="accent1"/>
              </a:solidFill>
              <a:round/>
            </a:ln>
            <a:effectLst/>
          </c:spPr>
          <c:marker>
            <c:symbol val="none"/>
          </c:marker>
          <c:cat>
            <c:strRef>
              <c:f>GUOT!$A$4:$A$17</c:f>
              <c:strCache>
                <c:ptCount val="13"/>
                <c:pt idx="0">
                  <c:v>01/04/2025</c:v>
                </c:pt>
                <c:pt idx="1">
                  <c:v>01/05/2025</c:v>
                </c:pt>
                <c:pt idx="2">
                  <c:v>01/06/2025</c:v>
                </c:pt>
                <c:pt idx="3">
                  <c:v>01/07/2025</c:v>
                </c:pt>
                <c:pt idx="4">
                  <c:v>01/08/2025</c:v>
                </c:pt>
                <c:pt idx="5">
                  <c:v>01/09/2025</c:v>
                </c:pt>
                <c:pt idx="6">
                  <c:v>01/10/2025</c:v>
                </c:pt>
                <c:pt idx="7">
                  <c:v>01/11/2025</c:v>
                </c:pt>
                <c:pt idx="8">
                  <c:v>01/12/2025</c:v>
                </c:pt>
                <c:pt idx="9">
                  <c:v>01/01/2026</c:v>
                </c:pt>
                <c:pt idx="10">
                  <c:v>01/02/2026</c:v>
                </c:pt>
                <c:pt idx="11">
                  <c:v>01/03/2026</c:v>
                </c:pt>
                <c:pt idx="12">
                  <c:v>(blank)</c:v>
                </c:pt>
              </c:strCache>
            </c:strRef>
          </c:cat>
          <c:val>
            <c:numRef>
              <c:f>GUOT!$B$4:$B$17</c:f>
              <c:numCache>
                <c:formatCode>General</c:formatCode>
                <c:ptCount val="13"/>
                <c:pt idx="0">
                  <c:v>8</c:v>
                </c:pt>
                <c:pt idx="1">
                  <c:v>9</c:v>
                </c:pt>
                <c:pt idx="2">
                  <c:v>9.7272727272727266</c:v>
                </c:pt>
                <c:pt idx="3">
                  <c:v>9</c:v>
                </c:pt>
                <c:pt idx="4">
                  <c:v>9.1111111111111107</c:v>
                </c:pt>
                <c:pt idx="5">
                  <c:v>9.25</c:v>
                </c:pt>
                <c:pt idx="6">
                  <c:v>8.9259259259259256</c:v>
                </c:pt>
                <c:pt idx="7">
                  <c:v>8.8275862068965516</c:v>
                </c:pt>
                <c:pt idx="8">
                  <c:v>9.1428571428571423</c:v>
                </c:pt>
                <c:pt idx="9">
                  <c:v>9.0500000000000007</c:v>
                </c:pt>
                <c:pt idx="10">
                  <c:v>8.6666666666666661</c:v>
                </c:pt>
                <c:pt idx="11">
                  <c:v>9.1666666666666661</c:v>
                </c:pt>
              </c:numCache>
            </c:numRef>
          </c:val>
          <c:smooth val="1"/>
          <c:extLst>
            <c:ext xmlns:c16="http://schemas.microsoft.com/office/drawing/2014/chart" uri="{C3380CC4-5D6E-409C-BE32-E72D297353CC}">
              <c16:uniqueId val="{00000000-449A-D046-90A7-0E36DA789CA4}"/>
            </c:ext>
          </c:extLst>
        </c:ser>
        <c:dLbls>
          <c:showLegendKey val="0"/>
          <c:showVal val="0"/>
          <c:showCatName val="0"/>
          <c:showSerName val="0"/>
          <c:showPercent val="0"/>
          <c:showBubbleSize val="0"/>
        </c:dLbls>
        <c:smooth val="0"/>
        <c:axId val="2147463872"/>
        <c:axId val="307795647"/>
      </c:lineChart>
      <c:catAx>
        <c:axId val="21474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95647"/>
        <c:crosses val="autoZero"/>
        <c:auto val="1"/>
        <c:lblAlgn val="ctr"/>
        <c:lblOffset val="100"/>
        <c:noMultiLvlLbl val="0"/>
      </c:catAx>
      <c:valAx>
        <c:axId val="307795647"/>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46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25400</xdr:colOff>
      <xdr:row>1</xdr:row>
      <xdr:rowOff>165100</xdr:rowOff>
    </xdr:from>
    <xdr:to>
      <xdr:col>11</xdr:col>
      <xdr:colOff>508000</xdr:colOff>
      <xdr:row>23</xdr:row>
      <xdr:rowOff>12700</xdr:rowOff>
    </xdr:to>
    <xdr:graphicFrame macro="">
      <xdr:nvGraphicFramePr>
        <xdr:cNvPr id="2" name="Chart 1">
          <a:extLst>
            <a:ext uri="{FF2B5EF4-FFF2-40B4-BE49-F238E27FC236}">
              <a16:creationId xmlns:a16="http://schemas.microsoft.com/office/drawing/2014/main" id="{13D8EA2A-6618-956F-032F-5E812A1A7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584200</xdr:colOff>
      <xdr:row>2</xdr:row>
      <xdr:rowOff>95250</xdr:rowOff>
    </xdr:from>
    <xdr:to>
      <xdr:col>12</xdr:col>
      <xdr:colOff>203200</xdr:colOff>
      <xdr:row>21</xdr:row>
      <xdr:rowOff>190500</xdr:rowOff>
    </xdr:to>
    <xdr:graphicFrame macro="">
      <xdr:nvGraphicFramePr>
        <xdr:cNvPr id="2" name="Chart 1">
          <a:extLst>
            <a:ext uri="{FF2B5EF4-FFF2-40B4-BE49-F238E27FC236}">
              <a16:creationId xmlns:a16="http://schemas.microsoft.com/office/drawing/2014/main" id="{E6C4B20E-D3F4-E05B-9AE2-ACF39347A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539750</xdr:colOff>
      <xdr:row>46</xdr:row>
      <xdr:rowOff>127000</xdr:rowOff>
    </xdr:from>
    <xdr:to>
      <xdr:col>13</xdr:col>
      <xdr:colOff>158750</xdr:colOff>
      <xdr:row>71</xdr:row>
      <xdr:rowOff>12700</xdr:rowOff>
    </xdr:to>
    <xdr:graphicFrame macro="">
      <xdr:nvGraphicFramePr>
        <xdr:cNvPr id="4" name="Chart 3">
          <a:extLst>
            <a:ext uri="{FF2B5EF4-FFF2-40B4-BE49-F238E27FC236}">
              <a16:creationId xmlns:a16="http://schemas.microsoft.com/office/drawing/2014/main" id="{808ECF81-90FF-1B8D-0A56-1CF94ADB8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57150</xdr:colOff>
      <xdr:row>46</xdr:row>
      <xdr:rowOff>190500</xdr:rowOff>
    </xdr:from>
    <xdr:to>
      <xdr:col>18</xdr:col>
      <xdr:colOff>501650</xdr:colOff>
      <xdr:row>70</xdr:row>
      <xdr:rowOff>101600</xdr:rowOff>
    </xdr:to>
    <xdr:graphicFrame macro="">
      <xdr:nvGraphicFramePr>
        <xdr:cNvPr id="5" name="Chart 4">
          <a:extLst>
            <a:ext uri="{FF2B5EF4-FFF2-40B4-BE49-F238E27FC236}">
              <a16:creationId xmlns:a16="http://schemas.microsoft.com/office/drawing/2014/main" id="{A6DDC480-13A1-8E36-8EFB-1B9CA2105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488950</xdr:colOff>
      <xdr:row>71</xdr:row>
      <xdr:rowOff>190500</xdr:rowOff>
    </xdr:from>
    <xdr:to>
      <xdr:col>13</xdr:col>
      <xdr:colOff>107950</xdr:colOff>
      <xdr:row>95</xdr:row>
      <xdr:rowOff>88900</xdr:rowOff>
    </xdr:to>
    <xdr:graphicFrame macro="">
      <xdr:nvGraphicFramePr>
        <xdr:cNvPr id="7" name="Chart 6">
          <a:extLst>
            <a:ext uri="{FF2B5EF4-FFF2-40B4-BE49-F238E27FC236}">
              <a16:creationId xmlns:a16="http://schemas.microsoft.com/office/drawing/2014/main" id="{06481BAC-1D85-A0B0-DD4F-8AEC1EB49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222250</xdr:colOff>
      <xdr:row>97</xdr:row>
      <xdr:rowOff>38100</xdr:rowOff>
    </xdr:from>
    <xdr:to>
      <xdr:col>12</xdr:col>
      <xdr:colOff>666750</xdr:colOff>
      <xdr:row>120</xdr:row>
      <xdr:rowOff>88900</xdr:rowOff>
    </xdr:to>
    <xdr:graphicFrame macro="">
      <xdr:nvGraphicFramePr>
        <xdr:cNvPr id="8" name="Chart 7">
          <a:extLst>
            <a:ext uri="{FF2B5EF4-FFF2-40B4-BE49-F238E27FC236}">
              <a16:creationId xmlns:a16="http://schemas.microsoft.com/office/drawing/2014/main" id="{A62638C5-79BE-2445-CB29-E3DC3694F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793750</xdr:colOff>
      <xdr:row>71</xdr:row>
      <xdr:rowOff>76200</xdr:rowOff>
    </xdr:from>
    <xdr:to>
      <xdr:col>18</xdr:col>
      <xdr:colOff>412750</xdr:colOff>
      <xdr:row>95</xdr:row>
      <xdr:rowOff>25400</xdr:rowOff>
    </xdr:to>
    <xdr:graphicFrame macro="">
      <xdr:nvGraphicFramePr>
        <xdr:cNvPr id="9" name="Chart 8">
          <a:extLst>
            <a:ext uri="{FF2B5EF4-FFF2-40B4-BE49-F238E27FC236}">
              <a16:creationId xmlns:a16="http://schemas.microsoft.com/office/drawing/2014/main" id="{AC0AC930-FEC1-E997-9453-6A85C0070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768350</xdr:colOff>
      <xdr:row>97</xdr:row>
      <xdr:rowOff>0</xdr:rowOff>
    </xdr:from>
    <xdr:to>
      <xdr:col>18</xdr:col>
      <xdr:colOff>387350</xdr:colOff>
      <xdr:row>120</xdr:row>
      <xdr:rowOff>50800</xdr:rowOff>
    </xdr:to>
    <xdr:graphicFrame macro="">
      <xdr:nvGraphicFramePr>
        <xdr:cNvPr id="10" name="Chart 9">
          <a:extLst>
            <a:ext uri="{FF2B5EF4-FFF2-40B4-BE49-F238E27FC236}">
              <a16:creationId xmlns:a16="http://schemas.microsoft.com/office/drawing/2014/main" id="{80B231F6-C4CD-F441-CF4E-A584553F1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596900</xdr:colOff>
      <xdr:row>19</xdr:row>
      <xdr:rowOff>95250</xdr:rowOff>
    </xdr:to>
    <xdr:graphicFrame macro="">
      <xdr:nvGraphicFramePr>
        <xdr:cNvPr id="2" name="Chart 1">
          <a:extLst>
            <a:ext uri="{FF2B5EF4-FFF2-40B4-BE49-F238E27FC236}">
              <a16:creationId xmlns:a16="http://schemas.microsoft.com/office/drawing/2014/main" id="{9BB14059-D1C3-8548-B9C6-061EA4BBC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593538</xdr:colOff>
      <xdr:row>21</xdr:row>
      <xdr:rowOff>31750</xdr:rowOff>
    </xdr:from>
    <xdr:to>
      <xdr:col>6</xdr:col>
      <xdr:colOff>216273</xdr:colOff>
      <xdr:row>45</xdr:row>
      <xdr:rowOff>120650</xdr:rowOff>
    </xdr:to>
    <xdr:graphicFrame macro="">
      <xdr:nvGraphicFramePr>
        <xdr:cNvPr id="3" name="Chart 2">
          <a:extLst>
            <a:ext uri="{FF2B5EF4-FFF2-40B4-BE49-F238E27FC236}">
              <a16:creationId xmlns:a16="http://schemas.microsoft.com/office/drawing/2014/main" id="{74560966-AAB4-1F42-9260-255D97419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114673</xdr:colOff>
      <xdr:row>21</xdr:row>
      <xdr:rowOff>95250</xdr:rowOff>
    </xdr:from>
    <xdr:to>
      <xdr:col>11</xdr:col>
      <xdr:colOff>555438</xdr:colOff>
      <xdr:row>45</xdr:row>
      <xdr:rowOff>6350</xdr:rowOff>
    </xdr:to>
    <xdr:graphicFrame macro="">
      <xdr:nvGraphicFramePr>
        <xdr:cNvPr id="4" name="Chart 3">
          <a:extLst>
            <a:ext uri="{FF2B5EF4-FFF2-40B4-BE49-F238E27FC236}">
              <a16:creationId xmlns:a16="http://schemas.microsoft.com/office/drawing/2014/main" id="{582E8EA4-E8A4-8844-BFC9-D048C12FC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542738</xdr:colOff>
      <xdr:row>46</xdr:row>
      <xdr:rowOff>95251</xdr:rowOff>
    </xdr:from>
    <xdr:to>
      <xdr:col>6</xdr:col>
      <xdr:colOff>165473</xdr:colOff>
      <xdr:row>70</xdr:row>
      <xdr:rowOff>10086</xdr:rowOff>
    </xdr:to>
    <xdr:graphicFrame macro="">
      <xdr:nvGraphicFramePr>
        <xdr:cNvPr id="5" name="Chart 4">
          <a:extLst>
            <a:ext uri="{FF2B5EF4-FFF2-40B4-BE49-F238E27FC236}">
              <a16:creationId xmlns:a16="http://schemas.microsoft.com/office/drawing/2014/main" id="{68E6B77A-7ECE-A74E-A9D1-D1A2D6FB1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279773</xdr:colOff>
      <xdr:row>71</xdr:row>
      <xdr:rowOff>146050</xdr:rowOff>
    </xdr:from>
    <xdr:to>
      <xdr:col>5</xdr:col>
      <xdr:colOff>720537</xdr:colOff>
      <xdr:row>95</xdr:row>
      <xdr:rowOff>10086</xdr:rowOff>
    </xdr:to>
    <xdr:graphicFrame macro="">
      <xdr:nvGraphicFramePr>
        <xdr:cNvPr id="6" name="Chart 5">
          <a:extLst>
            <a:ext uri="{FF2B5EF4-FFF2-40B4-BE49-F238E27FC236}">
              <a16:creationId xmlns:a16="http://schemas.microsoft.com/office/drawing/2014/main" id="{54D3B5D2-E7E6-DF41-9A47-803C0192D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25773</xdr:colOff>
      <xdr:row>45</xdr:row>
      <xdr:rowOff>184150</xdr:rowOff>
    </xdr:from>
    <xdr:to>
      <xdr:col>11</xdr:col>
      <xdr:colOff>470273</xdr:colOff>
      <xdr:row>69</xdr:row>
      <xdr:rowOff>133350</xdr:rowOff>
    </xdr:to>
    <xdr:graphicFrame macro="">
      <xdr:nvGraphicFramePr>
        <xdr:cNvPr id="7" name="Chart 6">
          <a:extLst>
            <a:ext uri="{FF2B5EF4-FFF2-40B4-BE49-F238E27FC236}">
              <a16:creationId xmlns:a16="http://schemas.microsoft.com/office/drawing/2014/main" id="{130C496A-CF5A-624B-AEE9-7EA71C56B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373</xdr:colOff>
      <xdr:row>71</xdr:row>
      <xdr:rowOff>107950</xdr:rowOff>
    </xdr:from>
    <xdr:to>
      <xdr:col>11</xdr:col>
      <xdr:colOff>444873</xdr:colOff>
      <xdr:row>94</xdr:row>
      <xdr:rowOff>158751</xdr:rowOff>
    </xdr:to>
    <xdr:graphicFrame macro="">
      <xdr:nvGraphicFramePr>
        <xdr:cNvPr id="8" name="Chart 7">
          <a:extLst>
            <a:ext uri="{FF2B5EF4-FFF2-40B4-BE49-F238E27FC236}">
              <a16:creationId xmlns:a16="http://schemas.microsoft.com/office/drawing/2014/main" id="{078CDED0-A11D-414C-A7A2-B6090B447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485588</xdr:colOff>
      <xdr:row>2</xdr:row>
      <xdr:rowOff>74706</xdr:rowOff>
    </xdr:from>
    <xdr:to>
      <xdr:col>21</xdr:col>
      <xdr:colOff>176305</xdr:colOff>
      <xdr:row>25</xdr:row>
      <xdr:rowOff>97117</xdr:rowOff>
    </xdr:to>
    <xdr:graphicFrame macro="">
      <xdr:nvGraphicFramePr>
        <xdr:cNvPr id="9" name="Chart 8">
          <a:extLst>
            <a:ext uri="{FF2B5EF4-FFF2-40B4-BE49-F238E27FC236}">
              <a16:creationId xmlns:a16="http://schemas.microsoft.com/office/drawing/2014/main" id="{875653A1-E1B1-284D-AF94-37604DC9C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02.558653009262" createdVersion="8" refreshedVersion="8" minRefreshableVersion="3" recordCount="160" xr:uid="{2F9A693C-2F33-964A-B77C-C4EBCE4176E8}">
  <cacheSource type="worksheet">
    <worksheetSource ref="A1:AT1048576" sheet="optionsdata_for_dashboard"/>
  </cacheSource>
  <cacheFields count="46">
    <cacheField name="session_start" numFmtId="0">
      <sharedItems containsBlank="1"/>
    </cacheField>
    <cacheField name="month" numFmtId="0">
      <sharedItems containsNonDate="0" containsDate="1" containsString="0" containsBlank="1" minDate="2025-04-01T00:00:00" maxDate="2026-03-02T00:00:00" count="13">
        <d v="2025-04-01T00:00:00"/>
        <d v="2025-05-01T00:00:00"/>
        <d v="2025-06-01T00:00:00"/>
        <d v="2025-07-01T00:00:00"/>
        <d v="2025-08-01T00:00:00"/>
        <d v="2025-09-01T00:00:00"/>
        <d v="2025-10-01T00:00:00"/>
        <d v="2025-11-01T00:00:00"/>
        <d v="2025-12-01T00:00:00"/>
        <d v="2026-01-01T00:00:00"/>
        <d v="2026-02-01T00:00:00"/>
        <d v="2026-03-01T00:00:00"/>
        <m/>
      </sharedItems>
    </cacheField>
    <cacheField name="day_of_week" numFmtId="0">
      <sharedItems containsBlank="1"/>
    </cacheField>
    <cacheField name="duration" numFmtId="0">
      <sharedItems containsNonDate="0" containsDate="1" containsString="0" containsBlank="1" minDate="1899-12-30T00:06:48" maxDate="1899-12-30T00:39:58"/>
    </cacheField>
    <cacheField name="level" numFmtId="0">
      <sharedItems containsString="0" containsBlank="1" containsNumber="1" containsInteger="1" minValue="3" maxValue="34"/>
    </cacheField>
    <cacheField name="name" numFmtId="0">
      <sharedItems containsBlank="1"/>
    </cacheField>
    <cacheField name="player" numFmtId="0">
      <sharedItems containsBlank="1" count="21">
        <s v="jack.walsh"/>
        <s v="ciara.scullion"/>
        <s v="jamie.dow"/>
        <s v="zach.davis"/>
        <s v="ritchie.mcgrath"/>
        <s v="peter.graham"/>
        <s v="aoife.breen"/>
        <s v="emma.allsopp"/>
        <s v="storm.chambers"/>
        <s v="caoimhe.kelly"/>
        <s v="sinead.glennon"/>
        <s v="elsa.savage"/>
        <s v="james.sheppy"/>
        <s v="leah.murphy"/>
        <s v="amelia.horwood"/>
        <s v="ellie.walsh"/>
        <s v="donnchadh.tierney"/>
        <s v="mark.mcgarry"/>
        <s v="jessica.mcdonald"/>
        <s v="patrick.collins"/>
        <m/>
      </sharedItems>
    </cacheField>
    <cacheField name="cohort" numFmtId="0">
      <sharedItems containsBlank="1" containsMixedTypes="1" containsNumber="1" containsInteger="1" minValue="1" maxValue="4" count="6">
        <n v="1"/>
        <s v="x"/>
        <n v="2"/>
        <n v="3"/>
        <n v="4"/>
        <m/>
      </sharedItems>
    </cacheField>
    <cacheField name="completion_status" numFmtId="0">
      <sharedItems containsBlank="1"/>
    </cacheField>
    <cacheField name="identify_scope" numFmtId="0">
      <sharedItems containsString="0" containsBlank="1" containsNumber="1" minValue="0" maxValue="1"/>
    </cacheField>
    <cacheField name="incident_mechanics" numFmtId="0">
      <sharedItems containsString="0" containsBlank="1" containsNumber="1" minValue="0" maxValue="1"/>
    </cacheField>
    <cacheField name="external_comms" numFmtId="0">
      <sharedItems containsString="0" containsBlank="1" containsNumber="1" minValue="0" maxValue="0.83333333333333304"/>
    </cacheField>
    <cacheField name="internal_comms" numFmtId="0">
      <sharedItems containsString="0" containsBlank="1" containsNumber="1" minValue="0" maxValue="0.93333333333333302"/>
    </cacheField>
    <cacheField name="commanding_the_incident" numFmtId="0">
      <sharedItems containsString="0" containsBlank="1" containsNumber="1" minValue="0" maxValue="0.72727272727272696"/>
    </cacheField>
    <cacheField name="Complexity: Ambiguous cues (multiple alternatives)" numFmtId="0">
      <sharedItems containsString="0" containsBlank="1" containsNumber="1" containsInteger="1" minValue="0" maxValue="1"/>
    </cacheField>
    <cacheField name="Complexity: Attention Demands" numFmtId="0">
      <sharedItems containsString="0" containsBlank="1" containsNumber="1" containsInteger="1" minValue="0" maxValue="1"/>
    </cacheField>
    <cacheField name="Complexity: Conflicting Advice" numFmtId="0">
      <sharedItems containsString="0" containsBlank="1" containsNumber="1" containsInteger="1" minValue="0" maxValue="1"/>
    </cacheField>
    <cacheField name="Complexity: Decreased access to team members" numFmtId="0">
      <sharedItems containsString="0" containsBlank="1" containsNumber="1" containsInteger="1" minValue="0" maxValue="1"/>
    </cacheField>
    <cacheField name="Complexity: Distributed information across individuals/organiza" numFmtId="0">
      <sharedItems containsString="0" containsBlank="1" containsNumber="1" containsInteger="1" minValue="0" maxValue="1"/>
    </cacheField>
    <cacheField name="Complexity: Doublebind situations (dilemmas)" numFmtId="0">
      <sharedItems containsString="0" containsBlank="1" containsNumber="1" containsInteger="1" minValue="0" maxValue="1"/>
    </cacheField>
    <cacheField name="Complexity: False prime explanations (garden path)" numFmtId="0">
      <sharedItems containsString="0" containsBlank="1" containsNumber="1" containsInteger="1" minValue="0" maxValue="1"/>
    </cacheField>
    <cacheField name="Complexity: Hidden coupling (effects at a distance; cascading e" numFmtId="0">
      <sharedItems containsString="0" containsBlank="1" containsNumber="1" containsInteger="1" minValue="0" maxValue="1"/>
    </cacheField>
    <cacheField name="Complexity: Implied relationship (red herring)" numFmtId="0">
      <sharedItems containsString="0" containsBlank="1" containsNumber="1" containsInteger="1" minValue="0" maxValue="1"/>
    </cacheField>
    <cacheField name="Complexity: Interdependencies amongst roles (someone needs some" numFmtId="0">
      <sharedItems containsString="0" containsBlank="1" containsNumber="1" containsInteger="1" minValue="0" maxValue="1"/>
    </cacheField>
    <cacheField name="Complexity: Lack of predefined plan" numFmtId="0">
      <sharedItems containsString="0" containsBlank="1" containsNumber="1" containsInteger="1" minValue="0" maxValue="1"/>
    </cacheField>
    <cacheField name="Complexity: Misleading indicators (low predictive value)" numFmtId="0">
      <sharedItems containsString="0" containsBlank="1" containsNumber="1" containsInteger="1" minValue="0" maxValue="1"/>
    </cacheField>
    <cacheField name="Complexity: Mismatch between prede fined plans or procedures an" numFmtId="0">
      <sharedItems containsString="0" containsBlank="1" containsNumber="1" containsInteger="1" minValue="0" maxValue="1"/>
    </cacheField>
    <cacheField name="Complexity: Missing Information" numFmtId="0">
      <sharedItems containsString="0" containsBlank="1" containsNumber="1" containsInteger="1" minValue="0" maxValue="1"/>
    </cacheField>
    <cacheField name="Complexity: Multi Party Dilema" numFmtId="0">
      <sharedItems containsString="0" containsBlank="1" containsNumber="1" containsInteger="1" minValue="0" maxValue="1"/>
    </cacheField>
    <cacheField name="Complexity: Multiple simultaneous influences (more than one exp" numFmtId="0">
      <sharedItems containsString="0" containsBlank="1" containsNumber="1" containsInteger="1" minValue="0" maxValue="0"/>
    </cacheField>
    <cacheField name="Complexity: Multiple simultaneous influences (multiple explanat" numFmtId="0">
      <sharedItems containsString="0" containsBlank="1" containsNumber="1" containsInteger="1" minValue="0" maxValue="1"/>
    </cacheField>
    <cacheField name="Complexity: Saturation" numFmtId="0">
      <sharedItems containsString="0" containsBlank="1" containsNumber="1" containsInteger="1" minValue="0" maxValue="1"/>
    </cacheField>
    <cacheField name="Complexity: Simultaneous seperate issues" numFmtId="0">
      <sharedItems containsString="0" containsBlank="1" containsNumber="1" containsInteger="1" minValue="0" maxValue="1"/>
    </cacheField>
    <cacheField name="Complexity: Stakeholder Interference" numFmtId="0">
      <sharedItems containsString="0" containsBlank="1" containsNumber="1" containsInteger="1" minValue="0" maxValue="1"/>
    </cacheField>
    <cacheField name="Complexity: Stereotype violations (not the usual suspect)" numFmtId="0">
      <sharedItems containsString="0" containsBlank="1" containsNumber="1" containsInteger="1" minValue="0" maxValue="1"/>
    </cacheField>
    <cacheField name="Complexity: Stress or fatigue" numFmtId="0">
      <sharedItems containsString="0" containsBlank="1" containsNumber="1" containsInteger="1" minValue="0" maxValue="1"/>
    </cacheField>
    <cacheField name="Complexity: Uncertain information (unreliable data)" numFmtId="0">
      <sharedItems containsString="0" containsBlank="1" containsNumber="1" containsInteger="1" minValue="0" maxValue="1"/>
    </cacheField>
    <cacheField name="Complexity: Unintended effects (managing side effects)" numFmtId="0">
      <sharedItems containsString="0" containsBlank="1" containsNumber="1" containsInteger="1" minValue="0" maxValue="1"/>
    </cacheField>
    <cacheField name="Complexity: Absence of strong signals (no alarms, no threshold" numFmtId="0">
      <sharedItems containsString="0" containsBlank="1" containsNumber="1" containsInteger="1" minValue="0" maxValue="0"/>
    </cacheField>
    <cacheField name="max" numFmtId="0">
      <sharedItems containsBlank="1"/>
    </cacheField>
    <cacheField name="Category: Detecting" numFmtId="0">
      <sharedItems containsString="0" containsBlank="1" containsNumber="1" containsInteger="1" minValue="0" maxValue="1"/>
    </cacheField>
    <cacheField name="Category: Sensemaking" numFmtId="0">
      <sharedItems containsString="0" containsBlank="1" containsNumber="1" containsInteger="1" minValue="0" maxValue="4"/>
    </cacheField>
    <cacheField name="Category: Planning" numFmtId="0">
      <sharedItems containsString="0" containsBlank="1" containsNumber="1" containsInteger="1" minValue="0" maxValue="2"/>
    </cacheField>
    <cacheField name="Category: Deciding" numFmtId="0">
      <sharedItems containsString="0" containsBlank="1" containsNumber="1" containsInteger="1" minValue="0" maxValue="2"/>
    </cacheField>
    <cacheField name="Category: Coordination" numFmtId="0">
      <sharedItems containsString="0" containsBlank="1" containsNumber="1" containsInteger="1" minValue="0" maxValue="2"/>
    </cacheField>
    <cacheField name="Category: Executin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02.561859490743" createdVersion="8" refreshedVersion="8" minRefreshableVersion="3" recordCount="371" xr:uid="{AE944399-6A99-2A4A-8FD6-859DA8D831CB}">
  <cacheSource type="worksheet">
    <worksheetSource ref="A1:V1048576" sheet="airtable"/>
  </cacheSource>
  <cacheFields count="22">
    <cacheField name="Date" numFmtId="0">
      <sharedItems containsNonDate="0" containsDate="1" containsString="0" containsBlank="1" minDate="2025-04-29T00:00:00" maxDate="2026-03-28T00:00:00"/>
    </cacheField>
    <cacheField name="month" numFmtId="0">
      <sharedItems containsNonDate="0" containsDate="1" containsString="0" containsBlank="1" minDate="2025-04-01T00:00:00" maxDate="2026-03-02T00:00:00" count="13">
        <d v="2025-04-01T00:00:00"/>
        <d v="2025-05-01T00:00:00"/>
        <d v="2025-06-01T00:00:00"/>
        <d v="2025-07-01T00:00:00"/>
        <d v="2025-08-01T00:00:00"/>
        <d v="2025-09-01T00:00:00"/>
        <d v="2025-10-01T00:00:00"/>
        <d v="2025-11-01T00:00:00"/>
        <d v="2025-12-01T00:00:00"/>
        <d v="2026-01-01T00:00:00"/>
        <d v="2026-02-01T00:00:00"/>
        <d v="2026-03-01T00:00:00"/>
        <m/>
      </sharedItems>
    </cacheField>
    <cacheField name="Time" numFmtId="0">
      <sharedItems containsNonDate="0" containsDate="1" containsString="0" containsBlank="1" minDate="1899-12-30T08:30:00" maxDate="1899-12-30T17:00:00"/>
    </cacheField>
    <cacheField name="Name" numFmtId="0">
      <sharedItems containsBlank="1"/>
    </cacheField>
    <cacheField name="Company" numFmtId="0">
      <sharedItems containsBlank="1"/>
    </cacheField>
    <cacheField name="Sessions Done" numFmtId="0">
      <sharedItems containsString="0" containsBlank="1" containsNumber="1" containsInteger="1" minValue="0" maxValue="17"/>
    </cacheField>
    <cacheField name="Session Plan" numFmtId="0">
      <sharedItems containsBlank="1"/>
    </cacheField>
    <cacheField name="AI" numFmtId="0">
      <sharedItems containsBlank="1"/>
    </cacheField>
    <cacheField name="Lead" numFmtId="0">
      <sharedItems containsBlank="1"/>
    </cacheField>
    <cacheField name="Star Guru" numFmtId="0">
      <sharedItems containsBlank="1"/>
    </cacheField>
    <cacheField name="Session Notes" numFmtId="0">
      <sharedItems containsBlank="1"/>
    </cacheField>
    <cacheField name="GUOT" numFmtId="0">
      <sharedItems containsBlank="1" containsMixedTypes="1" containsNumber="1" containsInteger="1" minValue="4" maxValue="10"/>
    </cacheField>
    <cacheField name="Score Notes" numFmtId="0">
      <sharedItems containsBlank="1" longText="1"/>
    </cacheField>
    <cacheField name="Session ID" numFmtId="0">
      <sharedItems containsString="0" containsBlank="1" containsNumber="1" containsInteger="1" minValue="4049" maxValue="8037"/>
    </cacheField>
    <cacheField name="Feedback Quality Score" numFmtId="0">
      <sharedItems containsNonDate="0" containsString="0" containsBlank="1"/>
    </cacheField>
    <cacheField name="Feedback Notes" numFmtId="0">
      <sharedItems containsNonDate="0" containsString="0" containsBlank="1"/>
    </cacheField>
    <cacheField name="Attendance" numFmtId="0">
      <sharedItems containsBlank="1"/>
    </cacheField>
    <cacheField name="Attendance Reason" numFmtId="0">
      <sharedItems containsBlank="1"/>
    </cacheField>
    <cacheField name="INC #" numFmtId="0">
      <sharedItems containsBlank="1"/>
    </cacheField>
    <cacheField name="Technical Issues" numFmtId="0">
      <sharedItems containsBlank="1"/>
    </cacheField>
    <cacheField name="Technical Issue Reason" numFmtId="0">
      <sharedItems containsBlank="1" longText="1"/>
    </cacheField>
    <cacheField name="Notes for Mildr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2025-04-30 01:00:00.000 +0100"/>
    <x v="0"/>
    <s v="Wednesday"/>
    <d v="1899-12-30T00:13:43"/>
    <n v="3"/>
    <s v="Too Good To Be True"/>
    <x v="0"/>
    <x v="0"/>
    <s v="COMPLETED"/>
    <n v="0.77777777777777701"/>
    <n v="1"/>
    <n v="0.66666666666666596"/>
    <n v="0.6"/>
    <n v="0.27272727272727199"/>
    <n v="0"/>
    <n v="0"/>
    <n v="1"/>
    <n v="0"/>
    <n v="0"/>
    <n v="0"/>
    <n v="0"/>
    <n v="0"/>
    <n v="0"/>
    <n v="0"/>
    <n v="0"/>
    <n v="0"/>
    <n v="0"/>
    <n v="0"/>
    <n v="0"/>
    <n v="0"/>
    <n v="0"/>
    <n v="0"/>
    <n v="0"/>
    <n v="0"/>
    <n v="0"/>
    <n v="0"/>
    <n v="1"/>
    <n v="0"/>
    <n v="0"/>
    <s v="-"/>
    <n v="0"/>
    <n v="1"/>
    <n v="2"/>
    <n v="0"/>
    <n v="0"/>
    <n v="0"/>
  </r>
  <r>
    <s v="2025-04-30 01:00:00.000 +0100"/>
    <x v="0"/>
    <s v="Wednesday"/>
    <d v="1899-12-30T00:20:01"/>
    <n v="3"/>
    <s v="Too Good To Be True"/>
    <x v="0"/>
    <x v="0"/>
    <s v="OUT_OF_TIME"/>
    <n v="0"/>
    <n v="0.5"/>
    <n v="0.33333333333333298"/>
    <n v="0"/>
    <n v="0"/>
    <n v="0"/>
    <n v="0"/>
    <n v="1"/>
    <n v="0"/>
    <n v="0"/>
    <n v="0"/>
    <n v="0"/>
    <n v="0"/>
    <n v="0"/>
    <n v="0"/>
    <n v="0"/>
    <n v="0"/>
    <n v="0"/>
    <n v="0"/>
    <n v="0"/>
    <n v="0"/>
    <n v="0"/>
    <n v="0"/>
    <n v="0"/>
    <n v="0"/>
    <n v="0"/>
    <n v="0"/>
    <n v="1"/>
    <n v="0"/>
    <n v="0"/>
    <s v="-"/>
    <n v="0"/>
    <n v="1"/>
    <n v="2"/>
    <n v="0"/>
    <n v="0"/>
    <n v="0"/>
  </r>
  <r>
    <s v="2025-05-01 01:00:00.000 +0100"/>
    <x v="1"/>
    <s v="Thursday "/>
    <d v="1899-12-30T00:20:01"/>
    <n v="3"/>
    <s v="Too Good To Be True"/>
    <x v="1"/>
    <x v="0"/>
    <s v="OUT_OF_TIME"/>
    <n v="0.33333333333333298"/>
    <n v="1"/>
    <n v="0.5"/>
    <n v="0.46666666666666601"/>
    <n v="0.18181818181818099"/>
    <n v="0"/>
    <n v="0"/>
    <n v="1"/>
    <n v="0"/>
    <n v="0"/>
    <n v="0"/>
    <n v="0"/>
    <n v="0"/>
    <n v="0"/>
    <n v="0"/>
    <n v="0"/>
    <n v="0"/>
    <n v="0"/>
    <n v="0"/>
    <n v="0"/>
    <n v="0"/>
    <n v="0"/>
    <n v="0"/>
    <n v="0"/>
    <n v="0"/>
    <n v="0"/>
    <n v="0"/>
    <n v="1"/>
    <n v="0"/>
    <n v="0"/>
    <s v="-"/>
    <n v="0"/>
    <n v="1"/>
    <n v="2"/>
    <n v="0"/>
    <n v="0"/>
    <n v="0"/>
  </r>
  <r>
    <s v="2025-05-07 01:00:00.000 +0100"/>
    <x v="1"/>
    <s v="Wednesday"/>
    <d v="1899-12-30T00:13:36"/>
    <n v="5"/>
    <s v="Bezs Beatles Day!"/>
    <x v="0"/>
    <x v="0"/>
    <s v="COMPLETED"/>
    <n v="0.77777777777777701"/>
    <n v="1"/>
    <n v="0.66666666666666596"/>
    <n v="0.6"/>
    <n v="0.36363636363636298"/>
    <n v="0"/>
    <n v="0"/>
    <n v="1"/>
    <n v="0"/>
    <n v="0"/>
    <n v="0"/>
    <n v="0"/>
    <n v="0"/>
    <n v="0"/>
    <n v="0"/>
    <n v="0"/>
    <n v="1"/>
    <n v="0"/>
    <n v="0"/>
    <n v="0"/>
    <n v="0"/>
    <n v="0"/>
    <n v="0"/>
    <n v="0"/>
    <n v="0"/>
    <n v="0"/>
    <n v="0"/>
    <n v="0"/>
    <n v="0"/>
    <n v="0"/>
    <s v="-"/>
    <n v="0"/>
    <n v="1"/>
    <n v="1"/>
    <n v="0"/>
    <n v="0"/>
    <n v="0"/>
  </r>
  <r>
    <s v="2025-05-08 01:00:00.000 +0100"/>
    <x v="1"/>
    <s v="Thursday "/>
    <d v="1899-12-30T00:20:14"/>
    <n v="5"/>
    <s v="Bezs Beatles Day!"/>
    <x v="1"/>
    <x v="0"/>
    <s v="COMPLETED"/>
    <n v="0.66666666666666596"/>
    <n v="0"/>
    <n v="0.16666666666666599"/>
    <n v="0.46666666666666601"/>
    <n v="0.27272727272727199"/>
    <n v="0"/>
    <n v="0"/>
    <n v="1"/>
    <n v="0"/>
    <n v="0"/>
    <n v="0"/>
    <n v="0"/>
    <n v="0"/>
    <n v="0"/>
    <n v="0"/>
    <n v="0"/>
    <n v="1"/>
    <n v="0"/>
    <n v="0"/>
    <n v="0"/>
    <n v="0"/>
    <n v="0"/>
    <n v="0"/>
    <n v="0"/>
    <n v="0"/>
    <n v="0"/>
    <n v="0"/>
    <n v="0"/>
    <n v="0"/>
    <n v="0"/>
    <s v="-"/>
    <n v="0"/>
    <n v="1"/>
    <n v="1"/>
    <n v="0"/>
    <n v="0"/>
    <n v="0"/>
  </r>
  <r>
    <s v="2025-05-12 01:00:00.000 +0100"/>
    <x v="1"/>
    <s v="Monday   "/>
    <d v="1899-12-30T00:15:42"/>
    <n v="3"/>
    <s v="Too Good To Be True"/>
    <x v="2"/>
    <x v="0"/>
    <s v="COMPLETED"/>
    <n v="0.55555555555555503"/>
    <n v="1"/>
    <n v="0.66666666666666596"/>
    <n v="0.53333333333333299"/>
    <n v="0.18181818181818099"/>
    <n v="0"/>
    <n v="0"/>
    <n v="1"/>
    <n v="0"/>
    <n v="0"/>
    <n v="0"/>
    <n v="0"/>
    <n v="0"/>
    <n v="0"/>
    <n v="0"/>
    <n v="0"/>
    <n v="0"/>
    <n v="0"/>
    <n v="0"/>
    <n v="0"/>
    <n v="0"/>
    <n v="0"/>
    <n v="0"/>
    <n v="0"/>
    <n v="0"/>
    <n v="0"/>
    <n v="0"/>
    <n v="1"/>
    <n v="0"/>
    <n v="0"/>
    <s v="-"/>
    <n v="0"/>
    <n v="1"/>
    <n v="2"/>
    <n v="0"/>
    <n v="0"/>
    <n v="0"/>
  </r>
  <r>
    <s v="2025-05-16 01:00:00.000 +0100"/>
    <x v="1"/>
    <s v="Friday   "/>
    <d v="1899-12-30T00:14:23"/>
    <n v="3"/>
    <s v="Too Good To Be True"/>
    <x v="3"/>
    <x v="0"/>
    <s v="COMPLETED"/>
    <n v="0"/>
    <n v="0.5"/>
    <n v="0.5"/>
    <n v="0.133333333333333"/>
    <n v="0"/>
    <n v="0"/>
    <n v="0"/>
    <n v="1"/>
    <n v="0"/>
    <n v="0"/>
    <n v="0"/>
    <n v="0"/>
    <n v="0"/>
    <n v="0"/>
    <n v="0"/>
    <n v="0"/>
    <n v="0"/>
    <n v="0"/>
    <n v="0"/>
    <n v="0"/>
    <n v="0"/>
    <n v="0"/>
    <n v="0"/>
    <n v="0"/>
    <n v="0"/>
    <n v="0"/>
    <n v="0"/>
    <n v="1"/>
    <n v="0"/>
    <n v="0"/>
    <s v="-"/>
    <n v="0"/>
    <n v="1"/>
    <n v="2"/>
    <n v="0"/>
    <n v="0"/>
    <n v="0"/>
  </r>
  <r>
    <s v="2025-05-19 01:00:00.000 +0100"/>
    <x v="1"/>
    <s v="Monday   "/>
    <d v="1899-12-30T00:17:50"/>
    <n v="5"/>
    <s v="Bezs Beatles Day!"/>
    <x v="2"/>
    <x v="0"/>
    <s v="COMPLETED"/>
    <n v="1"/>
    <n v="1"/>
    <n v="0.5"/>
    <n v="0.6"/>
    <n v="0.36363636363636298"/>
    <n v="0"/>
    <n v="0"/>
    <n v="1"/>
    <n v="0"/>
    <n v="0"/>
    <n v="0"/>
    <n v="0"/>
    <n v="0"/>
    <n v="0"/>
    <n v="0"/>
    <n v="0"/>
    <n v="1"/>
    <n v="0"/>
    <n v="0"/>
    <n v="0"/>
    <n v="0"/>
    <n v="0"/>
    <n v="0"/>
    <n v="0"/>
    <n v="0"/>
    <n v="0"/>
    <n v="0"/>
    <n v="0"/>
    <n v="0"/>
    <n v="0"/>
    <s v="-"/>
    <n v="0"/>
    <n v="1"/>
    <n v="1"/>
    <n v="0"/>
    <n v="0"/>
    <n v="0"/>
  </r>
  <r>
    <s v="2025-05-21 01:00:00.000 +0100"/>
    <x v="1"/>
    <s v="Wednesday"/>
    <d v="1899-12-30T00:13:03"/>
    <n v="3"/>
    <s v="Too Good To Be True"/>
    <x v="4"/>
    <x v="0"/>
    <s v="COMPLETED"/>
    <n v="0.55555555555555503"/>
    <n v="1"/>
    <n v="0.83333333333333304"/>
    <n v="0.4"/>
    <n v="0.27272727272727199"/>
    <n v="0"/>
    <n v="0"/>
    <n v="1"/>
    <n v="0"/>
    <n v="0"/>
    <n v="0"/>
    <n v="0"/>
    <n v="0"/>
    <n v="0"/>
    <n v="0"/>
    <n v="0"/>
    <n v="0"/>
    <n v="0"/>
    <n v="0"/>
    <n v="0"/>
    <n v="0"/>
    <n v="0"/>
    <n v="0"/>
    <n v="0"/>
    <n v="0"/>
    <n v="0"/>
    <n v="0"/>
    <n v="1"/>
    <n v="0"/>
    <n v="0"/>
    <s v="-"/>
    <n v="0"/>
    <n v="1"/>
    <n v="2"/>
    <n v="0"/>
    <n v="0"/>
    <n v="0"/>
  </r>
  <r>
    <s v="2025-05-22 01:00:00.000 +0100"/>
    <x v="1"/>
    <s v="Thursday "/>
    <d v="1899-12-30T00:20:01"/>
    <n v="6"/>
    <s v="The Big Investor"/>
    <x v="1"/>
    <x v="0"/>
    <s v="OUT_OF_TIME"/>
    <n v="0.44444444444444398"/>
    <n v="1"/>
    <n v="0.33333333333333298"/>
    <n v="0.266666666666666"/>
    <n v="0.27272727272727199"/>
    <n v="0"/>
    <n v="0"/>
    <n v="0"/>
    <n v="0"/>
    <n v="0"/>
    <n v="0"/>
    <n v="0"/>
    <n v="0"/>
    <n v="1"/>
    <n v="0"/>
    <n v="0"/>
    <n v="0"/>
    <n v="0"/>
    <n v="0"/>
    <n v="0"/>
    <n v="0"/>
    <n v="0"/>
    <n v="0"/>
    <n v="0"/>
    <n v="1"/>
    <n v="1"/>
    <n v="1"/>
    <n v="0"/>
    <n v="0"/>
    <n v="0"/>
    <s v="-"/>
    <n v="0"/>
    <n v="2"/>
    <n v="0"/>
    <n v="2"/>
    <n v="0"/>
    <n v="0"/>
  </r>
  <r>
    <s v="2025-05-28 01:00:00.000 +0100"/>
    <x v="1"/>
    <s v="Wednesday"/>
    <d v="1899-12-30T00:18:15"/>
    <n v="6"/>
    <s v="The Big Investor"/>
    <x v="0"/>
    <x v="0"/>
    <s v="COMPLETED"/>
    <n v="1"/>
    <n v="1"/>
    <n v="0.83333333333333304"/>
    <n v="0.66666666666666596"/>
    <n v="0.45454545454545398"/>
    <n v="0"/>
    <n v="0"/>
    <n v="0"/>
    <n v="0"/>
    <n v="0"/>
    <n v="0"/>
    <n v="0"/>
    <n v="0"/>
    <n v="1"/>
    <n v="0"/>
    <n v="0"/>
    <n v="0"/>
    <n v="0"/>
    <n v="0"/>
    <n v="0"/>
    <n v="0"/>
    <n v="0"/>
    <n v="0"/>
    <n v="0"/>
    <n v="1"/>
    <n v="1"/>
    <n v="1"/>
    <n v="0"/>
    <n v="0"/>
    <n v="0"/>
    <s v="-"/>
    <n v="0"/>
    <n v="2"/>
    <n v="0"/>
    <n v="2"/>
    <n v="0"/>
    <n v="0"/>
  </r>
  <r>
    <s v="2025-05-29 01:00:00.000 +0100"/>
    <x v="1"/>
    <s v="Thursday "/>
    <d v="1899-12-30T00:17:42"/>
    <n v="7"/>
    <s v="Rumours"/>
    <x v="1"/>
    <x v="0"/>
    <s v="COMPLETED"/>
    <n v="0.55555555555555503"/>
    <n v="1"/>
    <n v="0.66666666666666596"/>
    <n v="0.46666666666666601"/>
    <n v="0.45454545454545398"/>
    <n v="0"/>
    <n v="0"/>
    <n v="0"/>
    <n v="0"/>
    <n v="0"/>
    <n v="0"/>
    <n v="1"/>
    <n v="0"/>
    <n v="1"/>
    <n v="0"/>
    <n v="0"/>
    <n v="0"/>
    <n v="0"/>
    <n v="0"/>
    <n v="0"/>
    <n v="0"/>
    <n v="0"/>
    <n v="0"/>
    <n v="0"/>
    <n v="0"/>
    <n v="0"/>
    <n v="1"/>
    <n v="0"/>
    <n v="0"/>
    <n v="0"/>
    <s v="-"/>
    <n v="0"/>
    <n v="2"/>
    <n v="0"/>
    <n v="1"/>
    <n v="0"/>
    <n v="0"/>
  </r>
  <r>
    <s v="2025-06-04 01:00:00.000 +0100"/>
    <x v="2"/>
    <s v="Wednesday"/>
    <d v="1899-12-30T00:18:45"/>
    <n v="5"/>
    <s v="Bezs Beatles Day!"/>
    <x v="4"/>
    <x v="0"/>
    <s v="COMPLETED"/>
    <n v="0.77777777777777701"/>
    <n v="1"/>
    <n v="0.83333333333333304"/>
    <n v="0.66666666666666596"/>
    <n v="0.45454545454545398"/>
    <n v="0"/>
    <n v="0"/>
    <n v="1"/>
    <n v="0"/>
    <n v="0"/>
    <n v="0"/>
    <n v="0"/>
    <n v="0"/>
    <n v="0"/>
    <n v="0"/>
    <n v="0"/>
    <n v="1"/>
    <n v="0"/>
    <n v="0"/>
    <n v="0"/>
    <n v="0"/>
    <n v="0"/>
    <n v="0"/>
    <n v="0"/>
    <n v="0"/>
    <n v="0"/>
    <n v="0"/>
    <n v="0"/>
    <n v="0"/>
    <n v="0"/>
    <s v="-"/>
    <n v="0"/>
    <n v="1"/>
    <n v="1"/>
    <n v="0"/>
    <n v="0"/>
    <n v="0"/>
  </r>
  <r>
    <s v="2025-06-06 01:00:00.000 +0100"/>
    <x v="2"/>
    <s v="Friday   "/>
    <d v="1899-12-30T00:19:15"/>
    <n v="16"/>
    <s v="Radio Silence"/>
    <x v="1"/>
    <x v="0"/>
    <s v="COMPLETED"/>
    <n v="0.55555555555555503"/>
    <n v="1"/>
    <n v="0.66666666666666596"/>
    <n v="0.4"/>
    <n v="9.0909090909090898E-2"/>
    <n v="0"/>
    <n v="0"/>
    <n v="0"/>
    <n v="1"/>
    <n v="0"/>
    <n v="0"/>
    <n v="0"/>
    <n v="0"/>
    <n v="0"/>
    <n v="0"/>
    <n v="0"/>
    <n v="0"/>
    <n v="0"/>
    <n v="1"/>
    <n v="0"/>
    <n v="0"/>
    <n v="0"/>
    <n v="0"/>
    <n v="0"/>
    <n v="0"/>
    <n v="0"/>
    <n v="0"/>
    <n v="0"/>
    <n v="0"/>
    <n v="0"/>
    <s v="-"/>
    <n v="0"/>
    <n v="1"/>
    <n v="0"/>
    <n v="0"/>
    <n v="1"/>
    <n v="0"/>
  </r>
  <r>
    <s v="2025-06-06 01:00:00.000 +0100"/>
    <x v="2"/>
    <s v="Friday   "/>
    <d v="1899-12-30T00:17:25"/>
    <n v="5"/>
    <s v="Bezs Beatles Day!"/>
    <x v="3"/>
    <x v="0"/>
    <s v="COMPLETED"/>
    <n v="0.55555555555555503"/>
    <n v="1"/>
    <n v="0.66666666666666596"/>
    <n v="0.46666666666666601"/>
    <n v="0.18181818181818099"/>
    <n v="0"/>
    <n v="0"/>
    <n v="1"/>
    <n v="0"/>
    <n v="0"/>
    <n v="0"/>
    <n v="0"/>
    <n v="0"/>
    <n v="0"/>
    <n v="0"/>
    <n v="0"/>
    <n v="1"/>
    <n v="0"/>
    <n v="0"/>
    <n v="0"/>
    <n v="0"/>
    <n v="0"/>
    <n v="0"/>
    <n v="0"/>
    <n v="0"/>
    <n v="0"/>
    <n v="0"/>
    <n v="0"/>
    <n v="0"/>
    <n v="0"/>
    <s v="-"/>
    <n v="0"/>
    <n v="1"/>
    <n v="1"/>
    <n v="0"/>
    <n v="0"/>
    <n v="0"/>
  </r>
  <r>
    <s v="2025-06-09 01:00:00.000 +0100"/>
    <x v="2"/>
    <s v="Monday   "/>
    <d v="1899-12-30T00:19:24"/>
    <n v="6"/>
    <s v="The Big Investor"/>
    <x v="2"/>
    <x v="0"/>
    <s v="COMPLETED"/>
    <n v="0.44444444444444398"/>
    <n v="1"/>
    <n v="0.83333333333333304"/>
    <n v="0.53333333333333299"/>
    <n v="0.27272727272727199"/>
    <n v="0"/>
    <n v="0"/>
    <n v="0"/>
    <n v="0"/>
    <n v="0"/>
    <n v="0"/>
    <n v="0"/>
    <n v="0"/>
    <n v="1"/>
    <n v="0"/>
    <n v="0"/>
    <n v="0"/>
    <n v="0"/>
    <n v="0"/>
    <n v="0"/>
    <n v="0"/>
    <n v="0"/>
    <n v="0"/>
    <n v="0"/>
    <n v="1"/>
    <n v="1"/>
    <n v="1"/>
    <n v="0"/>
    <n v="0"/>
    <n v="0"/>
    <s v="-"/>
    <n v="0"/>
    <n v="2"/>
    <n v="0"/>
    <n v="2"/>
    <n v="0"/>
    <n v="0"/>
  </r>
  <r>
    <s v="2025-06-11 01:00:00.000 +0100"/>
    <x v="2"/>
    <s v="Wednesday"/>
    <d v="1899-12-30T00:14:59"/>
    <n v="7"/>
    <s v="Rumours"/>
    <x v="0"/>
    <x v="0"/>
    <s v="COMPLETED"/>
    <n v="0.66666666666666596"/>
    <n v="0"/>
    <n v="0"/>
    <n v="0.4"/>
    <n v="0.36363636363636298"/>
    <n v="0"/>
    <n v="0"/>
    <n v="0"/>
    <n v="0"/>
    <n v="0"/>
    <n v="0"/>
    <n v="1"/>
    <n v="0"/>
    <n v="1"/>
    <n v="0"/>
    <n v="0"/>
    <n v="0"/>
    <n v="0"/>
    <n v="0"/>
    <n v="0"/>
    <n v="0"/>
    <n v="0"/>
    <n v="0"/>
    <n v="0"/>
    <n v="0"/>
    <n v="0"/>
    <n v="1"/>
    <n v="0"/>
    <n v="0"/>
    <n v="0"/>
    <s v="-"/>
    <n v="0"/>
    <n v="2"/>
    <n v="0"/>
    <n v="1"/>
    <n v="0"/>
    <n v="0"/>
  </r>
  <r>
    <s v="2025-06-11 01:00:00.000 +0100"/>
    <x v="2"/>
    <s v="Wednesday"/>
    <d v="1899-12-30T00:16:55"/>
    <n v="6"/>
    <s v="The Big Investor"/>
    <x v="4"/>
    <x v="0"/>
    <s v="COMPLETED"/>
    <n v="0.44444444444444398"/>
    <n v="1"/>
    <n v="0.5"/>
    <n v="0.53333333333333299"/>
    <n v="0.36363636363636298"/>
    <n v="0"/>
    <n v="0"/>
    <n v="0"/>
    <n v="0"/>
    <n v="0"/>
    <n v="0"/>
    <n v="0"/>
    <n v="0"/>
    <n v="1"/>
    <n v="0"/>
    <n v="0"/>
    <n v="0"/>
    <n v="0"/>
    <n v="0"/>
    <n v="0"/>
    <n v="0"/>
    <n v="0"/>
    <n v="0"/>
    <n v="0"/>
    <n v="1"/>
    <n v="1"/>
    <n v="1"/>
    <n v="0"/>
    <n v="0"/>
    <n v="0"/>
    <s v="-"/>
    <n v="0"/>
    <n v="2"/>
    <n v="0"/>
    <n v="2"/>
    <n v="0"/>
    <n v="0"/>
  </r>
  <r>
    <s v="2025-06-13 01:00:00.000 +0100"/>
    <x v="2"/>
    <s v="Friday   "/>
    <d v="1899-12-30T00:20:01"/>
    <n v="14"/>
    <s v="Missing Delivery"/>
    <x v="1"/>
    <x v="0"/>
    <s v="OUT_OF_TIME"/>
    <n v="0.33333333333333298"/>
    <n v="1"/>
    <n v="0.66666666666666596"/>
    <n v="0.6"/>
    <n v="0.45454545454545398"/>
    <n v="0"/>
    <n v="0"/>
    <n v="0"/>
    <n v="0"/>
    <n v="0"/>
    <n v="0"/>
    <n v="0"/>
    <n v="0"/>
    <n v="1"/>
    <n v="1"/>
    <n v="0"/>
    <n v="0"/>
    <n v="0"/>
    <n v="0"/>
    <n v="1"/>
    <n v="0"/>
    <n v="0"/>
    <n v="0"/>
    <n v="0"/>
    <n v="0"/>
    <n v="0"/>
    <n v="0"/>
    <n v="0"/>
    <n v="0"/>
    <n v="0"/>
    <s v="-"/>
    <n v="1"/>
    <n v="2"/>
    <n v="1"/>
    <n v="1"/>
    <n v="2"/>
    <n v="1"/>
  </r>
  <r>
    <s v="2025-06-18 01:00:00.000 +0100"/>
    <x v="2"/>
    <s v="Wednesday"/>
    <d v="1899-12-30T00:18:29"/>
    <n v="14"/>
    <s v="Missing Delivery"/>
    <x v="0"/>
    <x v="0"/>
    <s v="COMPLETED"/>
    <n v="1"/>
    <n v="1"/>
    <n v="0.83333333333333304"/>
    <n v="0.86666666666666603"/>
    <n v="0.63636363636363602"/>
    <n v="0"/>
    <n v="0"/>
    <n v="0"/>
    <n v="0"/>
    <n v="0"/>
    <n v="0"/>
    <n v="0"/>
    <n v="0"/>
    <n v="1"/>
    <n v="1"/>
    <n v="0"/>
    <n v="0"/>
    <n v="0"/>
    <n v="0"/>
    <n v="1"/>
    <n v="0"/>
    <n v="0"/>
    <n v="0"/>
    <n v="0"/>
    <n v="0"/>
    <n v="0"/>
    <n v="0"/>
    <n v="0"/>
    <n v="0"/>
    <n v="0"/>
    <s v="-"/>
    <n v="1"/>
    <n v="2"/>
    <n v="1"/>
    <n v="1"/>
    <n v="2"/>
    <n v="1"/>
  </r>
  <r>
    <s v="2025-06-23 01:00:00.000 +0100"/>
    <x v="2"/>
    <s v="Monday   "/>
    <d v="1899-12-30T00:11:21"/>
    <n v="7"/>
    <s v="Rumours"/>
    <x v="2"/>
    <x v="0"/>
    <s v="COMPLETED"/>
    <n v="0.77777777777777701"/>
    <n v="1"/>
    <n v="0.5"/>
    <n v="0.6"/>
    <n v="0.54545454545454497"/>
    <n v="0"/>
    <n v="0"/>
    <n v="0"/>
    <n v="0"/>
    <n v="0"/>
    <n v="0"/>
    <n v="1"/>
    <n v="0"/>
    <n v="1"/>
    <n v="0"/>
    <n v="0"/>
    <n v="0"/>
    <n v="0"/>
    <n v="0"/>
    <n v="0"/>
    <n v="0"/>
    <n v="0"/>
    <n v="0"/>
    <n v="0"/>
    <n v="0"/>
    <n v="0"/>
    <n v="1"/>
    <n v="0"/>
    <n v="0"/>
    <n v="0"/>
    <s v="-"/>
    <n v="0"/>
    <n v="2"/>
    <n v="0"/>
    <n v="1"/>
    <n v="0"/>
    <n v="0"/>
  </r>
  <r>
    <s v="2025-06-25 01:00:00.000 +0100"/>
    <x v="2"/>
    <s v="Wednesday"/>
    <d v="1899-12-30T00:17:21"/>
    <n v="16"/>
    <s v="Radio Silence"/>
    <x v="0"/>
    <x v="0"/>
    <s v="COMPLETED"/>
    <n v="0.66666666666666596"/>
    <n v="1"/>
    <n v="0.66666666666666596"/>
    <n v="0.53333333333333299"/>
    <n v="0.36363636363636298"/>
    <n v="0"/>
    <n v="0"/>
    <n v="0"/>
    <n v="1"/>
    <n v="0"/>
    <n v="0"/>
    <n v="0"/>
    <n v="0"/>
    <n v="0"/>
    <n v="0"/>
    <n v="0"/>
    <n v="0"/>
    <n v="0"/>
    <n v="1"/>
    <n v="0"/>
    <n v="0"/>
    <n v="0"/>
    <n v="0"/>
    <n v="0"/>
    <n v="0"/>
    <n v="0"/>
    <n v="0"/>
    <n v="0"/>
    <n v="0"/>
    <n v="0"/>
    <s v="-"/>
    <n v="0"/>
    <n v="1"/>
    <n v="0"/>
    <n v="0"/>
    <n v="1"/>
    <n v="0"/>
  </r>
  <r>
    <s v="2025-06-25 01:00:00.000 +0100"/>
    <x v="2"/>
    <s v="Wednesday"/>
    <d v="1899-12-30T00:09:35"/>
    <n v="7"/>
    <s v="Rumours"/>
    <x v="4"/>
    <x v="0"/>
    <s v="COMPLETED"/>
    <n v="0.66666666666666596"/>
    <n v="1"/>
    <n v="0.66666666666666596"/>
    <n v="0.33333333333333298"/>
    <n v="0.27272727272727199"/>
    <n v="0"/>
    <n v="0"/>
    <n v="0"/>
    <n v="0"/>
    <n v="0"/>
    <n v="0"/>
    <n v="1"/>
    <n v="0"/>
    <n v="1"/>
    <n v="0"/>
    <n v="0"/>
    <n v="0"/>
    <n v="0"/>
    <n v="0"/>
    <n v="0"/>
    <n v="0"/>
    <n v="0"/>
    <n v="0"/>
    <n v="0"/>
    <n v="0"/>
    <n v="0"/>
    <n v="1"/>
    <n v="0"/>
    <n v="0"/>
    <n v="0"/>
    <s v="-"/>
    <n v="0"/>
    <n v="2"/>
    <n v="0"/>
    <n v="1"/>
    <n v="0"/>
    <n v="0"/>
  </r>
  <r>
    <s v="2025-06-27 01:00:00.000 +0100"/>
    <x v="2"/>
    <s v="Friday   "/>
    <d v="1899-12-30T00:16:02"/>
    <n v="3"/>
    <s v="Too Good To Be True"/>
    <x v="5"/>
    <x v="1"/>
    <s v="COMPLETED"/>
    <n v="0.11111111111111099"/>
    <n v="0"/>
    <n v="0.16666666666666599"/>
    <n v="0.33333333333333298"/>
    <n v="9.0909090909090898E-2"/>
    <n v="0"/>
    <n v="0"/>
    <n v="1"/>
    <n v="0"/>
    <n v="0"/>
    <n v="0"/>
    <n v="0"/>
    <n v="0"/>
    <n v="0"/>
    <n v="0"/>
    <n v="0"/>
    <n v="0"/>
    <n v="0"/>
    <n v="0"/>
    <n v="0"/>
    <n v="0"/>
    <n v="0"/>
    <n v="0"/>
    <n v="0"/>
    <n v="0"/>
    <n v="0"/>
    <n v="0"/>
    <n v="1"/>
    <n v="0"/>
    <n v="0"/>
    <s v="-"/>
    <n v="0"/>
    <n v="1"/>
    <n v="2"/>
    <n v="0"/>
    <n v="0"/>
    <n v="0"/>
  </r>
  <r>
    <s v="2025-07-03 01:00:00.000 +0100"/>
    <x v="3"/>
    <s v="Thursday "/>
    <d v="1899-12-30T00:30:02"/>
    <n v="28"/>
    <s v="Memory Lane"/>
    <x v="5"/>
    <x v="1"/>
    <s v="OUT_OF_TIME"/>
    <n v="0.44444444444444398"/>
    <n v="1"/>
    <n v="0.66666666666666596"/>
    <n v="0.266666666666666"/>
    <n v="0.18181818181818099"/>
    <n v="0"/>
    <n v="0"/>
    <n v="0"/>
    <n v="0"/>
    <n v="0"/>
    <n v="1"/>
    <n v="1"/>
    <n v="0"/>
    <n v="0"/>
    <n v="0"/>
    <n v="0"/>
    <n v="0"/>
    <n v="0"/>
    <n v="0"/>
    <n v="0"/>
    <n v="0"/>
    <n v="0"/>
    <n v="0"/>
    <n v="0"/>
    <n v="0"/>
    <n v="0"/>
    <n v="0"/>
    <n v="0"/>
    <n v="1"/>
    <n v="0"/>
    <s v="-"/>
    <n v="0"/>
    <n v="1"/>
    <n v="1"/>
    <n v="1"/>
    <n v="0"/>
    <n v="1"/>
  </r>
  <r>
    <s v="2025-07-07 01:00:00.000 +0100"/>
    <x v="3"/>
    <s v="Monday   "/>
    <d v="1899-12-30T00:16:30"/>
    <n v="14"/>
    <s v="Missing Delivery"/>
    <x v="2"/>
    <x v="0"/>
    <s v="COMPLETED"/>
    <n v="0.88888888888888795"/>
    <n v="1"/>
    <n v="0.5"/>
    <n v="0.8"/>
    <n v="0.54545454545454497"/>
    <n v="0"/>
    <n v="0"/>
    <n v="0"/>
    <n v="0"/>
    <n v="0"/>
    <n v="0"/>
    <n v="0"/>
    <n v="0"/>
    <n v="1"/>
    <n v="1"/>
    <n v="0"/>
    <n v="0"/>
    <n v="0"/>
    <n v="0"/>
    <n v="1"/>
    <n v="0"/>
    <n v="0"/>
    <n v="0"/>
    <n v="0"/>
    <n v="0"/>
    <n v="0"/>
    <n v="0"/>
    <n v="0"/>
    <n v="0"/>
    <n v="0"/>
    <s v="-"/>
    <n v="1"/>
    <n v="2"/>
    <n v="1"/>
    <n v="1"/>
    <n v="2"/>
    <n v="1"/>
  </r>
  <r>
    <s v="2025-07-09 01:00:00.000 +0100"/>
    <x v="3"/>
    <s v="Wednesday"/>
    <d v="1899-12-30T00:20:01"/>
    <n v="4"/>
    <s v="Roblox"/>
    <x v="0"/>
    <x v="0"/>
    <s v="OUT_OF_TIME"/>
    <n v="0.33333333333333298"/>
    <n v="1"/>
    <n v="0.33333333333333298"/>
    <n v="0.46666666666666601"/>
    <n v="0.27272727272727199"/>
    <n v="1"/>
    <n v="0"/>
    <n v="0"/>
    <n v="0"/>
    <n v="0"/>
    <n v="0"/>
    <n v="0"/>
    <n v="0"/>
    <n v="0"/>
    <n v="0"/>
    <n v="0"/>
    <n v="0"/>
    <n v="0"/>
    <n v="0"/>
    <n v="1"/>
    <n v="0"/>
    <n v="1"/>
    <n v="0"/>
    <n v="1"/>
    <n v="0"/>
    <n v="0"/>
    <n v="0"/>
    <n v="0"/>
    <n v="0"/>
    <n v="0"/>
    <s v="-"/>
    <n v="1"/>
    <n v="4"/>
    <n v="1"/>
    <n v="1"/>
    <n v="1"/>
    <n v="1"/>
  </r>
  <r>
    <s v="2025-07-11 01:00:00.000 +0100"/>
    <x v="3"/>
    <s v="Friday   "/>
    <d v="1899-12-30T00:20:16"/>
    <n v="4"/>
    <s v="Roblox"/>
    <x v="1"/>
    <x v="0"/>
    <s v="COMPLETED"/>
    <n v="0.44444444444444398"/>
    <n v="1"/>
    <n v="0.66666666666666596"/>
    <n v="0.53333333333333299"/>
    <n v="0.18181818181818099"/>
    <n v="1"/>
    <n v="0"/>
    <n v="0"/>
    <n v="0"/>
    <n v="0"/>
    <n v="0"/>
    <n v="0"/>
    <n v="0"/>
    <n v="0"/>
    <n v="0"/>
    <n v="0"/>
    <n v="0"/>
    <n v="0"/>
    <n v="0"/>
    <n v="1"/>
    <n v="0"/>
    <n v="1"/>
    <n v="0"/>
    <n v="1"/>
    <n v="0"/>
    <n v="0"/>
    <n v="0"/>
    <n v="0"/>
    <n v="0"/>
    <n v="0"/>
    <s v="-"/>
    <n v="1"/>
    <n v="4"/>
    <n v="1"/>
    <n v="1"/>
    <n v="1"/>
    <n v="1"/>
  </r>
  <r>
    <s v="2025-07-16 01:00:00.000 +0100"/>
    <x v="3"/>
    <s v="Wednesday"/>
    <d v="1899-12-30T00:17:46"/>
    <n v="14"/>
    <s v="Missing Delivery"/>
    <x v="4"/>
    <x v="0"/>
    <s v="COMPLETED"/>
    <n v="0.44444444444444398"/>
    <n v="1"/>
    <n v="0.5"/>
    <n v="0.46666666666666601"/>
    <n v="0.36363636363636298"/>
    <n v="0"/>
    <n v="0"/>
    <n v="0"/>
    <n v="0"/>
    <n v="0"/>
    <n v="0"/>
    <n v="0"/>
    <n v="0"/>
    <n v="1"/>
    <n v="1"/>
    <n v="0"/>
    <n v="0"/>
    <n v="0"/>
    <n v="0"/>
    <n v="1"/>
    <n v="0"/>
    <n v="0"/>
    <n v="0"/>
    <n v="0"/>
    <n v="0"/>
    <n v="0"/>
    <n v="0"/>
    <n v="0"/>
    <n v="0"/>
    <n v="0"/>
    <s v="-"/>
    <n v="1"/>
    <n v="2"/>
    <n v="1"/>
    <n v="1"/>
    <n v="2"/>
    <n v="1"/>
  </r>
  <r>
    <s v="2025-07-17 01:00:00.000 +0100"/>
    <x v="3"/>
    <s v="Thursday "/>
    <d v="1899-12-30T00:20:00"/>
    <n v="16"/>
    <s v="Radio Silence"/>
    <x v="2"/>
    <x v="0"/>
    <s v="COMPLETED"/>
    <n v="0.88888888888888795"/>
    <n v="1"/>
    <n v="0.83333333333333304"/>
    <n v="0.73333333333333295"/>
    <n v="0.54545454545454497"/>
    <n v="0"/>
    <n v="0"/>
    <n v="0"/>
    <n v="1"/>
    <n v="0"/>
    <n v="0"/>
    <n v="0"/>
    <n v="0"/>
    <n v="0"/>
    <n v="0"/>
    <n v="0"/>
    <n v="0"/>
    <n v="0"/>
    <n v="1"/>
    <n v="0"/>
    <n v="0"/>
    <n v="0"/>
    <n v="0"/>
    <n v="0"/>
    <n v="0"/>
    <n v="0"/>
    <n v="0"/>
    <n v="0"/>
    <n v="0"/>
    <n v="0"/>
    <s v="-"/>
    <n v="0"/>
    <n v="1"/>
    <n v="0"/>
    <n v="0"/>
    <n v="1"/>
    <n v="0"/>
  </r>
  <r>
    <s v="2025-07-22 01:00:00.000 +0100"/>
    <x v="3"/>
    <s v="Tuesday  "/>
    <d v="1899-12-30T00:20:01"/>
    <n v="4"/>
    <s v="Roblox"/>
    <x v="2"/>
    <x v="0"/>
    <s v="OUT_OF_TIME"/>
    <n v="0.55555555555555503"/>
    <n v="1"/>
    <n v="0.83333333333333304"/>
    <n v="0.66666666666666596"/>
    <n v="0.45454545454545398"/>
    <n v="1"/>
    <n v="0"/>
    <n v="0"/>
    <n v="0"/>
    <n v="0"/>
    <n v="0"/>
    <n v="0"/>
    <n v="0"/>
    <n v="0"/>
    <n v="0"/>
    <n v="0"/>
    <n v="0"/>
    <n v="0"/>
    <n v="0"/>
    <n v="1"/>
    <n v="0"/>
    <n v="1"/>
    <n v="0"/>
    <n v="1"/>
    <n v="0"/>
    <n v="0"/>
    <n v="0"/>
    <n v="0"/>
    <n v="0"/>
    <n v="0"/>
    <s v="-"/>
    <n v="1"/>
    <n v="4"/>
    <n v="1"/>
    <n v="1"/>
    <n v="1"/>
    <n v="1"/>
  </r>
  <r>
    <s v="2025-07-25 01:00:00.000 +0100"/>
    <x v="3"/>
    <s v="Friday   "/>
    <d v="1899-12-30T00:20:05"/>
    <n v="16"/>
    <s v="Radio Silence"/>
    <x v="4"/>
    <x v="0"/>
    <s v="COMPLETED"/>
    <n v="0.66666666666666596"/>
    <n v="1"/>
    <n v="0.83333333333333304"/>
    <n v="0.4"/>
    <n v="0.36363636363636298"/>
    <n v="0"/>
    <n v="0"/>
    <n v="0"/>
    <n v="1"/>
    <n v="0"/>
    <n v="0"/>
    <n v="0"/>
    <n v="0"/>
    <n v="0"/>
    <n v="0"/>
    <n v="0"/>
    <n v="0"/>
    <n v="0"/>
    <n v="1"/>
    <n v="0"/>
    <n v="0"/>
    <n v="0"/>
    <n v="0"/>
    <n v="0"/>
    <n v="0"/>
    <n v="0"/>
    <n v="0"/>
    <n v="0"/>
    <n v="0"/>
    <n v="0"/>
    <s v="-"/>
    <n v="0"/>
    <n v="1"/>
    <n v="0"/>
    <n v="0"/>
    <n v="1"/>
    <n v="0"/>
  </r>
  <r>
    <s v="2025-07-30 01:00:00.000 +0100"/>
    <x v="3"/>
    <s v="Wednesday"/>
    <d v="1899-12-30T00:25:02"/>
    <n v="8"/>
    <s v="The Chain"/>
    <x v="0"/>
    <x v="0"/>
    <s v="OUT_OF_TIME"/>
    <n v="0.66666666666666596"/>
    <n v="1"/>
    <n v="0.5"/>
    <n v="0.66666666666666596"/>
    <n v="0.45454545454545398"/>
    <n v="0"/>
    <n v="0"/>
    <n v="0"/>
    <n v="0"/>
    <n v="0"/>
    <n v="0"/>
    <n v="0"/>
    <n v="1"/>
    <n v="0"/>
    <n v="0"/>
    <n v="0"/>
    <n v="0"/>
    <n v="1"/>
    <n v="0"/>
    <n v="0"/>
    <n v="0"/>
    <n v="0"/>
    <n v="0"/>
    <n v="0"/>
    <n v="0"/>
    <n v="0"/>
    <n v="0"/>
    <n v="0"/>
    <n v="1"/>
    <n v="0"/>
    <s v="-"/>
    <n v="0"/>
    <n v="1"/>
    <n v="2"/>
    <n v="0"/>
    <n v="0"/>
    <n v="1"/>
  </r>
  <r>
    <s v="2025-08-01 01:00:00.000 +0100"/>
    <x v="4"/>
    <s v="Friday   "/>
    <d v="1899-12-30T00:18:49"/>
    <n v="6"/>
    <s v="The Big Investor"/>
    <x v="3"/>
    <x v="0"/>
    <s v="COMPLETED"/>
    <n v="0.55555555555555503"/>
    <n v="1"/>
    <n v="0.5"/>
    <n v="0.53333333333333299"/>
    <n v="0.18181818181818099"/>
    <n v="0"/>
    <n v="0"/>
    <n v="0"/>
    <n v="0"/>
    <n v="0"/>
    <n v="0"/>
    <n v="0"/>
    <n v="0"/>
    <n v="1"/>
    <n v="0"/>
    <n v="0"/>
    <n v="0"/>
    <n v="0"/>
    <n v="0"/>
    <n v="0"/>
    <n v="0"/>
    <n v="0"/>
    <n v="0"/>
    <n v="0"/>
    <n v="1"/>
    <n v="1"/>
    <n v="1"/>
    <n v="0"/>
    <n v="0"/>
    <n v="0"/>
    <s v="-"/>
    <n v="0"/>
    <n v="2"/>
    <n v="0"/>
    <n v="2"/>
    <n v="0"/>
    <n v="0"/>
  </r>
  <r>
    <s v="2025-08-08 01:00:00.000 +0100"/>
    <x v="4"/>
    <s v="Friday   "/>
    <d v="1899-12-30T00:14:06"/>
    <n v="7"/>
    <s v="Rumours"/>
    <x v="3"/>
    <x v="0"/>
    <s v="COMPLETED"/>
    <n v="0.44444444444444398"/>
    <n v="1"/>
    <n v="0.5"/>
    <n v="0.33333333333333298"/>
    <n v="9.0909090909090898E-2"/>
    <n v="0"/>
    <n v="0"/>
    <n v="0"/>
    <n v="0"/>
    <n v="0"/>
    <n v="0"/>
    <n v="1"/>
    <n v="0"/>
    <n v="1"/>
    <n v="0"/>
    <n v="0"/>
    <n v="0"/>
    <n v="0"/>
    <n v="0"/>
    <n v="0"/>
    <n v="0"/>
    <n v="0"/>
    <n v="0"/>
    <n v="0"/>
    <n v="0"/>
    <n v="0"/>
    <n v="1"/>
    <n v="0"/>
    <n v="0"/>
    <n v="0"/>
    <s v="-"/>
    <n v="0"/>
    <n v="2"/>
    <n v="0"/>
    <n v="1"/>
    <n v="0"/>
    <n v="0"/>
  </r>
  <r>
    <s v="2025-08-12 01:00:00.000 +0100"/>
    <x v="4"/>
    <s v="Tuesday  "/>
    <d v="1899-12-30T00:25:02"/>
    <n v="8"/>
    <s v="The Chain"/>
    <x v="2"/>
    <x v="0"/>
    <s v="OUT_OF_TIME"/>
    <n v="0.55555555555555503"/>
    <n v="1"/>
    <n v="0.33333333333333298"/>
    <n v="0.266666666666666"/>
    <n v="0.18181818181818099"/>
    <n v="0"/>
    <n v="0"/>
    <n v="0"/>
    <n v="0"/>
    <n v="0"/>
    <n v="0"/>
    <n v="0"/>
    <n v="1"/>
    <n v="0"/>
    <n v="0"/>
    <n v="0"/>
    <n v="0"/>
    <n v="1"/>
    <n v="0"/>
    <n v="0"/>
    <n v="0"/>
    <n v="0"/>
    <n v="0"/>
    <n v="0"/>
    <n v="0"/>
    <n v="0"/>
    <n v="0"/>
    <n v="0"/>
    <n v="1"/>
    <n v="0"/>
    <s v="-"/>
    <n v="0"/>
    <n v="1"/>
    <n v="2"/>
    <n v="0"/>
    <n v="0"/>
    <n v="1"/>
  </r>
  <r>
    <s v="2025-08-13 01:00:00.000 +0100"/>
    <x v="4"/>
    <s v="Wednesday"/>
    <d v="1899-12-30T00:20:41"/>
    <n v="18"/>
    <s v="The Switch"/>
    <x v="0"/>
    <x v="0"/>
    <s v="COMPLETED"/>
    <n v="0.66666666666666596"/>
    <n v="1"/>
    <n v="0.66666666666666596"/>
    <n v="0.6"/>
    <n v="0.45454545454545398"/>
    <n v="0"/>
    <n v="0"/>
    <n v="0"/>
    <n v="0"/>
    <n v="1"/>
    <n v="0"/>
    <n v="1"/>
    <n v="1"/>
    <n v="0"/>
    <n v="0"/>
    <n v="0"/>
    <n v="1"/>
    <n v="0"/>
    <n v="0"/>
    <n v="0"/>
    <n v="0"/>
    <n v="0"/>
    <n v="0"/>
    <n v="0"/>
    <n v="0"/>
    <n v="0"/>
    <n v="0"/>
    <n v="0"/>
    <n v="1"/>
    <n v="0"/>
    <s v="-"/>
    <n v="0"/>
    <n v="3"/>
    <n v="1"/>
    <n v="0"/>
    <n v="1"/>
    <n v="1"/>
  </r>
  <r>
    <s v="2025-08-15 01:00:00.000 +0100"/>
    <x v="4"/>
    <s v="Friday   "/>
    <d v="1899-12-30T00:19:34"/>
    <n v="14"/>
    <s v="Missing Delivery"/>
    <x v="3"/>
    <x v="0"/>
    <s v="COMPLETED"/>
    <n v="0.33333333333333298"/>
    <n v="1"/>
    <n v="0.66666666666666596"/>
    <n v="0.2"/>
    <n v="0.18181818181818099"/>
    <n v="0"/>
    <n v="0"/>
    <n v="0"/>
    <n v="0"/>
    <n v="0"/>
    <n v="0"/>
    <n v="0"/>
    <n v="0"/>
    <n v="1"/>
    <n v="1"/>
    <n v="0"/>
    <n v="0"/>
    <n v="0"/>
    <n v="0"/>
    <n v="1"/>
    <n v="0"/>
    <n v="0"/>
    <n v="0"/>
    <n v="0"/>
    <n v="0"/>
    <n v="0"/>
    <n v="0"/>
    <n v="0"/>
    <n v="0"/>
    <n v="0"/>
    <s v="-"/>
    <n v="1"/>
    <n v="2"/>
    <n v="1"/>
    <n v="1"/>
    <n v="2"/>
    <n v="1"/>
  </r>
  <r>
    <s v="2025-08-21 01:00:00.000 +0100"/>
    <x v="4"/>
    <s v="Thursday "/>
    <d v="1899-12-30T00:16:38"/>
    <n v="4"/>
    <s v="Roblox"/>
    <x v="4"/>
    <x v="0"/>
    <s v="COMPLETED"/>
    <n v="0.77777777777777701"/>
    <n v="1"/>
    <n v="0.83333333333333304"/>
    <n v="0.4"/>
    <n v="0.27272727272727199"/>
    <n v="1"/>
    <n v="0"/>
    <n v="0"/>
    <n v="0"/>
    <n v="0"/>
    <n v="0"/>
    <n v="0"/>
    <n v="0"/>
    <n v="0"/>
    <n v="0"/>
    <n v="0"/>
    <n v="0"/>
    <n v="0"/>
    <n v="0"/>
    <n v="1"/>
    <n v="0"/>
    <n v="1"/>
    <n v="0"/>
    <n v="1"/>
    <n v="0"/>
    <n v="0"/>
    <n v="0"/>
    <n v="0"/>
    <n v="0"/>
    <n v="0"/>
    <s v="-"/>
    <n v="1"/>
    <n v="4"/>
    <n v="1"/>
    <n v="1"/>
    <n v="1"/>
    <n v="1"/>
  </r>
  <r>
    <s v="2025-08-29 01:00:00.000 +0100"/>
    <x v="4"/>
    <s v="Friday   "/>
    <d v="1899-12-30T00:23:18"/>
    <n v="8"/>
    <s v="The Chain"/>
    <x v="1"/>
    <x v="0"/>
    <s v="COMPLETED"/>
    <n v="0.55555555555555503"/>
    <n v="1"/>
    <n v="0.83333333333333304"/>
    <n v="0.6"/>
    <n v="0.45454545454545398"/>
    <n v="0"/>
    <n v="0"/>
    <n v="0"/>
    <n v="0"/>
    <n v="0"/>
    <n v="0"/>
    <n v="0"/>
    <n v="1"/>
    <n v="0"/>
    <n v="0"/>
    <n v="0"/>
    <n v="0"/>
    <n v="1"/>
    <n v="0"/>
    <n v="0"/>
    <n v="0"/>
    <n v="0"/>
    <n v="0"/>
    <n v="0"/>
    <n v="0"/>
    <n v="0"/>
    <n v="0"/>
    <n v="0"/>
    <n v="1"/>
    <n v="0"/>
    <s v="-"/>
    <n v="0"/>
    <n v="1"/>
    <n v="2"/>
    <n v="0"/>
    <n v="0"/>
    <n v="1"/>
  </r>
  <r>
    <s v="2025-09-05 01:00:00.000 +0100"/>
    <x v="5"/>
    <s v="Friday   "/>
    <d v="1899-12-30T00:20:02"/>
    <n v="16"/>
    <s v="Radio Silence"/>
    <x v="3"/>
    <x v="0"/>
    <s v="OUT_OF_TIME"/>
    <n v="0.55555555555555503"/>
    <n v="1"/>
    <n v="0.33333333333333298"/>
    <n v="0.4"/>
    <n v="0.18181818181818099"/>
    <n v="0"/>
    <n v="0"/>
    <n v="0"/>
    <n v="1"/>
    <n v="0"/>
    <n v="0"/>
    <n v="0"/>
    <n v="0"/>
    <n v="0"/>
    <n v="0"/>
    <n v="0"/>
    <n v="0"/>
    <n v="0"/>
    <n v="1"/>
    <n v="0"/>
    <n v="0"/>
    <n v="0"/>
    <n v="0"/>
    <n v="0"/>
    <n v="0"/>
    <n v="0"/>
    <n v="0"/>
    <n v="0"/>
    <n v="0"/>
    <n v="0"/>
    <s v="-"/>
    <n v="0"/>
    <n v="1"/>
    <n v="0"/>
    <n v="0"/>
    <n v="1"/>
    <n v="0"/>
  </r>
  <r>
    <s v="2025-09-11 01:00:00.000 +0100"/>
    <x v="5"/>
    <s v="Thursday "/>
    <d v="1899-12-30T00:13:19"/>
    <n v="29"/>
    <s v="Too Good To Be True V2"/>
    <x v="6"/>
    <x v="2"/>
    <s v="COMPLETED"/>
    <n v="0.44444444444444398"/>
    <n v="1"/>
    <n v="0.5"/>
    <n v="0.4"/>
    <n v="9.0909090909090898E-2"/>
    <n v="0"/>
    <n v="0"/>
    <n v="1"/>
    <n v="0"/>
    <n v="0"/>
    <n v="0"/>
    <n v="0"/>
    <n v="0"/>
    <n v="0"/>
    <n v="0"/>
    <n v="0"/>
    <n v="0"/>
    <n v="0"/>
    <n v="0"/>
    <n v="0"/>
    <n v="0"/>
    <n v="0"/>
    <n v="0"/>
    <n v="0"/>
    <n v="0"/>
    <n v="0"/>
    <n v="0"/>
    <n v="1"/>
    <n v="0"/>
    <n v="0"/>
    <s v="-"/>
    <n v="0"/>
    <n v="1"/>
    <n v="2"/>
    <n v="0"/>
    <n v="0"/>
    <n v="0"/>
  </r>
  <r>
    <s v="2025-09-12 01:00:00.000 +0100"/>
    <x v="5"/>
    <s v="Friday   "/>
    <d v="1899-12-30T00:23:10"/>
    <n v="18"/>
    <s v="The Switch"/>
    <x v="1"/>
    <x v="0"/>
    <s v="COMPLETED"/>
    <n v="0.55555555555555503"/>
    <n v="1"/>
    <n v="0.66666666666666596"/>
    <n v="0.266666666666666"/>
    <n v="0.27272727272727199"/>
    <n v="0"/>
    <n v="0"/>
    <n v="0"/>
    <n v="0"/>
    <n v="1"/>
    <n v="0"/>
    <n v="1"/>
    <n v="1"/>
    <n v="0"/>
    <n v="0"/>
    <n v="0"/>
    <n v="1"/>
    <n v="0"/>
    <n v="0"/>
    <n v="0"/>
    <n v="0"/>
    <n v="0"/>
    <n v="0"/>
    <n v="0"/>
    <n v="0"/>
    <n v="0"/>
    <n v="0"/>
    <n v="0"/>
    <n v="1"/>
    <n v="0"/>
    <s v="-"/>
    <n v="0"/>
    <n v="3"/>
    <n v="1"/>
    <n v="0"/>
    <n v="1"/>
    <n v="1"/>
  </r>
  <r>
    <s v="2025-09-17 01:00:00.000 +0100"/>
    <x v="5"/>
    <s v="Wednesday"/>
    <d v="1899-12-30T00:13:38"/>
    <n v="29"/>
    <s v="Too Good To Be True V2"/>
    <x v="7"/>
    <x v="2"/>
    <s v="COMPLETED"/>
    <n v="0.33333333333333298"/>
    <n v="1"/>
    <n v="0.5"/>
    <n v="0.133333333333333"/>
    <n v="0"/>
    <n v="0"/>
    <n v="0"/>
    <n v="1"/>
    <n v="0"/>
    <n v="0"/>
    <n v="0"/>
    <n v="0"/>
    <n v="0"/>
    <n v="0"/>
    <n v="0"/>
    <n v="0"/>
    <n v="0"/>
    <n v="0"/>
    <n v="0"/>
    <n v="0"/>
    <n v="0"/>
    <n v="0"/>
    <n v="0"/>
    <n v="0"/>
    <n v="0"/>
    <n v="0"/>
    <n v="0"/>
    <n v="1"/>
    <n v="0"/>
    <n v="0"/>
    <s v="-"/>
    <n v="0"/>
    <n v="1"/>
    <n v="2"/>
    <n v="0"/>
    <n v="0"/>
    <n v="0"/>
  </r>
  <r>
    <s v="2025-09-17 01:00:00.000 +0100"/>
    <x v="5"/>
    <s v="Wednesday"/>
    <d v="1899-12-30T00:29:40"/>
    <n v="30"/>
    <s v="DEFCON 1"/>
    <x v="5"/>
    <x v="1"/>
    <s v="COMPLETED"/>
    <n v="0.88888888888888795"/>
    <n v="1"/>
    <n v="0.83333333333333304"/>
    <n v="0.8"/>
    <n v="0.63636363636363602"/>
    <n v="0"/>
    <n v="1"/>
    <n v="0"/>
    <n v="0"/>
    <n v="0"/>
    <n v="1"/>
    <n v="0"/>
    <n v="0"/>
    <n v="0"/>
    <n v="0"/>
    <n v="1"/>
    <n v="0"/>
    <n v="0"/>
    <n v="0"/>
    <n v="0"/>
    <n v="0"/>
    <n v="0"/>
    <n v="1"/>
    <n v="0"/>
    <n v="0"/>
    <n v="0"/>
    <n v="0"/>
    <n v="0"/>
    <n v="0"/>
    <n v="0"/>
    <s v="-"/>
    <n v="1"/>
    <n v="2"/>
    <n v="2"/>
    <n v="2"/>
    <n v="2"/>
    <n v="0"/>
  </r>
  <r>
    <s v="2025-09-22 01:00:00.000 +0100"/>
    <x v="5"/>
    <s v="Monday   "/>
    <d v="1899-12-30T00:10:01"/>
    <n v="27"/>
    <s v="First day blues"/>
    <x v="8"/>
    <x v="2"/>
    <s v="OUT_OF_TIME"/>
    <n v="0.33333333333333298"/>
    <n v="0"/>
    <n v="0"/>
    <n v="0.266666666666666"/>
    <n v="9.0909090909090898E-2"/>
    <n v="0"/>
    <n v="0"/>
    <n v="1"/>
    <n v="0"/>
    <n v="0"/>
    <n v="0"/>
    <n v="0"/>
    <n v="0"/>
    <n v="0"/>
    <n v="0"/>
    <n v="0"/>
    <n v="0"/>
    <n v="0"/>
    <n v="0"/>
    <n v="0"/>
    <n v="0"/>
    <n v="0"/>
    <n v="0"/>
    <n v="0"/>
    <n v="0"/>
    <n v="0"/>
    <n v="0"/>
    <n v="0"/>
    <n v="0"/>
    <n v="0"/>
    <s v="-"/>
    <n v="0"/>
    <n v="0"/>
    <n v="1"/>
    <n v="0"/>
    <n v="0"/>
    <n v="0"/>
  </r>
  <r>
    <s v="2025-09-25 01:00:00.000 +0100"/>
    <x v="5"/>
    <s v="Thursday "/>
    <d v="1899-12-30T00:24:10"/>
    <n v="18"/>
    <s v="The Switch"/>
    <x v="4"/>
    <x v="0"/>
    <s v="COMPLETED"/>
    <n v="0.66666666666666596"/>
    <n v="1"/>
    <n v="0.66666666666666596"/>
    <n v="0.4"/>
    <n v="0.36363636363636298"/>
    <n v="0"/>
    <n v="0"/>
    <n v="0"/>
    <n v="0"/>
    <n v="1"/>
    <n v="0"/>
    <n v="1"/>
    <n v="1"/>
    <n v="0"/>
    <n v="0"/>
    <n v="0"/>
    <n v="1"/>
    <n v="0"/>
    <n v="0"/>
    <n v="0"/>
    <n v="0"/>
    <n v="0"/>
    <n v="0"/>
    <n v="0"/>
    <n v="0"/>
    <n v="0"/>
    <n v="0"/>
    <n v="0"/>
    <n v="1"/>
    <n v="0"/>
    <s v="-"/>
    <n v="0"/>
    <n v="3"/>
    <n v="1"/>
    <n v="0"/>
    <n v="1"/>
    <n v="1"/>
  </r>
  <r>
    <s v="2025-09-26 01:00:00.000 +0100"/>
    <x v="5"/>
    <s v="Friday   "/>
    <d v="1899-12-30T00:20:01"/>
    <n v="6"/>
    <s v="The Big Investor"/>
    <x v="6"/>
    <x v="2"/>
    <s v="OUT_OF_TIME"/>
    <n v="0.88888888888888795"/>
    <n v="1"/>
    <n v="0.83333333333333304"/>
    <n v="0.86666666666666603"/>
    <n v="0.72727272727272696"/>
    <n v="0"/>
    <n v="0"/>
    <n v="0"/>
    <n v="0"/>
    <n v="0"/>
    <n v="0"/>
    <n v="0"/>
    <n v="0"/>
    <n v="1"/>
    <n v="0"/>
    <n v="0"/>
    <n v="0"/>
    <n v="0"/>
    <n v="0"/>
    <n v="0"/>
    <n v="0"/>
    <n v="0"/>
    <n v="0"/>
    <n v="0"/>
    <n v="1"/>
    <n v="1"/>
    <n v="1"/>
    <n v="0"/>
    <n v="0"/>
    <n v="0"/>
    <s v="-"/>
    <n v="0"/>
    <n v="2"/>
    <n v="0"/>
    <n v="2"/>
    <n v="0"/>
    <n v="0"/>
  </r>
  <r>
    <s v="2025-10-01 01:00:00.000 +0100"/>
    <x v="6"/>
    <s v="Wednesday"/>
    <d v="1899-12-30T00:17:42"/>
    <n v="29"/>
    <s v="Too Good To Be True V2"/>
    <x v="9"/>
    <x v="1"/>
    <s v="COMPLETED"/>
    <n v="0.22222222222222199"/>
    <n v="1"/>
    <n v="0.5"/>
    <n v="0.266666666666666"/>
    <n v="0"/>
    <n v="0"/>
    <n v="0"/>
    <n v="1"/>
    <n v="0"/>
    <n v="0"/>
    <n v="0"/>
    <n v="0"/>
    <n v="0"/>
    <n v="0"/>
    <n v="0"/>
    <n v="0"/>
    <n v="0"/>
    <n v="0"/>
    <n v="0"/>
    <n v="0"/>
    <n v="0"/>
    <n v="0"/>
    <n v="0"/>
    <n v="0"/>
    <n v="0"/>
    <n v="0"/>
    <n v="0"/>
    <n v="1"/>
    <n v="0"/>
    <n v="0"/>
    <s v="-"/>
    <n v="0"/>
    <n v="1"/>
    <n v="2"/>
    <n v="0"/>
    <n v="0"/>
    <n v="0"/>
  </r>
  <r>
    <s v="2025-10-01 01:00:00.000 +0100"/>
    <x v="6"/>
    <s v="Wednesday"/>
    <d v="1899-12-30T00:18:37"/>
    <n v="31"/>
    <s v="Bezs Beatles Day! V2"/>
    <x v="8"/>
    <x v="2"/>
    <s v="COMPLETED"/>
    <n v="0.33333333333333298"/>
    <n v="1"/>
    <n v="0.66666666666666596"/>
    <n v="0.46666666666666601"/>
    <n v="9.0909090909090898E-2"/>
    <n v="0"/>
    <n v="0"/>
    <n v="1"/>
    <n v="0"/>
    <n v="0"/>
    <n v="0"/>
    <n v="0"/>
    <n v="0"/>
    <n v="0"/>
    <n v="0"/>
    <n v="0"/>
    <n v="1"/>
    <n v="0"/>
    <n v="0"/>
    <n v="0"/>
    <n v="0"/>
    <n v="0"/>
    <n v="0"/>
    <n v="0"/>
    <n v="0"/>
    <n v="0"/>
    <n v="0"/>
    <n v="0"/>
    <n v="0"/>
    <n v="0"/>
    <s v="-"/>
    <n v="0"/>
    <n v="1"/>
    <n v="1"/>
    <n v="0"/>
    <n v="0"/>
    <n v="0"/>
  </r>
  <r>
    <s v="2025-10-01 01:00:00.000 +0100"/>
    <x v="6"/>
    <s v="Wednesday"/>
    <d v="1899-12-30T00:16:25"/>
    <n v="31"/>
    <s v="Bezs Beatles Day! V2"/>
    <x v="7"/>
    <x v="2"/>
    <s v="COMPLETED"/>
    <n v="0.44444444444444398"/>
    <n v="1"/>
    <n v="0.66666666666666596"/>
    <n v="0.4"/>
    <n v="0.27272727272727199"/>
    <n v="0"/>
    <n v="0"/>
    <n v="1"/>
    <n v="0"/>
    <n v="0"/>
    <n v="0"/>
    <n v="0"/>
    <n v="0"/>
    <n v="0"/>
    <n v="0"/>
    <n v="0"/>
    <n v="1"/>
    <n v="0"/>
    <n v="0"/>
    <n v="0"/>
    <n v="0"/>
    <n v="0"/>
    <n v="0"/>
    <n v="0"/>
    <n v="0"/>
    <n v="0"/>
    <n v="0"/>
    <n v="0"/>
    <n v="0"/>
    <n v="0"/>
    <s v="-"/>
    <n v="0"/>
    <n v="1"/>
    <n v="1"/>
    <n v="0"/>
    <n v="0"/>
    <n v="0"/>
  </r>
  <r>
    <s v="2025-10-02 01:00:00.000 +0100"/>
    <x v="6"/>
    <s v="Thursday "/>
    <d v="1899-12-30T00:11:43"/>
    <n v="31"/>
    <s v="Bezs Beatles Day! V2"/>
    <x v="6"/>
    <x v="2"/>
    <s v="COMPLETED"/>
    <n v="0.77777777777777701"/>
    <n v="1"/>
    <n v="0.5"/>
    <n v="0.46666666666666601"/>
    <n v="0.18181818181818099"/>
    <n v="0"/>
    <n v="0"/>
    <n v="1"/>
    <n v="0"/>
    <n v="0"/>
    <n v="0"/>
    <n v="0"/>
    <n v="0"/>
    <n v="0"/>
    <n v="0"/>
    <n v="0"/>
    <n v="1"/>
    <n v="0"/>
    <n v="0"/>
    <n v="0"/>
    <n v="0"/>
    <n v="0"/>
    <n v="0"/>
    <n v="0"/>
    <n v="0"/>
    <n v="0"/>
    <n v="0"/>
    <n v="0"/>
    <n v="0"/>
    <n v="0"/>
    <s v="-"/>
    <n v="0"/>
    <n v="1"/>
    <n v="1"/>
    <n v="0"/>
    <n v="0"/>
    <n v="0"/>
  </r>
  <r>
    <s v="2025-10-03 01:00:00.000 +0100"/>
    <x v="6"/>
    <s v="Friday   "/>
    <d v="1899-12-30T00:17:39"/>
    <n v="4"/>
    <s v="Roblox"/>
    <x v="3"/>
    <x v="0"/>
    <s v="COMPLETED"/>
    <n v="0.33333333333333298"/>
    <n v="1"/>
    <n v="0.66666666666666596"/>
    <n v="6.6666666666666596E-2"/>
    <n v="9.0909090909090898E-2"/>
    <n v="1"/>
    <n v="0"/>
    <n v="0"/>
    <n v="0"/>
    <n v="0"/>
    <n v="0"/>
    <n v="0"/>
    <n v="0"/>
    <n v="0"/>
    <n v="0"/>
    <n v="0"/>
    <n v="0"/>
    <n v="0"/>
    <n v="0"/>
    <n v="1"/>
    <n v="0"/>
    <n v="1"/>
    <n v="0"/>
    <n v="1"/>
    <n v="0"/>
    <n v="0"/>
    <n v="0"/>
    <n v="0"/>
    <n v="0"/>
    <n v="0"/>
    <s v="-"/>
    <n v="1"/>
    <n v="4"/>
    <n v="1"/>
    <n v="1"/>
    <n v="1"/>
    <n v="1"/>
  </r>
  <r>
    <s v="2025-10-07 01:00:00.000 +0100"/>
    <x v="6"/>
    <s v="Tuesday  "/>
    <d v="1899-12-30T00:16:44"/>
    <n v="32"/>
    <s v="The Big Investor V2"/>
    <x v="8"/>
    <x v="2"/>
    <s v="COMPLETED"/>
    <n v="0.11111111111111099"/>
    <n v="0.5"/>
    <n v="0.66666666666666596"/>
    <n v="0.133333333333333"/>
    <n v="9.0909090909090898E-2"/>
    <n v="0"/>
    <n v="0"/>
    <n v="0"/>
    <n v="0"/>
    <n v="0"/>
    <n v="0"/>
    <n v="1"/>
    <n v="1"/>
    <n v="0"/>
    <n v="0"/>
    <n v="0"/>
    <n v="0"/>
    <n v="0"/>
    <n v="0"/>
    <n v="0"/>
    <n v="0"/>
    <n v="0"/>
    <n v="0"/>
    <n v="0"/>
    <n v="0"/>
    <n v="0"/>
    <n v="0"/>
    <n v="0"/>
    <n v="0"/>
    <n v="0"/>
    <s v="-"/>
    <n v="0"/>
    <n v="2"/>
    <n v="0"/>
    <n v="0"/>
    <n v="0"/>
    <n v="0"/>
  </r>
  <r>
    <s v="2025-10-07 01:00:00.000 +0100"/>
    <x v="6"/>
    <s v="Tuesday  "/>
    <d v="1899-12-30T00:16:57"/>
    <n v="29"/>
    <s v="Too Good To Be True V2"/>
    <x v="10"/>
    <x v="2"/>
    <s v="COMPLETED"/>
    <n v="0.11111111111111099"/>
    <n v="0.5"/>
    <n v="0.66666666666666596"/>
    <n v="0.2"/>
    <n v="9.0909090909090898E-2"/>
    <n v="0"/>
    <n v="0"/>
    <n v="1"/>
    <n v="0"/>
    <n v="0"/>
    <n v="0"/>
    <n v="0"/>
    <n v="0"/>
    <n v="0"/>
    <n v="0"/>
    <n v="0"/>
    <n v="0"/>
    <n v="0"/>
    <n v="0"/>
    <n v="0"/>
    <n v="0"/>
    <n v="0"/>
    <n v="0"/>
    <n v="0"/>
    <n v="0"/>
    <n v="0"/>
    <n v="0"/>
    <n v="1"/>
    <n v="0"/>
    <n v="0"/>
    <s v="-"/>
    <n v="0"/>
    <n v="1"/>
    <n v="2"/>
    <n v="0"/>
    <n v="0"/>
    <n v="0"/>
  </r>
  <r>
    <s v="2025-10-08 01:00:00.000 +0100"/>
    <x v="6"/>
    <s v="Wednesday"/>
    <d v="1899-12-30T00:12:05"/>
    <n v="7"/>
    <s v="Rumours"/>
    <x v="6"/>
    <x v="2"/>
    <s v="COMPLETED"/>
    <n v="0.77777777777777701"/>
    <n v="1"/>
    <n v="0.16666666666666599"/>
    <n v="0.4"/>
    <n v="0.36363636363636298"/>
    <n v="0"/>
    <n v="0"/>
    <n v="0"/>
    <n v="0"/>
    <n v="0"/>
    <n v="0"/>
    <n v="1"/>
    <n v="0"/>
    <n v="1"/>
    <n v="0"/>
    <n v="0"/>
    <n v="0"/>
    <n v="0"/>
    <n v="0"/>
    <n v="0"/>
    <n v="0"/>
    <n v="0"/>
    <n v="0"/>
    <n v="0"/>
    <n v="0"/>
    <n v="0"/>
    <n v="1"/>
    <n v="0"/>
    <n v="0"/>
    <n v="0"/>
    <s v="-"/>
    <n v="0"/>
    <n v="2"/>
    <n v="0"/>
    <n v="1"/>
    <n v="0"/>
    <n v="0"/>
  </r>
  <r>
    <s v="2025-10-08 01:00:00.000 +0100"/>
    <x v="6"/>
    <s v="Wednesday"/>
    <d v="1899-12-30T00:20:02"/>
    <n v="31"/>
    <s v="Bezs Beatles Day! V2"/>
    <x v="9"/>
    <x v="1"/>
    <s v="OUT_OF_TIME"/>
    <n v="0.88888888888888795"/>
    <n v="1"/>
    <n v="0.66666666666666596"/>
    <n v="0.8"/>
    <n v="0.54545454545454497"/>
    <n v="0"/>
    <n v="0"/>
    <n v="1"/>
    <n v="0"/>
    <n v="0"/>
    <n v="0"/>
    <n v="0"/>
    <n v="0"/>
    <n v="0"/>
    <n v="0"/>
    <n v="0"/>
    <n v="1"/>
    <n v="0"/>
    <n v="0"/>
    <n v="0"/>
    <n v="0"/>
    <n v="0"/>
    <n v="0"/>
    <n v="0"/>
    <n v="0"/>
    <n v="0"/>
    <n v="0"/>
    <n v="0"/>
    <n v="0"/>
    <n v="0"/>
    <s v="-"/>
    <n v="0"/>
    <n v="1"/>
    <n v="1"/>
    <n v="0"/>
    <n v="0"/>
    <n v="0"/>
  </r>
  <r>
    <s v="2025-10-08 01:00:00.000 +0100"/>
    <x v="6"/>
    <s v="Wednesday"/>
    <d v="1899-12-30T00:17:39"/>
    <n v="32"/>
    <s v="The Big Investor V2"/>
    <x v="7"/>
    <x v="2"/>
    <s v="COMPLETED"/>
    <n v="0.22222222222222199"/>
    <n v="1"/>
    <n v="0.66666666666666596"/>
    <n v="0.266666666666666"/>
    <n v="9.0909090909090898E-2"/>
    <n v="0"/>
    <n v="0"/>
    <n v="0"/>
    <n v="0"/>
    <n v="0"/>
    <n v="0"/>
    <n v="1"/>
    <n v="1"/>
    <n v="0"/>
    <n v="0"/>
    <n v="0"/>
    <n v="0"/>
    <n v="0"/>
    <n v="0"/>
    <n v="0"/>
    <n v="0"/>
    <n v="0"/>
    <n v="0"/>
    <n v="0"/>
    <n v="0"/>
    <n v="0"/>
    <n v="0"/>
    <n v="0"/>
    <n v="0"/>
    <n v="0"/>
    <s v="-"/>
    <n v="0"/>
    <n v="2"/>
    <n v="0"/>
    <n v="0"/>
    <n v="0"/>
    <n v="0"/>
  </r>
  <r>
    <s v="2025-10-10 01:00:00.000 +0100"/>
    <x v="6"/>
    <s v="Friday   "/>
    <d v="1899-12-30T00:39:58"/>
    <n v="30"/>
    <s v="DEFCON 1"/>
    <x v="1"/>
    <x v="0"/>
    <s v="COMPLETED"/>
    <n v="0.77777777777777701"/>
    <n v="0.5"/>
    <n v="0.33333333333333298"/>
    <n v="0.66666666666666596"/>
    <n v="0.72727272727272696"/>
    <n v="0"/>
    <n v="1"/>
    <n v="0"/>
    <n v="0"/>
    <n v="0"/>
    <n v="1"/>
    <n v="0"/>
    <n v="0"/>
    <n v="0"/>
    <n v="0"/>
    <n v="1"/>
    <n v="0"/>
    <n v="0"/>
    <n v="0"/>
    <n v="0"/>
    <n v="0"/>
    <n v="0"/>
    <n v="1"/>
    <n v="0"/>
    <n v="0"/>
    <n v="0"/>
    <n v="0"/>
    <n v="0"/>
    <n v="0"/>
    <n v="0"/>
    <s v="-"/>
    <n v="1"/>
    <n v="2"/>
    <n v="2"/>
    <n v="2"/>
    <n v="2"/>
    <n v="0"/>
  </r>
  <r>
    <s v="2025-10-14 01:00:00.000 +0100"/>
    <x v="6"/>
    <s v="Tuesday  "/>
    <d v="1899-12-30T00:37:33"/>
    <n v="30"/>
    <s v="DEFCON 1"/>
    <x v="2"/>
    <x v="0"/>
    <s v="COMPLETED"/>
    <n v="0.55555555555555503"/>
    <n v="1"/>
    <n v="0.5"/>
    <n v="0.4"/>
    <n v="0.36363636363636298"/>
    <n v="0"/>
    <n v="1"/>
    <n v="0"/>
    <n v="0"/>
    <n v="0"/>
    <n v="1"/>
    <n v="0"/>
    <n v="0"/>
    <n v="0"/>
    <n v="0"/>
    <n v="1"/>
    <n v="0"/>
    <n v="0"/>
    <n v="0"/>
    <n v="0"/>
    <n v="0"/>
    <n v="0"/>
    <n v="1"/>
    <n v="0"/>
    <n v="0"/>
    <n v="0"/>
    <n v="0"/>
    <n v="0"/>
    <n v="0"/>
    <n v="0"/>
    <s v="-"/>
    <n v="1"/>
    <n v="2"/>
    <n v="2"/>
    <n v="2"/>
    <n v="2"/>
    <n v="0"/>
  </r>
  <r>
    <s v="2025-10-15 01:00:00.000 +0100"/>
    <x v="6"/>
    <s v="Wednesday"/>
    <d v="1899-12-30T00:11:09"/>
    <n v="7"/>
    <s v="Rumours"/>
    <x v="7"/>
    <x v="2"/>
    <s v="COMPLETED"/>
    <n v="0.55555555555555503"/>
    <n v="1"/>
    <n v="0.33333333333333298"/>
    <n v="0"/>
    <n v="0"/>
    <n v="0"/>
    <n v="0"/>
    <n v="0"/>
    <n v="0"/>
    <n v="0"/>
    <n v="0"/>
    <n v="1"/>
    <n v="0"/>
    <n v="1"/>
    <n v="0"/>
    <n v="0"/>
    <n v="0"/>
    <n v="0"/>
    <n v="0"/>
    <n v="0"/>
    <n v="0"/>
    <n v="0"/>
    <n v="0"/>
    <n v="0"/>
    <n v="0"/>
    <n v="0"/>
    <n v="1"/>
    <n v="0"/>
    <n v="0"/>
    <n v="0"/>
    <s v="-"/>
    <n v="0"/>
    <n v="2"/>
    <n v="0"/>
    <n v="1"/>
    <n v="0"/>
    <n v="0"/>
  </r>
  <r>
    <s v="2025-10-16 01:00:00.000 +0100"/>
    <x v="6"/>
    <s v="Thursday "/>
    <d v="1899-12-30T00:26:31"/>
    <n v="30"/>
    <s v="DEFCON 1"/>
    <x v="4"/>
    <x v="0"/>
    <s v="COMPLETED"/>
    <n v="0.88888888888888795"/>
    <n v="1"/>
    <n v="0.83333333333333304"/>
    <n v="0.8"/>
    <n v="0.72727272727272696"/>
    <n v="0"/>
    <n v="1"/>
    <n v="0"/>
    <n v="0"/>
    <n v="0"/>
    <n v="1"/>
    <n v="0"/>
    <n v="0"/>
    <n v="0"/>
    <n v="0"/>
    <n v="1"/>
    <n v="0"/>
    <n v="0"/>
    <n v="0"/>
    <n v="0"/>
    <n v="0"/>
    <n v="0"/>
    <n v="1"/>
    <n v="0"/>
    <n v="0"/>
    <n v="0"/>
    <n v="0"/>
    <n v="0"/>
    <n v="0"/>
    <n v="0"/>
    <s v="-"/>
    <n v="1"/>
    <n v="2"/>
    <n v="2"/>
    <n v="2"/>
    <n v="2"/>
    <n v="0"/>
  </r>
  <r>
    <s v="2025-10-17 01:00:00.000 +0100"/>
    <x v="6"/>
    <s v="Friday   "/>
    <d v="1899-12-30T00:24:12"/>
    <n v="14"/>
    <s v="Missing Delivery"/>
    <x v="6"/>
    <x v="2"/>
    <s v="COMPLETED"/>
    <n v="0.88888888888888795"/>
    <n v="1"/>
    <n v="0.33333333333333298"/>
    <n v="0.4"/>
    <n v="0.36363636363636298"/>
    <n v="0"/>
    <n v="0"/>
    <n v="0"/>
    <n v="0"/>
    <n v="0"/>
    <n v="0"/>
    <n v="0"/>
    <n v="0"/>
    <n v="1"/>
    <n v="1"/>
    <n v="0"/>
    <n v="0"/>
    <n v="0"/>
    <n v="0"/>
    <n v="1"/>
    <n v="0"/>
    <n v="0"/>
    <n v="0"/>
    <n v="0"/>
    <n v="0"/>
    <n v="0"/>
    <n v="0"/>
    <n v="0"/>
    <n v="0"/>
    <n v="0"/>
    <s v="-"/>
    <n v="1"/>
    <n v="2"/>
    <n v="1"/>
    <n v="1"/>
    <n v="2"/>
    <n v="1"/>
  </r>
  <r>
    <s v="2025-10-17 01:00:00.000 +0100"/>
    <x v="6"/>
    <s v="Friday   "/>
    <d v="1899-12-30T00:10:20"/>
    <n v="29"/>
    <s v="Too Good To Be True V2"/>
    <x v="11"/>
    <x v="2"/>
    <s v="COMPLETED"/>
    <n v="0.44444444444444398"/>
    <n v="0.5"/>
    <n v="0.5"/>
    <n v="0.2"/>
    <n v="0"/>
    <n v="0"/>
    <n v="0"/>
    <n v="1"/>
    <n v="0"/>
    <n v="0"/>
    <n v="0"/>
    <n v="0"/>
    <n v="0"/>
    <n v="0"/>
    <n v="0"/>
    <n v="0"/>
    <n v="0"/>
    <n v="0"/>
    <n v="0"/>
    <n v="0"/>
    <n v="0"/>
    <n v="0"/>
    <n v="0"/>
    <n v="0"/>
    <n v="0"/>
    <n v="0"/>
    <n v="0"/>
    <n v="1"/>
    <n v="0"/>
    <n v="0"/>
    <s v="-"/>
    <n v="0"/>
    <n v="1"/>
    <n v="2"/>
    <n v="0"/>
    <n v="0"/>
    <n v="0"/>
  </r>
  <r>
    <s v="2025-10-21 01:00:00.000 +0100"/>
    <x v="6"/>
    <s v="Tuesday  "/>
    <d v="1899-12-30T00:18:40"/>
    <n v="31"/>
    <s v="Bezs Beatles Day! V2"/>
    <x v="11"/>
    <x v="2"/>
    <s v="COMPLETED"/>
    <n v="0.44444444444444398"/>
    <n v="0.5"/>
    <n v="0.66666666666666596"/>
    <n v="0.2"/>
    <n v="0"/>
    <n v="0"/>
    <n v="0"/>
    <n v="1"/>
    <n v="0"/>
    <n v="0"/>
    <n v="0"/>
    <n v="0"/>
    <n v="0"/>
    <n v="0"/>
    <n v="0"/>
    <n v="0"/>
    <n v="1"/>
    <n v="0"/>
    <n v="0"/>
    <n v="0"/>
    <n v="0"/>
    <n v="0"/>
    <n v="0"/>
    <n v="0"/>
    <n v="0"/>
    <n v="0"/>
    <n v="0"/>
    <n v="0"/>
    <n v="0"/>
    <n v="0"/>
    <s v="-"/>
    <n v="0"/>
    <n v="1"/>
    <n v="1"/>
    <n v="0"/>
    <n v="0"/>
    <n v="0"/>
  </r>
  <r>
    <s v="2025-10-22 01:00:00.000 +0100"/>
    <x v="6"/>
    <s v="Wednesday"/>
    <d v="1899-12-30T00:14:12"/>
    <n v="32"/>
    <s v="The Big Investor V2"/>
    <x v="9"/>
    <x v="1"/>
    <s v="COMPLETED"/>
    <n v="0.44444444444444398"/>
    <n v="1"/>
    <n v="0.5"/>
    <n v="0.6"/>
    <n v="0.36363636363636298"/>
    <n v="0"/>
    <n v="0"/>
    <n v="0"/>
    <n v="0"/>
    <n v="0"/>
    <n v="0"/>
    <n v="1"/>
    <n v="1"/>
    <n v="0"/>
    <n v="0"/>
    <n v="0"/>
    <n v="0"/>
    <n v="0"/>
    <n v="0"/>
    <n v="0"/>
    <n v="0"/>
    <n v="0"/>
    <n v="0"/>
    <n v="0"/>
    <n v="0"/>
    <n v="0"/>
    <n v="0"/>
    <n v="0"/>
    <n v="0"/>
    <n v="0"/>
    <s v="-"/>
    <n v="0"/>
    <n v="2"/>
    <n v="0"/>
    <n v="0"/>
    <n v="0"/>
    <n v="0"/>
  </r>
  <r>
    <s v="2025-10-22 01:00:00.000 +0100"/>
    <x v="6"/>
    <s v="Wednesday"/>
    <d v="1899-12-30T00:21:35"/>
    <n v="14"/>
    <s v="Missing Delivery"/>
    <x v="7"/>
    <x v="2"/>
    <s v="COMPLETED"/>
    <n v="0.55555555555555503"/>
    <n v="1"/>
    <n v="0.66666666666666596"/>
    <n v="0.33333333333333298"/>
    <n v="0.27272727272727199"/>
    <n v="0"/>
    <n v="0"/>
    <n v="0"/>
    <n v="0"/>
    <n v="0"/>
    <n v="0"/>
    <n v="0"/>
    <n v="0"/>
    <n v="1"/>
    <n v="1"/>
    <n v="0"/>
    <n v="0"/>
    <n v="0"/>
    <n v="0"/>
    <n v="1"/>
    <n v="0"/>
    <n v="0"/>
    <n v="0"/>
    <n v="0"/>
    <n v="0"/>
    <n v="0"/>
    <n v="0"/>
    <n v="0"/>
    <n v="0"/>
    <n v="0"/>
    <s v="-"/>
    <n v="1"/>
    <n v="2"/>
    <n v="1"/>
    <n v="1"/>
    <n v="2"/>
    <n v="1"/>
  </r>
  <r>
    <s v="2025-10-22 01:00:00.000 +0100"/>
    <x v="6"/>
    <s v="Wednesday"/>
    <d v="1899-12-30T00:18:24"/>
    <n v="16"/>
    <s v="Radio Silence"/>
    <x v="6"/>
    <x v="2"/>
    <s v="COMPLETED"/>
    <n v="0.77777777777777701"/>
    <n v="1"/>
    <n v="0.66666666666666596"/>
    <n v="0.46666666666666601"/>
    <n v="0.27272727272727199"/>
    <n v="0"/>
    <n v="0"/>
    <n v="0"/>
    <n v="1"/>
    <n v="0"/>
    <n v="0"/>
    <n v="0"/>
    <n v="0"/>
    <n v="0"/>
    <n v="0"/>
    <n v="0"/>
    <n v="0"/>
    <n v="0"/>
    <n v="1"/>
    <n v="0"/>
    <n v="0"/>
    <n v="0"/>
    <n v="0"/>
    <n v="0"/>
    <n v="0"/>
    <n v="0"/>
    <n v="0"/>
    <n v="0"/>
    <n v="0"/>
    <n v="0"/>
    <s v="-"/>
    <n v="0"/>
    <n v="1"/>
    <n v="0"/>
    <n v="0"/>
    <n v="1"/>
    <n v="0"/>
  </r>
  <r>
    <s v="2025-10-24 01:00:00.000 +0100"/>
    <x v="6"/>
    <s v="Friday   "/>
    <d v="1899-12-30T00:15:56"/>
    <n v="29"/>
    <s v="Too Good To Be True V2"/>
    <x v="12"/>
    <x v="3"/>
    <s v="COMPLETED"/>
    <n v="0.22222222222222199"/>
    <n v="0.5"/>
    <n v="0.66666666666666596"/>
    <n v="0.266666666666666"/>
    <n v="0"/>
    <n v="0"/>
    <n v="0"/>
    <n v="1"/>
    <n v="0"/>
    <n v="0"/>
    <n v="0"/>
    <n v="0"/>
    <n v="0"/>
    <n v="0"/>
    <n v="0"/>
    <n v="0"/>
    <n v="0"/>
    <n v="0"/>
    <n v="0"/>
    <n v="0"/>
    <n v="0"/>
    <n v="0"/>
    <n v="0"/>
    <n v="0"/>
    <n v="0"/>
    <n v="0"/>
    <n v="0"/>
    <n v="1"/>
    <n v="0"/>
    <n v="0"/>
    <s v="-"/>
    <n v="0"/>
    <n v="1"/>
    <n v="2"/>
    <n v="0"/>
    <n v="0"/>
    <n v="0"/>
  </r>
  <r>
    <s v="2025-10-28 00:00:00.000 +0000"/>
    <x v="6"/>
    <s v="Tuesday  "/>
    <d v="1899-12-30T00:08:01"/>
    <n v="29"/>
    <s v="Too Good To Be True V2"/>
    <x v="13"/>
    <x v="3"/>
    <s v="COMPLETED"/>
    <n v="0.55555555555555503"/>
    <n v="0.5"/>
    <n v="0.5"/>
    <n v="0.33333333333333298"/>
    <n v="0.18181818181818099"/>
    <n v="0"/>
    <n v="0"/>
    <n v="1"/>
    <n v="0"/>
    <n v="0"/>
    <n v="0"/>
    <n v="0"/>
    <n v="0"/>
    <n v="0"/>
    <n v="0"/>
    <n v="0"/>
    <n v="0"/>
    <n v="0"/>
    <n v="0"/>
    <n v="0"/>
    <n v="0"/>
    <n v="0"/>
    <n v="0"/>
    <n v="0"/>
    <n v="0"/>
    <n v="0"/>
    <n v="0"/>
    <n v="1"/>
    <n v="0"/>
    <n v="0"/>
    <s v="-"/>
    <n v="0"/>
    <n v="1"/>
    <n v="2"/>
    <n v="0"/>
    <n v="0"/>
    <n v="0"/>
  </r>
  <r>
    <s v="2025-10-28 00:00:00.000 +0000"/>
    <x v="6"/>
    <s v="Tuesday  "/>
    <d v="1899-12-30T00:19:14"/>
    <n v="32"/>
    <s v="The Big Investor V2"/>
    <x v="11"/>
    <x v="2"/>
    <s v="COMPLETED"/>
    <n v="0.55555555555555503"/>
    <n v="0.5"/>
    <n v="0.5"/>
    <n v="0.4"/>
    <n v="9.0909090909090898E-2"/>
    <n v="0"/>
    <n v="0"/>
    <n v="0"/>
    <n v="0"/>
    <n v="0"/>
    <n v="0"/>
    <n v="1"/>
    <n v="1"/>
    <n v="0"/>
    <n v="0"/>
    <n v="0"/>
    <n v="0"/>
    <n v="0"/>
    <n v="0"/>
    <n v="0"/>
    <n v="0"/>
    <n v="0"/>
    <n v="0"/>
    <n v="0"/>
    <n v="0"/>
    <n v="0"/>
    <n v="0"/>
    <n v="0"/>
    <n v="0"/>
    <n v="0"/>
    <s v="-"/>
    <n v="0"/>
    <n v="2"/>
    <n v="0"/>
    <n v="0"/>
    <n v="0"/>
    <n v="0"/>
  </r>
  <r>
    <s v="2025-10-29 00:00:00.000 +0000"/>
    <x v="6"/>
    <s v="Wednesday"/>
    <d v="1899-12-30T00:20:15"/>
    <n v="16"/>
    <s v="Radio Silence"/>
    <x v="7"/>
    <x v="2"/>
    <s v="COMPLETED"/>
    <n v="0.88888888888888795"/>
    <n v="1"/>
    <n v="0.66666666666666596"/>
    <n v="0.73333333333333295"/>
    <n v="0.63636363636363602"/>
    <n v="0"/>
    <n v="0"/>
    <n v="0"/>
    <n v="1"/>
    <n v="0"/>
    <n v="0"/>
    <n v="0"/>
    <n v="0"/>
    <n v="0"/>
    <n v="0"/>
    <n v="0"/>
    <n v="0"/>
    <n v="0"/>
    <n v="1"/>
    <n v="0"/>
    <n v="0"/>
    <n v="0"/>
    <n v="0"/>
    <n v="0"/>
    <n v="0"/>
    <n v="0"/>
    <n v="0"/>
    <n v="0"/>
    <n v="0"/>
    <n v="0"/>
    <s v="-"/>
    <n v="0"/>
    <n v="1"/>
    <n v="0"/>
    <n v="0"/>
    <n v="1"/>
    <n v="0"/>
  </r>
  <r>
    <s v="2025-10-29 00:00:00.000 +0000"/>
    <x v="6"/>
    <s v="Wednesday"/>
    <d v="1899-12-30T00:16:08"/>
    <n v="7"/>
    <s v="Rumours"/>
    <x v="8"/>
    <x v="2"/>
    <s v="COMPLETED"/>
    <n v="0.44444444444444398"/>
    <n v="0.5"/>
    <n v="0.33333333333333298"/>
    <n v="0.133333333333333"/>
    <n v="9.0909090909090898E-2"/>
    <n v="0"/>
    <n v="0"/>
    <n v="0"/>
    <n v="0"/>
    <n v="0"/>
    <n v="0"/>
    <n v="1"/>
    <n v="0"/>
    <n v="1"/>
    <n v="0"/>
    <n v="0"/>
    <n v="0"/>
    <n v="0"/>
    <n v="0"/>
    <n v="0"/>
    <n v="0"/>
    <n v="0"/>
    <n v="0"/>
    <n v="0"/>
    <n v="0"/>
    <n v="0"/>
    <n v="1"/>
    <n v="0"/>
    <n v="0"/>
    <n v="0"/>
    <s v="-"/>
    <n v="0"/>
    <n v="2"/>
    <n v="0"/>
    <n v="1"/>
    <n v="0"/>
    <n v="0"/>
  </r>
  <r>
    <s v="2025-10-30 00:00:00.000 +0000"/>
    <x v="6"/>
    <s v="Thursday "/>
    <d v="1899-12-30T00:14:39"/>
    <n v="29"/>
    <s v="Too Good To Be True V2"/>
    <x v="14"/>
    <x v="3"/>
    <s v="COMPLETED"/>
    <n v="0.55555555555555503"/>
    <n v="1"/>
    <n v="0.66666666666666596"/>
    <n v="0.6"/>
    <n v="0.36363636363636298"/>
    <n v="0"/>
    <n v="0"/>
    <n v="1"/>
    <n v="0"/>
    <n v="0"/>
    <n v="0"/>
    <n v="0"/>
    <n v="0"/>
    <n v="0"/>
    <n v="0"/>
    <n v="0"/>
    <n v="0"/>
    <n v="0"/>
    <n v="0"/>
    <n v="0"/>
    <n v="0"/>
    <n v="0"/>
    <n v="0"/>
    <n v="0"/>
    <n v="0"/>
    <n v="0"/>
    <n v="0"/>
    <n v="1"/>
    <n v="0"/>
    <n v="0"/>
    <s v="-"/>
    <n v="0"/>
    <n v="1"/>
    <n v="2"/>
    <n v="0"/>
    <n v="0"/>
    <n v="0"/>
  </r>
  <r>
    <s v="2025-10-31 00:00:00.000 +0000"/>
    <x v="6"/>
    <s v="Friday   "/>
    <d v="1899-12-30T00:20:01"/>
    <n v="32"/>
    <s v="The Big Investor V2"/>
    <x v="12"/>
    <x v="3"/>
    <s v="OUT_OF_TIME"/>
    <n v="0.55555555555555503"/>
    <n v="0"/>
    <n v="0"/>
    <n v="0.33333333333333298"/>
    <n v="0.18181818181818099"/>
    <n v="0"/>
    <n v="0"/>
    <n v="0"/>
    <n v="0"/>
    <n v="0"/>
    <n v="0"/>
    <n v="1"/>
    <n v="1"/>
    <n v="0"/>
    <n v="0"/>
    <n v="0"/>
    <n v="0"/>
    <n v="0"/>
    <n v="0"/>
    <n v="0"/>
    <n v="0"/>
    <n v="0"/>
    <n v="0"/>
    <n v="0"/>
    <n v="0"/>
    <n v="0"/>
    <n v="0"/>
    <n v="0"/>
    <n v="0"/>
    <n v="0"/>
    <s v="-"/>
    <n v="0"/>
    <n v="2"/>
    <n v="0"/>
    <n v="0"/>
    <n v="0"/>
    <n v="0"/>
  </r>
  <r>
    <s v="2025-11-04 00:00:00.000 +0000"/>
    <x v="7"/>
    <s v="Tuesday  "/>
    <d v="1899-12-30T00:18:01"/>
    <n v="29"/>
    <s v="Too Good To Be True V2"/>
    <x v="15"/>
    <x v="2"/>
    <s v="COMPLETED"/>
    <n v="0.55555555555555503"/>
    <n v="1"/>
    <n v="0.83333333333333304"/>
    <n v="0.46666666666666601"/>
    <n v="0.18181818181818099"/>
    <n v="0"/>
    <n v="0"/>
    <n v="1"/>
    <n v="0"/>
    <n v="0"/>
    <n v="0"/>
    <n v="0"/>
    <n v="0"/>
    <n v="0"/>
    <n v="0"/>
    <n v="0"/>
    <n v="0"/>
    <n v="0"/>
    <n v="0"/>
    <n v="0"/>
    <n v="0"/>
    <n v="0"/>
    <n v="0"/>
    <n v="0"/>
    <n v="0"/>
    <n v="0"/>
    <n v="0"/>
    <n v="1"/>
    <n v="0"/>
    <n v="0"/>
    <s v="-"/>
    <n v="0"/>
    <n v="1"/>
    <n v="2"/>
    <n v="0"/>
    <n v="0"/>
    <n v="0"/>
  </r>
  <r>
    <s v="2025-11-04 00:00:00.000 +0000"/>
    <x v="7"/>
    <s v="Tuesday  "/>
    <d v="1899-12-30T00:10:23"/>
    <n v="31"/>
    <s v="Bezs Beatles Day! V2"/>
    <x v="13"/>
    <x v="3"/>
    <s v="COMPLETED"/>
    <n v="0.33333333333333298"/>
    <n v="0.5"/>
    <n v="0.5"/>
    <n v="0.2"/>
    <n v="0"/>
    <n v="0"/>
    <n v="0"/>
    <n v="1"/>
    <n v="0"/>
    <n v="0"/>
    <n v="0"/>
    <n v="0"/>
    <n v="0"/>
    <n v="0"/>
    <n v="0"/>
    <n v="0"/>
    <n v="1"/>
    <n v="0"/>
    <n v="0"/>
    <n v="0"/>
    <n v="0"/>
    <n v="0"/>
    <n v="0"/>
    <n v="0"/>
    <n v="0"/>
    <n v="0"/>
    <n v="0"/>
    <n v="0"/>
    <n v="0"/>
    <n v="0"/>
    <s v="-"/>
    <n v="0"/>
    <n v="1"/>
    <n v="1"/>
    <n v="0"/>
    <n v="0"/>
    <n v="0"/>
  </r>
  <r>
    <s v="2025-11-05 00:00:00.000 +0000"/>
    <x v="7"/>
    <s v="Wednesday"/>
    <d v="1899-12-30T00:13:41"/>
    <n v="7"/>
    <s v="Rumours"/>
    <x v="9"/>
    <x v="1"/>
    <s v="COMPLETED"/>
    <n v="0.44444444444444398"/>
    <n v="0.5"/>
    <n v="0.33333333333333298"/>
    <n v="0.4"/>
    <n v="0.27272727272727199"/>
    <n v="0"/>
    <n v="0"/>
    <n v="0"/>
    <n v="0"/>
    <n v="0"/>
    <n v="0"/>
    <n v="1"/>
    <n v="0"/>
    <n v="1"/>
    <n v="0"/>
    <n v="0"/>
    <n v="0"/>
    <n v="0"/>
    <n v="0"/>
    <n v="0"/>
    <n v="0"/>
    <n v="0"/>
    <n v="0"/>
    <n v="0"/>
    <n v="0"/>
    <n v="0"/>
    <n v="1"/>
    <n v="0"/>
    <n v="0"/>
    <n v="0"/>
    <s v="-"/>
    <n v="0"/>
    <n v="2"/>
    <n v="0"/>
    <n v="1"/>
    <n v="0"/>
    <n v="0"/>
  </r>
  <r>
    <s v="2025-11-05 00:00:00.000 +0000"/>
    <x v="7"/>
    <s v="Wednesday"/>
    <d v="1899-12-30T00:18:33"/>
    <n v="4"/>
    <s v="Roblox"/>
    <x v="6"/>
    <x v="2"/>
    <s v="COMPLETED"/>
    <n v="0.66666666666666596"/>
    <n v="1"/>
    <n v="0.66666666666666596"/>
    <n v="0.46666666666666601"/>
    <n v="0.36363636363636298"/>
    <n v="1"/>
    <n v="0"/>
    <n v="0"/>
    <n v="0"/>
    <n v="0"/>
    <n v="0"/>
    <n v="0"/>
    <n v="0"/>
    <n v="0"/>
    <n v="0"/>
    <n v="0"/>
    <n v="0"/>
    <n v="0"/>
    <n v="0"/>
    <n v="1"/>
    <n v="0"/>
    <n v="1"/>
    <n v="0"/>
    <n v="1"/>
    <n v="0"/>
    <n v="0"/>
    <n v="0"/>
    <n v="0"/>
    <n v="0"/>
    <n v="0"/>
    <s v="-"/>
    <n v="1"/>
    <n v="4"/>
    <n v="1"/>
    <n v="1"/>
    <n v="1"/>
    <n v="1"/>
  </r>
  <r>
    <s v="2025-11-05 00:00:00.000 +0000"/>
    <x v="7"/>
    <s v="Wednesday"/>
    <d v="1899-12-30T00:17:57"/>
    <n v="14"/>
    <s v="Missing Delivery"/>
    <x v="11"/>
    <x v="2"/>
    <s v="COMPLETED"/>
    <n v="0.77777777777777701"/>
    <n v="1"/>
    <n v="0.5"/>
    <n v="0.73333333333333295"/>
    <n v="0.54545454545454497"/>
    <n v="0"/>
    <n v="0"/>
    <n v="0"/>
    <n v="0"/>
    <n v="0"/>
    <n v="0"/>
    <n v="0"/>
    <n v="0"/>
    <n v="1"/>
    <n v="1"/>
    <n v="0"/>
    <n v="0"/>
    <n v="0"/>
    <n v="0"/>
    <n v="1"/>
    <n v="0"/>
    <n v="0"/>
    <n v="0"/>
    <n v="0"/>
    <n v="0"/>
    <n v="0"/>
    <n v="0"/>
    <n v="0"/>
    <n v="0"/>
    <n v="0"/>
    <s v="-"/>
    <n v="1"/>
    <n v="2"/>
    <n v="1"/>
    <n v="1"/>
    <n v="2"/>
    <n v="1"/>
  </r>
  <r>
    <s v="2025-11-06 00:00:00.000 +0000"/>
    <x v="7"/>
    <s v="Thursday "/>
    <d v="1899-12-30T00:10:48"/>
    <n v="29"/>
    <s v="Too Good To Be True V2"/>
    <x v="16"/>
    <x v="3"/>
    <s v="COMPLETED"/>
    <n v="0.66666666666666596"/>
    <n v="1"/>
    <n v="0.66666666666666596"/>
    <n v="0.6"/>
    <n v="0.27272727272727199"/>
    <n v="0"/>
    <n v="0"/>
    <n v="1"/>
    <n v="0"/>
    <n v="0"/>
    <n v="0"/>
    <n v="0"/>
    <n v="0"/>
    <n v="0"/>
    <n v="0"/>
    <n v="0"/>
    <n v="0"/>
    <n v="0"/>
    <n v="0"/>
    <n v="0"/>
    <n v="0"/>
    <n v="0"/>
    <n v="0"/>
    <n v="0"/>
    <n v="0"/>
    <n v="0"/>
    <n v="0"/>
    <n v="1"/>
    <n v="0"/>
    <n v="0"/>
    <s v="-"/>
    <n v="0"/>
    <n v="1"/>
    <n v="2"/>
    <n v="0"/>
    <n v="0"/>
    <n v="0"/>
  </r>
  <r>
    <s v="2025-11-06 00:00:00.000 +0000"/>
    <x v="7"/>
    <s v="Thursday "/>
    <d v="1899-12-30T00:14:05"/>
    <n v="31"/>
    <s v="Bezs Beatles Day! V2"/>
    <x v="14"/>
    <x v="3"/>
    <s v="COMPLETED"/>
    <n v="0.66666666666666596"/>
    <n v="1"/>
    <n v="0.66666666666666596"/>
    <n v="0.46666666666666601"/>
    <n v="9.0909090909090898E-2"/>
    <n v="0"/>
    <n v="0"/>
    <n v="1"/>
    <n v="0"/>
    <n v="0"/>
    <n v="0"/>
    <n v="0"/>
    <n v="0"/>
    <n v="0"/>
    <n v="0"/>
    <n v="0"/>
    <n v="1"/>
    <n v="0"/>
    <n v="0"/>
    <n v="0"/>
    <n v="0"/>
    <n v="0"/>
    <n v="0"/>
    <n v="0"/>
    <n v="0"/>
    <n v="0"/>
    <n v="0"/>
    <n v="0"/>
    <n v="0"/>
    <n v="0"/>
    <s v="-"/>
    <n v="0"/>
    <n v="1"/>
    <n v="1"/>
    <n v="0"/>
    <n v="0"/>
    <n v="0"/>
  </r>
  <r>
    <s v="2025-11-07 00:00:00.000 +0000"/>
    <x v="7"/>
    <s v="Friday   "/>
    <d v="1899-12-30T00:20:02"/>
    <n v="17"/>
    <s v="Version confusion"/>
    <x v="1"/>
    <x v="0"/>
    <s v="OUT_OF_TIME"/>
    <n v="0.33333333333333298"/>
    <n v="0.5"/>
    <n v="0.33333333333333298"/>
    <n v="0.2"/>
    <n v="9.0909090909090898E-2"/>
    <n v="0"/>
    <n v="0"/>
    <n v="0"/>
    <n v="0"/>
    <n v="1"/>
    <n v="0"/>
    <n v="1"/>
    <n v="0"/>
    <n v="0"/>
    <n v="0"/>
    <n v="0"/>
    <n v="1"/>
    <n v="0"/>
    <n v="0"/>
    <n v="0"/>
    <n v="0"/>
    <n v="0"/>
    <n v="0"/>
    <n v="0"/>
    <n v="0"/>
    <n v="0"/>
    <n v="0"/>
    <n v="0"/>
    <n v="0"/>
    <n v="0"/>
    <s v="-"/>
    <n v="0"/>
    <n v="2"/>
    <n v="0"/>
    <n v="0"/>
    <n v="1"/>
    <n v="0"/>
  </r>
  <r>
    <s v="2025-11-11 00:00:00.000 +0000"/>
    <x v="7"/>
    <s v="Tuesday  "/>
    <d v="1899-12-30T00:20:01"/>
    <n v="31"/>
    <s v="Bezs Beatles Day! V2"/>
    <x v="15"/>
    <x v="2"/>
    <s v="OUT_OF_TIME"/>
    <n v="0.88888888888888795"/>
    <n v="1"/>
    <n v="0.5"/>
    <n v="0.46666666666666601"/>
    <n v="0.36363636363636298"/>
    <n v="0"/>
    <n v="0"/>
    <n v="1"/>
    <n v="0"/>
    <n v="0"/>
    <n v="0"/>
    <n v="0"/>
    <n v="0"/>
    <n v="0"/>
    <n v="0"/>
    <n v="0"/>
    <n v="1"/>
    <n v="0"/>
    <n v="0"/>
    <n v="0"/>
    <n v="0"/>
    <n v="0"/>
    <n v="0"/>
    <n v="0"/>
    <n v="0"/>
    <n v="0"/>
    <n v="0"/>
    <n v="0"/>
    <n v="0"/>
    <n v="0"/>
    <s v="-"/>
    <n v="0"/>
    <n v="1"/>
    <n v="1"/>
    <n v="0"/>
    <n v="0"/>
    <n v="0"/>
  </r>
  <r>
    <s v="2025-11-11 00:00:00.000 +0000"/>
    <x v="7"/>
    <s v="Tuesday  "/>
    <d v="1899-12-30T00:15:08"/>
    <n v="32"/>
    <s v="The Big Investor V2"/>
    <x v="13"/>
    <x v="3"/>
    <s v="COMPLETED"/>
    <n v="0.33333333333333298"/>
    <n v="0"/>
    <n v="0.33333333333333298"/>
    <n v="0.4"/>
    <n v="0.27272727272727199"/>
    <n v="0"/>
    <n v="0"/>
    <n v="0"/>
    <n v="0"/>
    <n v="0"/>
    <n v="0"/>
    <n v="1"/>
    <n v="1"/>
    <n v="0"/>
    <n v="0"/>
    <n v="0"/>
    <n v="0"/>
    <n v="0"/>
    <n v="0"/>
    <n v="0"/>
    <n v="0"/>
    <n v="0"/>
    <n v="0"/>
    <n v="0"/>
    <n v="0"/>
    <n v="0"/>
    <n v="0"/>
    <n v="0"/>
    <n v="0"/>
    <n v="0"/>
    <s v="-"/>
    <n v="0"/>
    <n v="2"/>
    <n v="0"/>
    <n v="0"/>
    <n v="0"/>
    <n v="0"/>
  </r>
  <r>
    <s v="2025-11-11 00:00:00.000 +0000"/>
    <x v="7"/>
    <s v="Tuesday  "/>
    <d v="1899-12-30T00:16:44"/>
    <n v="7"/>
    <s v="Rumours"/>
    <x v="11"/>
    <x v="2"/>
    <s v="COMPLETED"/>
    <n v="0.55555555555555503"/>
    <n v="1"/>
    <n v="0.33333333333333298"/>
    <n v="0.133333333333333"/>
    <n v="0"/>
    <n v="0"/>
    <n v="0"/>
    <n v="0"/>
    <n v="0"/>
    <n v="0"/>
    <n v="0"/>
    <n v="1"/>
    <n v="0"/>
    <n v="1"/>
    <n v="0"/>
    <n v="0"/>
    <n v="0"/>
    <n v="0"/>
    <n v="0"/>
    <n v="0"/>
    <n v="0"/>
    <n v="0"/>
    <n v="0"/>
    <n v="0"/>
    <n v="0"/>
    <n v="0"/>
    <n v="1"/>
    <n v="0"/>
    <n v="0"/>
    <n v="0"/>
    <s v="-"/>
    <n v="0"/>
    <n v="2"/>
    <n v="0"/>
    <n v="1"/>
    <n v="0"/>
    <n v="0"/>
  </r>
  <r>
    <s v="2025-11-12 00:00:00.000 +0000"/>
    <x v="7"/>
    <s v="Wednesday"/>
    <d v="1899-12-30T00:21:40"/>
    <n v="34"/>
    <s v="Missing Delivery V2"/>
    <x v="9"/>
    <x v="1"/>
    <s v="COMPLETED"/>
    <n v="0.66666666666666596"/>
    <n v="1"/>
    <n v="0.5"/>
    <n v="0.33333333333333298"/>
    <n v="9.0909090909090898E-2"/>
    <n v="0"/>
    <n v="0"/>
    <n v="0"/>
    <n v="0"/>
    <n v="0"/>
    <n v="0"/>
    <n v="0"/>
    <n v="0"/>
    <n v="1"/>
    <n v="1"/>
    <n v="0"/>
    <n v="0"/>
    <n v="0"/>
    <n v="0"/>
    <n v="1"/>
    <n v="0"/>
    <n v="0"/>
    <n v="0"/>
    <n v="0"/>
    <n v="0"/>
    <n v="0"/>
    <n v="0"/>
    <n v="0"/>
    <n v="0"/>
    <n v="0"/>
    <s v="-"/>
    <n v="1"/>
    <n v="2"/>
    <n v="1"/>
    <n v="1"/>
    <n v="2"/>
    <n v="1"/>
  </r>
  <r>
    <s v="2025-11-12 00:00:00.000 +0000"/>
    <x v="7"/>
    <s v="Wednesday"/>
    <d v="1899-12-30T00:18:47"/>
    <n v="4"/>
    <s v="Roblox"/>
    <x v="7"/>
    <x v="2"/>
    <s v="COMPLETED"/>
    <n v="0.88888888888888795"/>
    <n v="1"/>
    <n v="0.83333333333333304"/>
    <n v="0.73333333333333295"/>
    <n v="0.63636363636363602"/>
    <n v="1"/>
    <n v="0"/>
    <n v="0"/>
    <n v="0"/>
    <n v="0"/>
    <n v="0"/>
    <n v="0"/>
    <n v="0"/>
    <n v="0"/>
    <n v="0"/>
    <n v="0"/>
    <n v="0"/>
    <n v="0"/>
    <n v="0"/>
    <n v="1"/>
    <n v="0"/>
    <n v="1"/>
    <n v="0"/>
    <n v="1"/>
    <n v="0"/>
    <n v="0"/>
    <n v="0"/>
    <n v="0"/>
    <n v="0"/>
    <n v="0"/>
    <s v="-"/>
    <n v="1"/>
    <n v="4"/>
    <n v="1"/>
    <n v="1"/>
    <n v="1"/>
    <n v="1"/>
  </r>
  <r>
    <s v="2025-11-12 00:00:00.000 +0000"/>
    <x v="7"/>
    <s v="Wednesday"/>
    <d v="1899-12-30T00:16:53"/>
    <n v="34"/>
    <s v="Missing Delivery V2"/>
    <x v="8"/>
    <x v="2"/>
    <s v="COMPLETED"/>
    <n v="0.44444444444444398"/>
    <n v="0.5"/>
    <n v="0.66666666666666596"/>
    <n v="0.6"/>
    <n v="0.54545454545454497"/>
    <n v="0"/>
    <n v="0"/>
    <n v="0"/>
    <n v="0"/>
    <n v="0"/>
    <n v="0"/>
    <n v="0"/>
    <n v="0"/>
    <n v="1"/>
    <n v="1"/>
    <n v="0"/>
    <n v="0"/>
    <n v="0"/>
    <n v="0"/>
    <n v="1"/>
    <n v="0"/>
    <n v="0"/>
    <n v="0"/>
    <n v="0"/>
    <n v="0"/>
    <n v="0"/>
    <n v="0"/>
    <n v="0"/>
    <n v="0"/>
    <n v="0"/>
    <s v="-"/>
    <n v="1"/>
    <n v="2"/>
    <n v="1"/>
    <n v="1"/>
    <n v="2"/>
    <n v="1"/>
  </r>
  <r>
    <s v="2025-11-14 00:00:00.000 +0000"/>
    <x v="7"/>
    <s v="Friday   "/>
    <d v="1899-12-30T00:17:32"/>
    <n v="31"/>
    <s v="Bezs Beatles Day! V2"/>
    <x v="12"/>
    <x v="3"/>
    <s v="COMPLETED"/>
    <n v="0.88888888888888795"/>
    <n v="1"/>
    <n v="0.83333333333333304"/>
    <n v="0.8"/>
    <n v="0.54545454545454497"/>
    <n v="0"/>
    <n v="0"/>
    <n v="1"/>
    <n v="0"/>
    <n v="0"/>
    <n v="0"/>
    <n v="0"/>
    <n v="0"/>
    <n v="0"/>
    <n v="0"/>
    <n v="0"/>
    <n v="1"/>
    <n v="0"/>
    <n v="0"/>
    <n v="0"/>
    <n v="0"/>
    <n v="0"/>
    <n v="0"/>
    <n v="0"/>
    <n v="0"/>
    <n v="0"/>
    <n v="0"/>
    <n v="0"/>
    <n v="0"/>
    <n v="0"/>
    <s v="-"/>
    <n v="0"/>
    <n v="1"/>
    <n v="1"/>
    <n v="0"/>
    <n v="0"/>
    <n v="0"/>
  </r>
  <r>
    <s v="2025-11-18 00:00:00.000 +0000"/>
    <x v="7"/>
    <s v="Tuesday  "/>
    <d v="1899-12-30T00:16:01"/>
    <n v="29"/>
    <s v="Too Good To Be True V2"/>
    <x v="17"/>
    <x v="3"/>
    <s v="COMPLETED"/>
    <n v="0.44444444444444398"/>
    <n v="1"/>
    <n v="0.66666666666666596"/>
    <n v="0.33333333333333298"/>
    <n v="9.0909090909090898E-2"/>
    <n v="0"/>
    <n v="0"/>
    <n v="1"/>
    <n v="0"/>
    <n v="0"/>
    <n v="0"/>
    <n v="0"/>
    <n v="0"/>
    <n v="0"/>
    <n v="0"/>
    <n v="0"/>
    <n v="0"/>
    <n v="0"/>
    <n v="0"/>
    <n v="0"/>
    <n v="0"/>
    <n v="0"/>
    <n v="0"/>
    <n v="0"/>
    <n v="0"/>
    <n v="0"/>
    <n v="0"/>
    <n v="1"/>
    <n v="0"/>
    <n v="0"/>
    <s v="-"/>
    <n v="0"/>
    <n v="1"/>
    <n v="2"/>
    <n v="0"/>
    <n v="0"/>
    <n v="0"/>
  </r>
  <r>
    <s v="2025-11-18 00:00:00.000 +0000"/>
    <x v="7"/>
    <s v="Tuesday  "/>
    <d v="1899-12-30T00:20:02"/>
    <n v="32"/>
    <s v="The Big Investor V2"/>
    <x v="15"/>
    <x v="2"/>
    <s v="OUT_OF_TIME"/>
    <n v="0.55555555555555503"/>
    <n v="1"/>
    <n v="0.5"/>
    <n v="0.53333333333333299"/>
    <n v="0.27272727272727199"/>
    <n v="0"/>
    <n v="0"/>
    <n v="0"/>
    <n v="0"/>
    <n v="0"/>
    <n v="0"/>
    <n v="1"/>
    <n v="1"/>
    <n v="0"/>
    <n v="0"/>
    <n v="0"/>
    <n v="0"/>
    <n v="0"/>
    <n v="0"/>
    <n v="0"/>
    <n v="0"/>
    <n v="0"/>
    <n v="0"/>
    <n v="0"/>
    <n v="0"/>
    <n v="0"/>
    <n v="0"/>
    <n v="0"/>
    <n v="0"/>
    <n v="0"/>
    <s v="-"/>
    <n v="0"/>
    <n v="2"/>
    <n v="0"/>
    <n v="0"/>
    <n v="0"/>
    <n v="0"/>
  </r>
  <r>
    <s v="2025-11-18 00:00:00.000 +0000"/>
    <x v="7"/>
    <s v="Tuesday  "/>
    <d v="1899-12-30T00:07:04"/>
    <n v="7"/>
    <s v="Rumours"/>
    <x v="13"/>
    <x v="3"/>
    <s v="COMPLETED"/>
    <n v="0.55555555555555503"/>
    <n v="1"/>
    <n v="0.33333333333333298"/>
    <n v="6.6666666666666596E-2"/>
    <n v="0"/>
    <n v="0"/>
    <n v="0"/>
    <n v="0"/>
    <n v="0"/>
    <n v="0"/>
    <n v="0"/>
    <n v="1"/>
    <n v="0"/>
    <n v="1"/>
    <n v="0"/>
    <n v="0"/>
    <n v="0"/>
    <n v="0"/>
    <n v="0"/>
    <n v="0"/>
    <n v="0"/>
    <n v="0"/>
    <n v="0"/>
    <n v="0"/>
    <n v="0"/>
    <n v="0"/>
    <n v="1"/>
    <n v="0"/>
    <n v="0"/>
    <n v="0"/>
    <s v="-"/>
    <n v="0"/>
    <n v="2"/>
    <n v="0"/>
    <n v="1"/>
    <n v="0"/>
    <n v="0"/>
  </r>
  <r>
    <s v="2025-11-18 00:00:00.000 +0000"/>
    <x v="7"/>
    <s v="Tuesday  "/>
    <d v="1899-12-30T00:17:18"/>
    <n v="16"/>
    <s v="Radio Silence"/>
    <x v="11"/>
    <x v="2"/>
    <s v="COMPLETED"/>
    <n v="0.55555555555555503"/>
    <n v="0.5"/>
    <n v="0.5"/>
    <n v="0.33333333333333298"/>
    <n v="9.0909090909090898E-2"/>
    <n v="0"/>
    <n v="0"/>
    <n v="0"/>
    <n v="1"/>
    <n v="0"/>
    <n v="0"/>
    <n v="0"/>
    <n v="0"/>
    <n v="0"/>
    <n v="0"/>
    <n v="0"/>
    <n v="0"/>
    <n v="0"/>
    <n v="1"/>
    <n v="0"/>
    <n v="0"/>
    <n v="0"/>
    <n v="0"/>
    <n v="0"/>
    <n v="0"/>
    <n v="0"/>
    <n v="0"/>
    <n v="0"/>
    <n v="0"/>
    <n v="0"/>
    <s v="-"/>
    <n v="0"/>
    <n v="1"/>
    <n v="0"/>
    <n v="0"/>
    <n v="1"/>
    <n v="0"/>
  </r>
  <r>
    <s v="2025-11-19 00:00:00.000 +0000"/>
    <x v="7"/>
    <s v="Wednesday"/>
    <d v="1899-12-30T00:19:38"/>
    <n v="16"/>
    <s v="Radio Silence"/>
    <x v="9"/>
    <x v="1"/>
    <s v="COMPLETED"/>
    <n v="0.55555555555555503"/>
    <n v="1"/>
    <n v="0.5"/>
    <n v="0.4"/>
    <n v="0.27272727272727199"/>
    <n v="0"/>
    <n v="0"/>
    <n v="0"/>
    <n v="1"/>
    <n v="0"/>
    <n v="0"/>
    <n v="0"/>
    <n v="0"/>
    <n v="0"/>
    <n v="0"/>
    <n v="0"/>
    <n v="0"/>
    <n v="0"/>
    <n v="1"/>
    <n v="0"/>
    <n v="0"/>
    <n v="0"/>
    <n v="0"/>
    <n v="0"/>
    <n v="0"/>
    <n v="0"/>
    <n v="0"/>
    <n v="0"/>
    <n v="0"/>
    <n v="0"/>
    <s v="-"/>
    <n v="0"/>
    <n v="1"/>
    <n v="0"/>
    <n v="0"/>
    <n v="1"/>
    <n v="0"/>
  </r>
  <r>
    <s v="2025-11-19 00:00:00.000 +0000"/>
    <x v="7"/>
    <s v="Wednesday"/>
    <d v="1899-12-30T00:15:14"/>
    <n v="18"/>
    <s v="The Switch"/>
    <x v="8"/>
    <x v="2"/>
    <s v="COMPLETED"/>
    <n v="0.33333333333333298"/>
    <n v="1"/>
    <n v="0.5"/>
    <n v="0.33333333333333298"/>
    <n v="0.27272727272727199"/>
    <n v="0"/>
    <n v="0"/>
    <n v="0"/>
    <n v="0"/>
    <n v="1"/>
    <n v="0"/>
    <n v="1"/>
    <n v="1"/>
    <n v="0"/>
    <n v="0"/>
    <n v="0"/>
    <n v="1"/>
    <n v="0"/>
    <n v="0"/>
    <n v="0"/>
    <n v="0"/>
    <n v="0"/>
    <n v="0"/>
    <n v="0"/>
    <n v="0"/>
    <n v="0"/>
    <n v="0"/>
    <n v="0"/>
    <n v="1"/>
    <n v="0"/>
    <s v="-"/>
    <n v="0"/>
    <n v="3"/>
    <n v="1"/>
    <n v="0"/>
    <n v="1"/>
    <n v="1"/>
  </r>
  <r>
    <s v="2025-11-20 00:00:00.000 +0000"/>
    <x v="7"/>
    <s v="Thursday "/>
    <d v="1899-12-30T00:16:03"/>
    <n v="31"/>
    <s v="Bezs Beatles Day! V2"/>
    <x v="16"/>
    <x v="3"/>
    <s v="COMPLETED"/>
    <n v="0.55555555555555503"/>
    <n v="1"/>
    <n v="0.83333333333333304"/>
    <n v="0.33333333333333298"/>
    <n v="9.0909090909090898E-2"/>
    <n v="0"/>
    <n v="0"/>
    <n v="1"/>
    <n v="0"/>
    <n v="0"/>
    <n v="0"/>
    <n v="0"/>
    <n v="0"/>
    <n v="0"/>
    <n v="0"/>
    <n v="0"/>
    <n v="1"/>
    <n v="0"/>
    <n v="0"/>
    <n v="0"/>
    <n v="0"/>
    <n v="0"/>
    <n v="0"/>
    <n v="0"/>
    <n v="0"/>
    <n v="0"/>
    <n v="0"/>
    <n v="0"/>
    <n v="0"/>
    <n v="0"/>
    <s v="-"/>
    <n v="0"/>
    <n v="1"/>
    <n v="1"/>
    <n v="0"/>
    <n v="0"/>
    <n v="0"/>
  </r>
  <r>
    <s v="2025-11-20 00:00:00.000 +0000"/>
    <x v="7"/>
    <s v="Thursday "/>
    <d v="1899-12-30T00:14:05"/>
    <n v="32"/>
    <s v="The Big Investor V2"/>
    <x v="14"/>
    <x v="3"/>
    <s v="COMPLETED"/>
    <n v="0.44444444444444398"/>
    <n v="0.5"/>
    <n v="0.66666666666666596"/>
    <n v="0.33333333333333298"/>
    <n v="0"/>
    <n v="0"/>
    <n v="0"/>
    <n v="0"/>
    <n v="0"/>
    <n v="0"/>
    <n v="0"/>
    <n v="1"/>
    <n v="1"/>
    <n v="0"/>
    <n v="0"/>
    <n v="0"/>
    <n v="0"/>
    <n v="0"/>
    <n v="0"/>
    <n v="0"/>
    <n v="0"/>
    <n v="0"/>
    <n v="0"/>
    <n v="0"/>
    <n v="0"/>
    <n v="0"/>
    <n v="0"/>
    <n v="0"/>
    <n v="0"/>
    <n v="0"/>
    <s v="-"/>
    <n v="0"/>
    <n v="2"/>
    <n v="0"/>
    <n v="0"/>
    <n v="0"/>
    <n v="0"/>
  </r>
  <r>
    <s v="2025-11-21 00:00:00.000 +0000"/>
    <x v="7"/>
    <s v="Friday   "/>
    <d v="1899-12-30T00:23:58"/>
    <n v="28"/>
    <s v="Memory Lane"/>
    <x v="1"/>
    <x v="0"/>
    <s v="COMPLETED"/>
    <n v="0.88888888888888795"/>
    <n v="1"/>
    <n v="0.83333333333333304"/>
    <n v="0.86666666666666603"/>
    <n v="0.72727272727272696"/>
    <n v="0"/>
    <n v="0"/>
    <n v="0"/>
    <n v="0"/>
    <n v="0"/>
    <n v="1"/>
    <n v="1"/>
    <n v="0"/>
    <n v="0"/>
    <n v="0"/>
    <n v="0"/>
    <n v="0"/>
    <n v="0"/>
    <n v="0"/>
    <n v="0"/>
    <n v="0"/>
    <n v="0"/>
    <n v="0"/>
    <n v="0"/>
    <n v="0"/>
    <n v="0"/>
    <n v="0"/>
    <n v="0"/>
    <n v="1"/>
    <n v="0"/>
    <s v="-"/>
    <n v="0"/>
    <n v="1"/>
    <n v="1"/>
    <n v="1"/>
    <n v="0"/>
    <n v="1"/>
  </r>
  <r>
    <s v="2025-11-21 00:00:00.000 +0000"/>
    <x v="7"/>
    <s v="Friday   "/>
    <d v="1899-12-30T00:18:06"/>
    <n v="16"/>
    <s v="Radio Silence"/>
    <x v="12"/>
    <x v="3"/>
    <s v="COMPLETED"/>
    <n v="0.55555555555555503"/>
    <n v="0.5"/>
    <n v="0.5"/>
    <n v="0.266666666666666"/>
    <n v="9.0909090909090898E-2"/>
    <n v="0"/>
    <n v="0"/>
    <n v="0"/>
    <n v="1"/>
    <n v="0"/>
    <n v="0"/>
    <n v="0"/>
    <n v="0"/>
    <n v="0"/>
    <n v="0"/>
    <n v="0"/>
    <n v="0"/>
    <n v="0"/>
    <n v="1"/>
    <n v="0"/>
    <n v="0"/>
    <n v="0"/>
    <n v="0"/>
    <n v="0"/>
    <n v="0"/>
    <n v="0"/>
    <n v="0"/>
    <n v="0"/>
    <n v="0"/>
    <n v="0"/>
    <s v="-"/>
    <n v="0"/>
    <n v="1"/>
    <n v="0"/>
    <n v="0"/>
    <n v="1"/>
    <n v="0"/>
  </r>
  <r>
    <s v="2025-11-25 00:00:00.000 +0000"/>
    <x v="7"/>
    <s v="Tuesday  "/>
    <d v="1899-12-30T00:21:48"/>
    <n v="18"/>
    <s v="The Switch"/>
    <x v="2"/>
    <x v="0"/>
    <s v="COMPLETED"/>
    <n v="1"/>
    <n v="1"/>
    <n v="0.66666666666666596"/>
    <n v="0.93333333333333302"/>
    <n v="0.72727272727272696"/>
    <n v="0"/>
    <n v="0"/>
    <n v="0"/>
    <n v="0"/>
    <n v="1"/>
    <n v="0"/>
    <n v="1"/>
    <n v="1"/>
    <n v="0"/>
    <n v="0"/>
    <n v="0"/>
    <n v="1"/>
    <n v="0"/>
    <n v="0"/>
    <n v="0"/>
    <n v="0"/>
    <n v="0"/>
    <n v="0"/>
    <n v="0"/>
    <n v="0"/>
    <n v="0"/>
    <n v="0"/>
    <n v="0"/>
    <n v="1"/>
    <n v="0"/>
    <s v="-"/>
    <n v="0"/>
    <n v="3"/>
    <n v="1"/>
    <n v="0"/>
    <n v="1"/>
    <n v="1"/>
  </r>
  <r>
    <s v="2025-11-25 00:00:00.000 +0000"/>
    <x v="7"/>
    <s v="Tuesday  "/>
    <d v="1899-12-30T00:06:48"/>
    <n v="7"/>
    <s v="Rumours"/>
    <x v="15"/>
    <x v="2"/>
    <s v="COMPLETED"/>
    <n v="0.44444444444444398"/>
    <n v="0.5"/>
    <n v="0.33333333333333298"/>
    <n v="0"/>
    <n v="0"/>
    <n v="0"/>
    <n v="0"/>
    <n v="0"/>
    <n v="0"/>
    <n v="0"/>
    <n v="0"/>
    <n v="1"/>
    <n v="0"/>
    <n v="1"/>
    <n v="0"/>
    <n v="0"/>
    <n v="0"/>
    <n v="0"/>
    <n v="0"/>
    <n v="0"/>
    <n v="0"/>
    <n v="0"/>
    <n v="0"/>
    <n v="0"/>
    <n v="0"/>
    <n v="0"/>
    <n v="1"/>
    <n v="0"/>
    <n v="0"/>
    <n v="0"/>
    <s v="-"/>
    <n v="0"/>
    <n v="2"/>
    <n v="0"/>
    <n v="1"/>
    <n v="0"/>
    <n v="0"/>
  </r>
  <r>
    <s v="2025-11-26 00:00:00.000 +0000"/>
    <x v="7"/>
    <s v="Wednesday"/>
    <d v="1899-12-30T00:20:01"/>
    <n v="31"/>
    <s v="Bezs Beatles Day! V2"/>
    <x v="17"/>
    <x v="3"/>
    <s v="OUT_OF_TIME"/>
    <n v="0.77777777777777701"/>
    <n v="1"/>
    <n v="0.66666666666666596"/>
    <n v="0.73333333333333295"/>
    <n v="0.63636363636363602"/>
    <n v="0"/>
    <n v="0"/>
    <n v="1"/>
    <n v="0"/>
    <n v="0"/>
    <n v="0"/>
    <n v="0"/>
    <n v="0"/>
    <n v="0"/>
    <n v="0"/>
    <n v="0"/>
    <n v="1"/>
    <n v="0"/>
    <n v="0"/>
    <n v="0"/>
    <n v="0"/>
    <n v="0"/>
    <n v="0"/>
    <n v="0"/>
    <n v="0"/>
    <n v="0"/>
    <n v="0"/>
    <n v="0"/>
    <n v="0"/>
    <n v="0"/>
    <s v="-"/>
    <n v="0"/>
    <n v="1"/>
    <n v="1"/>
    <n v="0"/>
    <n v="0"/>
    <n v="0"/>
  </r>
  <r>
    <s v="2025-11-27 00:00:00.000 +0000"/>
    <x v="7"/>
    <s v="Thursday "/>
    <d v="1899-12-30T00:11:15"/>
    <n v="7"/>
    <s v="Rumours"/>
    <x v="14"/>
    <x v="3"/>
    <s v="COMPLETED"/>
    <n v="0.66666666666666596"/>
    <n v="1"/>
    <n v="0.66666666666666596"/>
    <n v="0.133333333333333"/>
    <n v="0"/>
    <n v="0"/>
    <n v="0"/>
    <n v="0"/>
    <n v="0"/>
    <n v="0"/>
    <n v="0"/>
    <n v="1"/>
    <n v="0"/>
    <n v="1"/>
    <n v="0"/>
    <n v="0"/>
    <n v="0"/>
    <n v="0"/>
    <n v="0"/>
    <n v="0"/>
    <n v="0"/>
    <n v="0"/>
    <n v="0"/>
    <n v="0"/>
    <n v="0"/>
    <n v="0"/>
    <n v="1"/>
    <n v="0"/>
    <n v="0"/>
    <n v="0"/>
    <s v="-"/>
    <n v="0"/>
    <n v="2"/>
    <n v="0"/>
    <n v="1"/>
    <n v="0"/>
    <n v="0"/>
  </r>
  <r>
    <s v="2025-11-27 00:00:00.000 +0000"/>
    <x v="7"/>
    <s v="Thursday "/>
    <d v="1899-12-30T00:20:20"/>
    <n v="34"/>
    <s v="Missing Delivery V2"/>
    <x v="13"/>
    <x v="3"/>
    <s v="COMPLETED"/>
    <n v="0.44444444444444398"/>
    <n v="0.5"/>
    <n v="0.66666666666666596"/>
    <n v="0.2"/>
    <n v="9.0909090909090898E-2"/>
    <n v="0"/>
    <n v="0"/>
    <n v="0"/>
    <n v="0"/>
    <n v="0"/>
    <n v="0"/>
    <n v="0"/>
    <n v="0"/>
    <n v="1"/>
    <n v="1"/>
    <n v="0"/>
    <n v="0"/>
    <n v="0"/>
    <n v="0"/>
    <n v="1"/>
    <n v="0"/>
    <n v="0"/>
    <n v="0"/>
    <n v="0"/>
    <n v="0"/>
    <n v="0"/>
    <n v="0"/>
    <n v="0"/>
    <n v="0"/>
    <n v="0"/>
    <s v="-"/>
    <n v="1"/>
    <n v="2"/>
    <n v="1"/>
    <n v="1"/>
    <n v="2"/>
    <n v="1"/>
  </r>
  <r>
    <s v="2025-12-02 00:00:00.000 +0000"/>
    <x v="8"/>
    <s v="Tuesday  "/>
    <d v="1899-12-30T00:25:01"/>
    <n v="34"/>
    <s v="Missing Delivery V2"/>
    <x v="15"/>
    <x v="2"/>
    <s v="OUT_OF_TIME"/>
    <n v="0.88888888888888795"/>
    <n v="1"/>
    <n v="0.66666666666666596"/>
    <n v="0.73333333333333295"/>
    <n v="0.72727272727272696"/>
    <n v="0"/>
    <n v="0"/>
    <n v="0"/>
    <n v="0"/>
    <n v="0"/>
    <n v="0"/>
    <n v="0"/>
    <n v="0"/>
    <n v="1"/>
    <n v="1"/>
    <n v="0"/>
    <n v="0"/>
    <n v="0"/>
    <n v="0"/>
    <n v="1"/>
    <n v="0"/>
    <n v="0"/>
    <n v="0"/>
    <n v="0"/>
    <n v="0"/>
    <n v="0"/>
    <n v="0"/>
    <n v="0"/>
    <n v="0"/>
    <n v="0"/>
    <s v="-"/>
    <n v="1"/>
    <n v="2"/>
    <n v="1"/>
    <n v="1"/>
    <n v="2"/>
    <n v="1"/>
  </r>
  <r>
    <s v="2025-12-02 00:00:00.000 +0000"/>
    <x v="8"/>
    <s v="Tuesday  "/>
    <d v="1899-12-30T00:19:11"/>
    <n v="16"/>
    <s v="Radio Silence"/>
    <x v="13"/>
    <x v="3"/>
    <s v="COMPLETED"/>
    <n v="0.55555555555555503"/>
    <n v="0.5"/>
    <n v="0.5"/>
    <n v="0.4"/>
    <n v="0.27272727272727199"/>
    <n v="0"/>
    <n v="0"/>
    <n v="0"/>
    <n v="1"/>
    <n v="0"/>
    <n v="0"/>
    <n v="0"/>
    <n v="0"/>
    <n v="0"/>
    <n v="0"/>
    <n v="0"/>
    <n v="0"/>
    <n v="0"/>
    <n v="1"/>
    <n v="0"/>
    <n v="0"/>
    <n v="0"/>
    <n v="0"/>
    <n v="0"/>
    <n v="0"/>
    <n v="0"/>
    <n v="0"/>
    <n v="0"/>
    <n v="0"/>
    <n v="0"/>
    <s v="-"/>
    <n v="0"/>
    <n v="1"/>
    <n v="0"/>
    <n v="0"/>
    <n v="1"/>
    <n v="0"/>
  </r>
  <r>
    <s v="2025-12-03 00:00:00.000 +0000"/>
    <x v="8"/>
    <s v="Wednesday"/>
    <d v="1899-12-30T00:18:14"/>
    <n v="32"/>
    <s v="The Big Investor V2"/>
    <x v="17"/>
    <x v="3"/>
    <s v="COMPLETED"/>
    <n v="0.44444444444444398"/>
    <n v="1"/>
    <n v="0.66666666666666596"/>
    <n v="0.6"/>
    <n v="0.45454545454545398"/>
    <n v="0"/>
    <n v="0"/>
    <n v="0"/>
    <n v="0"/>
    <n v="0"/>
    <n v="0"/>
    <n v="1"/>
    <n v="1"/>
    <n v="0"/>
    <n v="0"/>
    <n v="0"/>
    <n v="0"/>
    <n v="0"/>
    <n v="0"/>
    <n v="0"/>
    <n v="0"/>
    <n v="0"/>
    <n v="0"/>
    <n v="0"/>
    <n v="0"/>
    <n v="0"/>
    <n v="0"/>
    <n v="0"/>
    <n v="0"/>
    <n v="0"/>
    <s v="-"/>
    <n v="0"/>
    <n v="2"/>
    <n v="0"/>
    <n v="0"/>
    <n v="0"/>
    <n v="0"/>
  </r>
  <r>
    <s v="2025-12-03 00:00:00.000 +0000"/>
    <x v="8"/>
    <s v="Wednesday"/>
    <d v="1899-12-30T00:22:52"/>
    <n v="8"/>
    <s v="The Chain"/>
    <x v="6"/>
    <x v="2"/>
    <s v="COMPLETED"/>
    <n v="0.88888888888888795"/>
    <n v="1"/>
    <n v="0.83333333333333304"/>
    <n v="0.86666666666666603"/>
    <n v="0.72727272727272696"/>
    <n v="0"/>
    <n v="0"/>
    <n v="0"/>
    <n v="0"/>
    <n v="0"/>
    <n v="0"/>
    <n v="0"/>
    <n v="1"/>
    <n v="0"/>
    <n v="0"/>
    <n v="0"/>
    <n v="0"/>
    <n v="1"/>
    <n v="0"/>
    <n v="0"/>
    <n v="0"/>
    <n v="0"/>
    <n v="0"/>
    <n v="0"/>
    <n v="0"/>
    <n v="0"/>
    <n v="0"/>
    <n v="0"/>
    <n v="1"/>
    <n v="0"/>
    <s v="-"/>
    <n v="0"/>
    <n v="1"/>
    <n v="2"/>
    <n v="0"/>
    <n v="0"/>
    <n v="1"/>
  </r>
  <r>
    <s v="2025-12-04 00:00:00.000 +0000"/>
    <x v="8"/>
    <s v="Thursday "/>
    <d v="1899-12-30T00:18:28"/>
    <n v="4"/>
    <s v="Roblox"/>
    <x v="9"/>
    <x v="1"/>
    <s v="COMPLETED"/>
    <n v="0.66666666666666596"/>
    <n v="1"/>
    <n v="0.66666666666666596"/>
    <n v="0.46666666666666601"/>
    <n v="0.27272727272727199"/>
    <n v="1"/>
    <n v="0"/>
    <n v="0"/>
    <n v="0"/>
    <n v="0"/>
    <n v="0"/>
    <n v="0"/>
    <n v="0"/>
    <n v="0"/>
    <n v="0"/>
    <n v="0"/>
    <n v="0"/>
    <n v="0"/>
    <n v="0"/>
    <n v="1"/>
    <n v="0"/>
    <n v="1"/>
    <n v="0"/>
    <n v="1"/>
    <n v="0"/>
    <n v="0"/>
    <n v="0"/>
    <n v="0"/>
    <n v="0"/>
    <n v="0"/>
    <s v="-"/>
    <n v="1"/>
    <n v="4"/>
    <n v="1"/>
    <n v="1"/>
    <n v="1"/>
    <n v="1"/>
  </r>
  <r>
    <s v="2025-12-08 00:00:00.000 +0000"/>
    <x v="8"/>
    <s v="Monday   "/>
    <d v="1899-12-30T00:20:27"/>
    <n v="17"/>
    <s v="Version confusion"/>
    <x v="0"/>
    <x v="0"/>
    <s v="COMPLETED"/>
    <n v="0.88888888888888795"/>
    <n v="1"/>
    <n v="0.66666666666666596"/>
    <n v="0.8"/>
    <n v="0.72727272727272696"/>
    <n v="0"/>
    <n v="0"/>
    <n v="0"/>
    <n v="0"/>
    <n v="1"/>
    <n v="0"/>
    <n v="1"/>
    <n v="0"/>
    <n v="0"/>
    <n v="0"/>
    <n v="0"/>
    <n v="1"/>
    <n v="0"/>
    <n v="0"/>
    <n v="0"/>
    <n v="0"/>
    <n v="0"/>
    <n v="0"/>
    <n v="0"/>
    <n v="0"/>
    <n v="0"/>
    <n v="0"/>
    <n v="0"/>
    <n v="0"/>
    <n v="0"/>
    <s v="-"/>
    <n v="0"/>
    <n v="2"/>
    <n v="0"/>
    <n v="0"/>
    <n v="1"/>
    <n v="0"/>
  </r>
  <r>
    <s v="2025-12-08 00:00:00.000 +0000"/>
    <x v="8"/>
    <s v="Monday   "/>
    <d v="1899-12-30T00:08:17"/>
    <n v="29"/>
    <s v="Too Good To Be True V2"/>
    <x v="18"/>
    <x v="4"/>
    <s v="COMPLETED"/>
    <n v="0.55555555555555503"/>
    <n v="1"/>
    <n v="0.5"/>
    <n v="0.46666666666666601"/>
    <n v="0.27272727272727199"/>
    <n v="0"/>
    <n v="0"/>
    <n v="1"/>
    <n v="0"/>
    <n v="0"/>
    <n v="0"/>
    <n v="0"/>
    <n v="0"/>
    <n v="0"/>
    <n v="0"/>
    <n v="0"/>
    <n v="0"/>
    <n v="0"/>
    <n v="0"/>
    <n v="0"/>
    <n v="0"/>
    <n v="0"/>
    <n v="0"/>
    <n v="0"/>
    <n v="0"/>
    <n v="0"/>
    <n v="0"/>
    <n v="1"/>
    <n v="0"/>
    <n v="0"/>
    <s v="-"/>
    <n v="0"/>
    <n v="1"/>
    <n v="2"/>
    <n v="0"/>
    <n v="0"/>
    <n v="0"/>
  </r>
  <r>
    <s v="2025-12-09 00:00:00.000 +0000"/>
    <x v="8"/>
    <s v="Tuesday  "/>
    <d v="1899-12-30T00:16:39"/>
    <n v="7"/>
    <s v="Rumours"/>
    <x v="17"/>
    <x v="3"/>
    <s v="COMPLETED"/>
    <n v="1"/>
    <n v="1"/>
    <n v="0.66666666666666596"/>
    <n v="0.6"/>
    <n v="0.27272727272727199"/>
    <n v="0"/>
    <n v="0"/>
    <n v="0"/>
    <n v="0"/>
    <n v="0"/>
    <n v="0"/>
    <n v="1"/>
    <n v="0"/>
    <n v="1"/>
    <n v="0"/>
    <n v="0"/>
    <n v="0"/>
    <n v="0"/>
    <n v="0"/>
    <n v="0"/>
    <n v="0"/>
    <n v="0"/>
    <n v="0"/>
    <n v="0"/>
    <n v="0"/>
    <n v="0"/>
    <n v="1"/>
    <n v="0"/>
    <n v="0"/>
    <n v="0"/>
    <s v="-"/>
    <n v="0"/>
    <n v="2"/>
    <n v="0"/>
    <n v="1"/>
    <n v="0"/>
    <n v="0"/>
  </r>
  <r>
    <s v="2025-12-09 00:00:00.000 +0000"/>
    <x v="8"/>
    <s v="Tuesday  "/>
    <d v="1899-12-30T00:20:02"/>
    <n v="16"/>
    <s v="Radio Silence"/>
    <x v="15"/>
    <x v="2"/>
    <s v="OUT_OF_TIME"/>
    <n v="0.55555555555555503"/>
    <n v="0.5"/>
    <n v="0.33333333333333298"/>
    <n v="0.133333333333333"/>
    <n v="9.0909090909090898E-2"/>
    <n v="0"/>
    <n v="0"/>
    <n v="0"/>
    <n v="1"/>
    <n v="0"/>
    <n v="0"/>
    <n v="0"/>
    <n v="0"/>
    <n v="0"/>
    <n v="0"/>
    <n v="0"/>
    <n v="0"/>
    <n v="0"/>
    <n v="1"/>
    <n v="0"/>
    <n v="0"/>
    <n v="0"/>
    <n v="0"/>
    <n v="0"/>
    <n v="0"/>
    <n v="0"/>
    <n v="0"/>
    <n v="0"/>
    <n v="0"/>
    <n v="0"/>
    <s v="-"/>
    <n v="0"/>
    <n v="1"/>
    <n v="0"/>
    <n v="0"/>
    <n v="1"/>
    <n v="0"/>
  </r>
  <r>
    <s v="2025-12-09 00:00:00.000 +0000"/>
    <x v="8"/>
    <s v="Tuesday  "/>
    <d v="1899-12-30T00:18:06"/>
    <n v="4"/>
    <s v="Roblox"/>
    <x v="13"/>
    <x v="3"/>
    <s v="COMPLETED"/>
    <n v="1"/>
    <n v="1"/>
    <n v="0.83333333333333304"/>
    <n v="0.93333333333333302"/>
    <n v="0.72727272727272696"/>
    <n v="1"/>
    <n v="0"/>
    <n v="0"/>
    <n v="0"/>
    <n v="0"/>
    <n v="0"/>
    <n v="0"/>
    <n v="0"/>
    <n v="0"/>
    <n v="0"/>
    <n v="0"/>
    <n v="0"/>
    <n v="0"/>
    <n v="0"/>
    <n v="1"/>
    <n v="0"/>
    <n v="1"/>
    <n v="0"/>
    <n v="1"/>
    <n v="0"/>
    <n v="0"/>
    <n v="0"/>
    <n v="0"/>
    <n v="0"/>
    <n v="0"/>
    <s v="-"/>
    <n v="1"/>
    <n v="4"/>
    <n v="1"/>
    <n v="1"/>
    <n v="1"/>
    <n v="1"/>
  </r>
  <r>
    <s v="2025-12-09 00:00:00.000 +0000"/>
    <x v="8"/>
    <s v="Tuesday  "/>
    <d v="1899-12-30T00:18:59"/>
    <n v="4"/>
    <s v="Roblox"/>
    <x v="11"/>
    <x v="2"/>
    <s v="COMPLETED"/>
    <n v="1"/>
    <n v="1"/>
    <n v="0.83333333333333304"/>
    <n v="0.6"/>
    <n v="0.54545454545454497"/>
    <n v="1"/>
    <n v="0"/>
    <n v="0"/>
    <n v="0"/>
    <n v="0"/>
    <n v="0"/>
    <n v="0"/>
    <n v="0"/>
    <n v="0"/>
    <n v="0"/>
    <n v="0"/>
    <n v="0"/>
    <n v="0"/>
    <n v="0"/>
    <n v="1"/>
    <n v="0"/>
    <n v="1"/>
    <n v="0"/>
    <n v="1"/>
    <n v="0"/>
    <n v="0"/>
    <n v="0"/>
    <n v="0"/>
    <n v="0"/>
    <n v="0"/>
    <s v="-"/>
    <n v="1"/>
    <n v="4"/>
    <n v="1"/>
    <n v="1"/>
    <n v="1"/>
    <n v="1"/>
  </r>
  <r>
    <s v="2025-12-10 00:00:00.000 +0000"/>
    <x v="8"/>
    <s v="Wednesday"/>
    <d v="1899-12-30T00:26:37"/>
    <n v="24"/>
    <s v="Breaking Bez"/>
    <x v="5"/>
    <x v="1"/>
    <s v="COMPLETED"/>
    <n v="0.77777777777777701"/>
    <n v="1"/>
    <n v="0.33333333333333298"/>
    <n v="0.66666666666666596"/>
    <n v="0.63636363636363602"/>
    <n v="0"/>
    <n v="0"/>
    <n v="0"/>
    <n v="0"/>
    <n v="0"/>
    <n v="0"/>
    <n v="0"/>
    <n v="0"/>
    <n v="0"/>
    <n v="0"/>
    <n v="0"/>
    <n v="0"/>
    <n v="0"/>
    <n v="0"/>
    <n v="1"/>
    <n v="0"/>
    <n v="0"/>
    <n v="0"/>
    <n v="0"/>
    <n v="0"/>
    <n v="0"/>
    <n v="0"/>
    <n v="0"/>
    <n v="0"/>
    <n v="0"/>
    <s v="-"/>
    <n v="1"/>
    <n v="1"/>
    <n v="1"/>
    <n v="1"/>
    <n v="1"/>
    <n v="1"/>
  </r>
  <r>
    <s v="2025-12-10 00:00:00.000 +0000"/>
    <x v="8"/>
    <s v="Wednesday"/>
    <d v="1899-12-30T00:24:10"/>
    <n v="24"/>
    <s v="Breaking Bez"/>
    <x v="8"/>
    <x v="2"/>
    <s v="COMPLETED"/>
    <n v="0.55555555555555503"/>
    <n v="0.5"/>
    <n v="0.5"/>
    <n v="0.4"/>
    <n v="0.27272727272727199"/>
    <n v="0"/>
    <n v="0"/>
    <n v="0"/>
    <n v="0"/>
    <n v="0"/>
    <n v="0"/>
    <n v="0"/>
    <n v="0"/>
    <n v="0"/>
    <n v="0"/>
    <n v="0"/>
    <n v="0"/>
    <n v="0"/>
    <n v="0"/>
    <n v="1"/>
    <n v="0"/>
    <n v="0"/>
    <n v="0"/>
    <n v="0"/>
    <n v="0"/>
    <n v="0"/>
    <n v="0"/>
    <n v="0"/>
    <n v="0"/>
    <n v="0"/>
    <s v="-"/>
    <n v="1"/>
    <n v="1"/>
    <n v="1"/>
    <n v="1"/>
    <n v="1"/>
    <n v="1"/>
  </r>
  <r>
    <s v="2025-12-11 00:00:00.000 +0000"/>
    <x v="8"/>
    <s v="Thursday "/>
    <d v="1899-12-30T00:19:22"/>
    <n v="32"/>
    <s v="The Big Investor V2"/>
    <x v="16"/>
    <x v="3"/>
    <s v="COMPLETED"/>
    <n v="0.55555555555555503"/>
    <n v="1"/>
    <n v="0.83333333333333304"/>
    <n v="0.46666666666666601"/>
    <n v="0.27272727272727199"/>
    <n v="0"/>
    <n v="0"/>
    <n v="0"/>
    <n v="0"/>
    <n v="0"/>
    <n v="0"/>
    <n v="1"/>
    <n v="1"/>
    <n v="0"/>
    <n v="0"/>
    <n v="0"/>
    <n v="0"/>
    <n v="0"/>
    <n v="0"/>
    <n v="0"/>
    <n v="0"/>
    <n v="0"/>
    <n v="0"/>
    <n v="0"/>
    <n v="0"/>
    <n v="0"/>
    <n v="0"/>
    <n v="0"/>
    <n v="0"/>
    <n v="0"/>
    <s v="-"/>
    <n v="0"/>
    <n v="2"/>
    <n v="0"/>
    <n v="0"/>
    <n v="0"/>
    <n v="0"/>
  </r>
  <r>
    <s v="2025-12-12 00:00:00.000 +0000"/>
    <x v="8"/>
    <s v="Friday   "/>
    <d v="1899-12-30T00:08:44"/>
    <n v="7"/>
    <s v="Rumours"/>
    <x v="12"/>
    <x v="3"/>
    <s v="COMPLETED"/>
    <n v="0.44444444444444398"/>
    <n v="0.5"/>
    <n v="0.33333333333333298"/>
    <n v="0.2"/>
    <n v="0"/>
    <n v="0"/>
    <n v="0"/>
    <n v="0"/>
    <n v="0"/>
    <n v="0"/>
    <n v="0"/>
    <n v="1"/>
    <n v="0"/>
    <n v="1"/>
    <n v="0"/>
    <n v="0"/>
    <n v="0"/>
    <n v="0"/>
    <n v="0"/>
    <n v="0"/>
    <n v="0"/>
    <n v="0"/>
    <n v="0"/>
    <n v="0"/>
    <n v="0"/>
    <n v="0"/>
    <n v="1"/>
    <n v="0"/>
    <n v="0"/>
    <n v="0"/>
    <s v="-"/>
    <n v="0"/>
    <n v="2"/>
    <n v="0"/>
    <n v="1"/>
    <n v="0"/>
    <n v="0"/>
  </r>
  <r>
    <s v="2025-12-16 00:00:00.000 +0000"/>
    <x v="8"/>
    <s v="Tuesday  "/>
    <d v="1899-12-30T00:20:28"/>
    <n v="14"/>
    <s v="Missing Delivery"/>
    <x v="17"/>
    <x v="3"/>
    <s v="COMPLETED"/>
    <n v="0.77777777777777701"/>
    <n v="1"/>
    <n v="0.66666666666666596"/>
    <n v="0.6"/>
    <n v="0.36363636363636298"/>
    <n v="0"/>
    <n v="0"/>
    <n v="0"/>
    <n v="0"/>
    <n v="0"/>
    <n v="0"/>
    <n v="0"/>
    <n v="0"/>
    <n v="1"/>
    <n v="1"/>
    <n v="0"/>
    <n v="0"/>
    <n v="0"/>
    <n v="0"/>
    <n v="1"/>
    <n v="0"/>
    <n v="0"/>
    <n v="0"/>
    <n v="0"/>
    <n v="0"/>
    <n v="0"/>
    <n v="0"/>
    <n v="0"/>
    <n v="0"/>
    <n v="0"/>
    <s v="-"/>
    <n v="1"/>
    <n v="2"/>
    <n v="1"/>
    <n v="1"/>
    <n v="2"/>
    <n v="1"/>
  </r>
  <r>
    <s v="2025-12-17 00:00:00.000 +0000"/>
    <x v="8"/>
    <s v="Wednesday"/>
    <d v="1899-12-30T00:18:45"/>
    <n v="9"/>
    <s v="Cart-astrophe"/>
    <x v="6"/>
    <x v="2"/>
    <s v="COMPLETED"/>
    <n v="0.77777777777777701"/>
    <n v="1"/>
    <n v="0.66666666666666596"/>
    <n v="0.6"/>
    <n v="0.45454545454545398"/>
    <n v="0"/>
    <n v="0"/>
    <n v="0"/>
    <n v="0"/>
    <n v="0"/>
    <n v="0"/>
    <n v="0"/>
    <n v="0"/>
    <n v="0"/>
    <n v="0"/>
    <n v="0"/>
    <n v="0"/>
    <n v="0"/>
    <n v="0"/>
    <n v="0"/>
    <n v="0"/>
    <n v="0"/>
    <n v="0"/>
    <n v="0"/>
    <n v="0"/>
    <n v="0"/>
    <n v="0"/>
    <n v="0"/>
    <n v="0"/>
    <n v="0"/>
    <s v="-"/>
    <n v="0"/>
    <n v="0"/>
    <n v="0"/>
    <n v="0"/>
    <n v="0"/>
    <n v="0"/>
  </r>
  <r>
    <s v="2025-12-17 00:00:00.000 +0000"/>
    <x v="8"/>
    <s v="Wednesday"/>
    <d v="1899-12-30T00:22:55"/>
    <n v="8"/>
    <s v="The Chain"/>
    <x v="7"/>
    <x v="2"/>
    <s v="COMPLETED"/>
    <n v="0.55555555555555503"/>
    <n v="1"/>
    <n v="0.66666666666666596"/>
    <n v="0.6"/>
    <n v="0.36363636363636298"/>
    <n v="0"/>
    <n v="0"/>
    <n v="0"/>
    <n v="0"/>
    <n v="0"/>
    <n v="0"/>
    <n v="0"/>
    <n v="1"/>
    <n v="0"/>
    <n v="0"/>
    <n v="0"/>
    <n v="0"/>
    <n v="1"/>
    <n v="0"/>
    <n v="0"/>
    <n v="0"/>
    <n v="0"/>
    <n v="0"/>
    <n v="0"/>
    <n v="0"/>
    <n v="0"/>
    <n v="0"/>
    <n v="0"/>
    <n v="1"/>
    <n v="0"/>
    <s v="-"/>
    <n v="0"/>
    <n v="1"/>
    <n v="2"/>
    <n v="0"/>
    <n v="0"/>
    <n v="1"/>
  </r>
  <r>
    <s v="2025-12-18 00:00:00.000 +0000"/>
    <x v="8"/>
    <s v="Thursday "/>
    <d v="1899-12-30T00:21:56"/>
    <n v="34"/>
    <s v="Missing Delivery"/>
    <x v="14"/>
    <x v="3"/>
    <s v="COMPLETED"/>
    <n v="0.66666666666666596"/>
    <n v="1"/>
    <n v="0.66666666666666596"/>
    <n v="0.4"/>
    <n v="0.27272727272727199"/>
    <n v="0"/>
    <n v="0"/>
    <n v="0"/>
    <n v="0"/>
    <n v="0"/>
    <n v="0"/>
    <n v="0"/>
    <n v="0"/>
    <n v="1"/>
    <n v="1"/>
    <n v="0"/>
    <n v="0"/>
    <n v="0"/>
    <n v="0"/>
    <n v="1"/>
    <n v="0"/>
    <n v="0"/>
    <n v="0"/>
    <n v="0"/>
    <n v="0"/>
    <n v="0"/>
    <n v="0"/>
    <n v="0"/>
    <n v="0"/>
    <n v="0"/>
    <s v="-"/>
    <n v="1"/>
    <n v="2"/>
    <n v="1"/>
    <n v="1"/>
    <n v="2"/>
    <n v="1"/>
  </r>
  <r>
    <s v="2026-01-06 00:00:00.000 +0000"/>
    <x v="9"/>
    <s v="Tuesday  "/>
    <d v="1899-12-30T00:20:51"/>
    <n v="24"/>
    <s v="Breaking Bez"/>
    <x v="2"/>
    <x v="0"/>
    <s v="COMPLETED"/>
    <n v="0.88888888888888795"/>
    <n v="1"/>
    <n v="0.83333333333333304"/>
    <n v="0.93333333333333302"/>
    <n v="0.72727272727272696"/>
    <n v="0"/>
    <n v="0"/>
    <n v="0"/>
    <n v="0"/>
    <n v="0"/>
    <n v="0"/>
    <n v="0"/>
    <n v="0"/>
    <n v="0"/>
    <n v="0"/>
    <n v="0"/>
    <n v="0"/>
    <n v="0"/>
    <n v="0"/>
    <n v="1"/>
    <n v="0"/>
    <n v="0"/>
    <n v="0"/>
    <n v="0"/>
    <n v="0"/>
    <n v="0"/>
    <n v="0"/>
    <n v="0"/>
    <n v="0"/>
    <n v="0"/>
    <s v="-"/>
    <n v="1"/>
    <n v="1"/>
    <n v="1"/>
    <n v="1"/>
    <n v="1"/>
    <n v="1"/>
  </r>
  <r>
    <s v="2026-01-06 00:00:00.000 +0000"/>
    <x v="9"/>
    <s v="Tuesday  "/>
    <d v="1899-12-30T00:20:01"/>
    <n v="4"/>
    <s v="Roblox"/>
    <x v="15"/>
    <x v="2"/>
    <s v="OUT_OF_TIME"/>
    <n v="0.22222222222222199"/>
    <n v="0.5"/>
    <n v="0.66666666666666596"/>
    <n v="0.33333333333333298"/>
    <n v="0.18181818181818099"/>
    <n v="1"/>
    <n v="0"/>
    <n v="0"/>
    <n v="0"/>
    <n v="0"/>
    <n v="0"/>
    <n v="0"/>
    <n v="0"/>
    <n v="0"/>
    <n v="0"/>
    <n v="0"/>
    <n v="0"/>
    <n v="0"/>
    <n v="0"/>
    <n v="1"/>
    <n v="0"/>
    <n v="1"/>
    <n v="0"/>
    <n v="1"/>
    <n v="0"/>
    <n v="0"/>
    <n v="0"/>
    <n v="0"/>
    <n v="0"/>
    <n v="0"/>
    <s v="-"/>
    <n v="1"/>
    <n v="4"/>
    <n v="1"/>
    <n v="1"/>
    <n v="1"/>
    <n v="1"/>
  </r>
  <r>
    <s v="2026-01-08 00:00:00.000 +0000"/>
    <x v="9"/>
    <s v="Thursday "/>
    <d v="1899-12-30T00:15:49"/>
    <n v="7"/>
    <s v="Rumours"/>
    <x v="16"/>
    <x v="3"/>
    <s v="COMPLETED"/>
    <n v="0.55555555555555503"/>
    <n v="0.5"/>
    <n v="0.33333333333333298"/>
    <n v="0.266666666666666"/>
    <n v="0.36363636363636298"/>
    <n v="0"/>
    <n v="0"/>
    <n v="0"/>
    <n v="0"/>
    <n v="0"/>
    <n v="0"/>
    <n v="1"/>
    <n v="0"/>
    <n v="1"/>
    <n v="0"/>
    <n v="0"/>
    <n v="0"/>
    <n v="0"/>
    <n v="0"/>
    <n v="0"/>
    <n v="0"/>
    <n v="0"/>
    <n v="0"/>
    <n v="0"/>
    <n v="0"/>
    <n v="0"/>
    <n v="1"/>
    <n v="0"/>
    <n v="0"/>
    <n v="0"/>
    <s v="-"/>
    <n v="0"/>
    <n v="2"/>
    <n v="0"/>
    <n v="1"/>
    <n v="0"/>
    <n v="0"/>
  </r>
  <r>
    <s v="2026-01-09 00:00:00.000 +0000"/>
    <x v="9"/>
    <s v="Friday   "/>
    <d v="1899-12-30T00:13:34"/>
    <n v="14"/>
    <s v="Missing Delivery V2"/>
    <x v="12"/>
    <x v="3"/>
    <s v="COMPLETED"/>
    <n v="0.55555555555555503"/>
    <n v="1"/>
    <n v="0.66666666666666596"/>
    <n v="0.266666666666666"/>
    <n v="0.18181818181818099"/>
    <n v="0"/>
    <n v="0"/>
    <n v="0"/>
    <n v="0"/>
    <n v="0"/>
    <n v="0"/>
    <n v="0"/>
    <n v="0"/>
    <n v="1"/>
    <n v="1"/>
    <n v="0"/>
    <n v="0"/>
    <n v="0"/>
    <n v="0"/>
    <n v="1"/>
    <n v="0"/>
    <n v="0"/>
    <n v="0"/>
    <n v="0"/>
    <n v="0"/>
    <n v="0"/>
    <n v="0"/>
    <n v="0"/>
    <n v="0"/>
    <n v="0"/>
    <s v="-"/>
    <n v="1"/>
    <n v="2"/>
    <n v="1"/>
    <n v="1"/>
    <n v="2"/>
    <n v="1"/>
  </r>
  <r>
    <s v="2026-01-13 00:00:00.000 +0000"/>
    <x v="9"/>
    <s v="Tuesday  "/>
    <d v="1899-12-30T00:20:01"/>
    <n v="16"/>
    <s v="Radio Silence"/>
    <x v="17"/>
    <x v="3"/>
    <s v="OUT_OF_TIME"/>
    <n v="0.77777777777777701"/>
    <n v="1"/>
    <n v="0.66666666666666596"/>
    <n v="0.66666666666666596"/>
    <n v="0.45454545454545398"/>
    <n v="0"/>
    <n v="0"/>
    <n v="0"/>
    <n v="1"/>
    <n v="0"/>
    <n v="0"/>
    <n v="0"/>
    <n v="0"/>
    <n v="0"/>
    <n v="0"/>
    <n v="0"/>
    <n v="0"/>
    <n v="0"/>
    <n v="1"/>
    <n v="0"/>
    <n v="0"/>
    <n v="0"/>
    <n v="0"/>
    <n v="0"/>
    <n v="0"/>
    <n v="0"/>
    <n v="0"/>
    <n v="0"/>
    <n v="0"/>
    <n v="0"/>
    <s v="-"/>
    <n v="0"/>
    <n v="1"/>
    <n v="0"/>
    <n v="0"/>
    <n v="1"/>
    <n v="0"/>
  </r>
  <r>
    <s v="2026-01-14 00:00:00.000 +0000"/>
    <x v="9"/>
    <s v="Wednesday"/>
    <d v="1899-12-30T00:19:09"/>
    <n v="8"/>
    <s v="The Chain"/>
    <x v="9"/>
    <x v="1"/>
    <s v="COMPLETED"/>
    <n v="0.44444444444444398"/>
    <n v="0.5"/>
    <n v="0.66666666666666596"/>
    <n v="0.33333333333333298"/>
    <n v="9.0909090909090898E-2"/>
    <n v="0"/>
    <n v="0"/>
    <n v="0"/>
    <n v="0"/>
    <n v="0"/>
    <n v="0"/>
    <n v="0"/>
    <n v="1"/>
    <n v="0"/>
    <n v="0"/>
    <n v="0"/>
    <n v="0"/>
    <n v="1"/>
    <n v="0"/>
    <n v="0"/>
    <n v="0"/>
    <n v="0"/>
    <n v="0"/>
    <n v="0"/>
    <n v="0"/>
    <n v="0"/>
    <n v="0"/>
    <n v="0"/>
    <n v="1"/>
    <n v="0"/>
    <s v="-"/>
    <n v="0"/>
    <n v="1"/>
    <n v="2"/>
    <n v="0"/>
    <n v="0"/>
    <n v="1"/>
  </r>
  <r>
    <s v="2026-01-14 00:00:00.000 +0000"/>
    <x v="9"/>
    <s v="Wednesday"/>
    <d v="1899-12-30T00:20:43"/>
    <n v="18"/>
    <s v="The Switch"/>
    <x v="6"/>
    <x v="2"/>
    <s v="COMPLETED"/>
    <n v="0.66666666666666596"/>
    <n v="1"/>
    <n v="0.5"/>
    <n v="0.53333333333333299"/>
    <n v="0.54545454545454497"/>
    <n v="0"/>
    <n v="0"/>
    <n v="0"/>
    <n v="0"/>
    <n v="1"/>
    <n v="0"/>
    <n v="1"/>
    <n v="1"/>
    <n v="0"/>
    <n v="0"/>
    <n v="0"/>
    <n v="1"/>
    <n v="0"/>
    <n v="0"/>
    <n v="0"/>
    <n v="0"/>
    <n v="0"/>
    <n v="0"/>
    <n v="0"/>
    <n v="0"/>
    <n v="0"/>
    <n v="0"/>
    <n v="0"/>
    <n v="1"/>
    <n v="0"/>
    <s v="-"/>
    <n v="0"/>
    <n v="3"/>
    <n v="1"/>
    <n v="0"/>
    <n v="1"/>
    <n v="1"/>
  </r>
  <r>
    <s v="2026-01-14 00:00:00.000 +0000"/>
    <x v="9"/>
    <s v="Wednesday"/>
    <d v="1899-12-30T00:20:02"/>
    <n v="5"/>
    <s v="Bezs Beatles Day! V2"/>
    <x v="18"/>
    <x v="4"/>
    <s v="OUT_OF_TIME"/>
    <n v="0.66666666666666596"/>
    <n v="1"/>
    <n v="0.33333333333333298"/>
    <n v="0.66666666666666596"/>
    <n v="0.45454545454545398"/>
    <n v="0"/>
    <n v="0"/>
    <n v="1"/>
    <n v="0"/>
    <n v="0"/>
    <n v="0"/>
    <n v="0"/>
    <n v="0"/>
    <n v="0"/>
    <n v="0"/>
    <n v="0"/>
    <n v="1"/>
    <n v="0"/>
    <n v="0"/>
    <n v="0"/>
    <n v="0"/>
    <n v="0"/>
    <n v="0"/>
    <n v="0"/>
    <n v="0"/>
    <n v="0"/>
    <n v="0"/>
    <n v="0"/>
    <n v="0"/>
    <n v="0"/>
    <s v="-"/>
    <n v="0"/>
    <n v="1"/>
    <n v="1"/>
    <n v="0"/>
    <n v="0"/>
    <n v="0"/>
  </r>
  <r>
    <s v="2026-01-15 00:00:00.000 +0000"/>
    <x v="9"/>
    <s v="Thursday "/>
    <d v="1899-12-30T00:18:29"/>
    <n v="14"/>
    <s v="Missing Delivery V2"/>
    <x v="16"/>
    <x v="3"/>
    <s v="COMPLETED"/>
    <n v="0.55555555555555503"/>
    <n v="1"/>
    <n v="0.83333333333333304"/>
    <n v="0.4"/>
    <n v="0.27272727272727199"/>
    <n v="0"/>
    <n v="0"/>
    <n v="0"/>
    <n v="0"/>
    <n v="0"/>
    <n v="0"/>
    <n v="0"/>
    <n v="0"/>
    <n v="1"/>
    <n v="1"/>
    <n v="0"/>
    <n v="0"/>
    <n v="0"/>
    <n v="0"/>
    <n v="1"/>
    <n v="0"/>
    <n v="0"/>
    <n v="0"/>
    <n v="0"/>
    <n v="0"/>
    <n v="0"/>
    <n v="0"/>
    <n v="0"/>
    <n v="0"/>
    <n v="0"/>
    <s v="-"/>
    <n v="1"/>
    <n v="2"/>
    <n v="1"/>
    <n v="1"/>
    <n v="2"/>
    <n v="1"/>
  </r>
  <r>
    <s v="2026-01-15 00:00:00.000 +0000"/>
    <x v="9"/>
    <s v="Thursday "/>
    <d v="1899-12-30T00:16:04"/>
    <n v="8"/>
    <s v="The Chain"/>
    <x v="4"/>
    <x v="0"/>
    <s v="COMPLETED"/>
    <n v="0.66666666666666596"/>
    <n v="1"/>
    <n v="0.5"/>
    <n v="0.4"/>
    <n v="0.36363636363636298"/>
    <n v="0"/>
    <n v="0"/>
    <n v="0"/>
    <n v="0"/>
    <n v="0"/>
    <n v="0"/>
    <n v="0"/>
    <n v="1"/>
    <n v="0"/>
    <n v="0"/>
    <n v="0"/>
    <n v="0"/>
    <n v="1"/>
    <n v="0"/>
    <n v="0"/>
    <n v="0"/>
    <n v="0"/>
    <n v="0"/>
    <n v="0"/>
    <n v="0"/>
    <n v="0"/>
    <n v="0"/>
    <n v="0"/>
    <n v="1"/>
    <n v="0"/>
    <s v="-"/>
    <n v="0"/>
    <n v="1"/>
    <n v="2"/>
    <n v="0"/>
    <n v="0"/>
    <n v="1"/>
  </r>
  <r>
    <s v="2026-01-16 00:00:00.000 +0000"/>
    <x v="9"/>
    <s v="Friday   "/>
    <d v="1899-12-30T00:20:02"/>
    <n v="9"/>
    <s v="Cart-astrophe"/>
    <x v="1"/>
    <x v="0"/>
    <s v="OUT_OF_TIME"/>
    <n v="0.55555555555555503"/>
    <n v="1"/>
    <n v="0.83333333333333304"/>
    <n v="0.53333333333333299"/>
    <n v="0.36363636363636298"/>
    <n v="0"/>
    <n v="0"/>
    <n v="0"/>
    <n v="0"/>
    <n v="0"/>
    <n v="0"/>
    <n v="0"/>
    <n v="0"/>
    <n v="0"/>
    <n v="0"/>
    <n v="0"/>
    <n v="0"/>
    <n v="0"/>
    <n v="0"/>
    <n v="0"/>
    <n v="0"/>
    <n v="0"/>
    <n v="0"/>
    <n v="0"/>
    <n v="0"/>
    <n v="0"/>
    <n v="0"/>
    <n v="0"/>
    <n v="0"/>
    <n v="0"/>
    <s v="-"/>
    <n v="0"/>
    <n v="0"/>
    <n v="0"/>
    <n v="0"/>
    <n v="0"/>
    <n v="0"/>
  </r>
  <r>
    <s v="2026-01-19 00:00:00.000 +0000"/>
    <x v="9"/>
    <s v="Monday   "/>
    <d v="1899-12-30T00:29:37"/>
    <n v="24"/>
    <s v="Breaking Bez"/>
    <x v="0"/>
    <x v="0"/>
    <s v="COMPLETED"/>
    <n v="0.77777777777777701"/>
    <n v="1"/>
    <n v="0.83333333333333304"/>
    <n v="0.8"/>
    <n v="0.72727272727272696"/>
    <n v="0"/>
    <n v="0"/>
    <n v="0"/>
    <n v="0"/>
    <n v="0"/>
    <n v="0"/>
    <n v="0"/>
    <n v="0"/>
    <n v="0"/>
    <n v="0"/>
    <n v="0"/>
    <n v="0"/>
    <n v="0"/>
    <n v="0"/>
    <n v="1"/>
    <n v="0"/>
    <n v="0"/>
    <n v="0"/>
    <n v="0"/>
    <n v="0"/>
    <n v="0"/>
    <n v="0"/>
    <n v="0"/>
    <n v="0"/>
    <n v="0"/>
    <s v="-"/>
    <n v="1"/>
    <n v="1"/>
    <n v="1"/>
    <n v="1"/>
    <n v="1"/>
    <n v="1"/>
  </r>
  <r>
    <s v="2026-01-19 00:00:00.000 +0000"/>
    <x v="9"/>
    <s v="Monday   "/>
    <d v="1899-12-30T00:19:08"/>
    <n v="8"/>
    <s v="The Chain"/>
    <x v="3"/>
    <x v="0"/>
    <s v="COMPLETED"/>
    <n v="0.88888888888888795"/>
    <n v="1"/>
    <n v="0.83333333333333304"/>
    <n v="0.86666666666666603"/>
    <n v="0.72727272727272696"/>
    <n v="0"/>
    <n v="0"/>
    <n v="0"/>
    <n v="0"/>
    <n v="0"/>
    <n v="0"/>
    <n v="0"/>
    <n v="1"/>
    <n v="0"/>
    <n v="0"/>
    <n v="0"/>
    <n v="0"/>
    <n v="1"/>
    <n v="0"/>
    <n v="0"/>
    <n v="0"/>
    <n v="0"/>
    <n v="0"/>
    <n v="0"/>
    <n v="0"/>
    <n v="0"/>
    <n v="0"/>
    <n v="0"/>
    <n v="1"/>
    <n v="0"/>
    <s v="-"/>
    <n v="0"/>
    <n v="1"/>
    <n v="2"/>
    <n v="0"/>
    <n v="0"/>
    <n v="1"/>
  </r>
  <r>
    <s v="2026-01-20 00:00:00.000 +0000"/>
    <x v="9"/>
    <s v="Tuesday  "/>
    <d v="1899-12-30T00:15:31"/>
    <n v="8"/>
    <s v="The Chain"/>
    <x v="11"/>
    <x v="2"/>
    <s v="COMPLETED"/>
    <n v="0.66666666666666596"/>
    <n v="1"/>
    <n v="0.83333333333333304"/>
    <n v="0.73333333333333295"/>
    <n v="0.63636363636363602"/>
    <n v="0"/>
    <n v="0"/>
    <n v="0"/>
    <n v="0"/>
    <n v="0"/>
    <n v="0"/>
    <n v="0"/>
    <n v="1"/>
    <n v="0"/>
    <n v="0"/>
    <n v="0"/>
    <n v="0"/>
    <n v="1"/>
    <n v="0"/>
    <n v="0"/>
    <n v="0"/>
    <n v="0"/>
    <n v="0"/>
    <n v="0"/>
    <n v="0"/>
    <n v="0"/>
    <n v="0"/>
    <n v="0"/>
    <n v="1"/>
    <n v="0"/>
    <s v="-"/>
    <n v="0"/>
    <n v="1"/>
    <n v="2"/>
    <n v="0"/>
    <n v="0"/>
    <n v="1"/>
  </r>
  <r>
    <s v="2026-01-21 00:00:00.000 +0000"/>
    <x v="9"/>
    <s v="Wednesday"/>
    <d v="1899-12-30T00:15:10"/>
    <n v="18"/>
    <s v="The Switch"/>
    <x v="7"/>
    <x v="2"/>
    <s v="COMPLETED"/>
    <n v="0.44444444444444398"/>
    <n v="1"/>
    <n v="0.66666666666666596"/>
    <n v="0.46666666666666601"/>
    <n v="0.27272727272727199"/>
    <n v="0"/>
    <n v="0"/>
    <n v="0"/>
    <n v="0"/>
    <n v="1"/>
    <n v="0"/>
    <n v="1"/>
    <n v="1"/>
    <n v="0"/>
    <n v="0"/>
    <n v="0"/>
    <n v="1"/>
    <n v="0"/>
    <n v="0"/>
    <n v="0"/>
    <n v="0"/>
    <n v="0"/>
    <n v="0"/>
    <n v="0"/>
    <n v="0"/>
    <n v="0"/>
    <n v="0"/>
    <n v="0"/>
    <n v="1"/>
    <n v="0"/>
    <s v="-"/>
    <n v="0"/>
    <n v="3"/>
    <n v="1"/>
    <n v="0"/>
    <n v="1"/>
    <n v="1"/>
  </r>
  <r>
    <s v="2026-01-22 00:00:00.000 +0000"/>
    <x v="9"/>
    <s v="Thursday "/>
    <d v="1899-12-30T00:20:01"/>
    <n v="16"/>
    <s v="Radio Silence"/>
    <x v="14"/>
    <x v="3"/>
    <s v="OUT_OF_TIME"/>
    <n v="0.55555555555555503"/>
    <n v="0.5"/>
    <n v="0.33333333333333298"/>
    <n v="0.266666666666666"/>
    <n v="0.18181818181818099"/>
    <n v="0"/>
    <n v="0"/>
    <n v="0"/>
    <n v="1"/>
    <n v="0"/>
    <n v="0"/>
    <n v="0"/>
    <n v="0"/>
    <n v="0"/>
    <n v="0"/>
    <n v="0"/>
    <n v="0"/>
    <n v="0"/>
    <n v="1"/>
    <n v="0"/>
    <n v="0"/>
    <n v="0"/>
    <n v="0"/>
    <n v="0"/>
    <n v="0"/>
    <n v="0"/>
    <n v="0"/>
    <n v="0"/>
    <n v="0"/>
    <n v="0"/>
    <s v="-"/>
    <n v="0"/>
    <n v="1"/>
    <n v="0"/>
    <n v="0"/>
    <n v="1"/>
    <n v="0"/>
  </r>
  <r>
    <s v="2026-01-29 00:00:00.000 +0000"/>
    <x v="9"/>
    <s v="Thursday "/>
    <d v="1899-12-30T00:20:01"/>
    <n v="16"/>
    <s v="Radio Silence"/>
    <x v="16"/>
    <x v="3"/>
    <s v="OUT_OF_TIME"/>
    <n v="0.55555555555555503"/>
    <n v="0.5"/>
    <n v="0.33333333333333298"/>
    <n v="0.33333333333333298"/>
    <n v="9.0909090909090898E-2"/>
    <n v="0"/>
    <n v="0"/>
    <n v="0"/>
    <n v="1"/>
    <n v="0"/>
    <n v="0"/>
    <n v="0"/>
    <n v="0"/>
    <n v="0"/>
    <n v="0"/>
    <n v="0"/>
    <n v="0"/>
    <n v="0"/>
    <n v="1"/>
    <n v="0"/>
    <n v="0"/>
    <n v="0"/>
    <n v="0"/>
    <n v="0"/>
    <n v="0"/>
    <n v="0"/>
    <n v="0"/>
    <n v="0"/>
    <n v="0"/>
    <n v="0"/>
    <s v="-"/>
    <n v="0"/>
    <n v="1"/>
    <n v="0"/>
    <n v="0"/>
    <n v="1"/>
    <n v="0"/>
  </r>
  <r>
    <s v="2026-02-03 00:00:00.000 +0000"/>
    <x v="10"/>
    <s v="Tuesday  "/>
    <d v="1899-12-30T00:20:02"/>
    <n v="17"/>
    <s v="Version confusion"/>
    <x v="2"/>
    <x v="0"/>
    <s v="OUT_OF_TIME"/>
    <n v="0.44444444444444398"/>
    <n v="0.5"/>
    <n v="0.33333333333333298"/>
    <n v="0.46666666666666601"/>
    <n v="0.18181818181818099"/>
    <n v="0"/>
    <n v="0"/>
    <n v="0"/>
    <n v="0"/>
    <n v="1"/>
    <n v="0"/>
    <n v="1"/>
    <n v="0"/>
    <n v="0"/>
    <n v="0"/>
    <n v="0"/>
    <n v="1"/>
    <n v="0"/>
    <n v="0"/>
    <n v="0"/>
    <n v="0"/>
    <n v="0"/>
    <n v="0"/>
    <n v="0"/>
    <n v="0"/>
    <n v="0"/>
    <n v="0"/>
    <n v="0"/>
    <n v="0"/>
    <n v="0"/>
    <s v="-"/>
    <n v="0"/>
    <n v="2"/>
    <n v="0"/>
    <n v="0"/>
    <n v="1"/>
    <n v="0"/>
  </r>
  <r>
    <s v="2026-02-03 00:00:00.000 +0000"/>
    <x v="10"/>
    <s v="Tuesday  "/>
    <d v="1899-12-30T00:25:02"/>
    <n v="18"/>
    <s v="The Switch"/>
    <x v="15"/>
    <x v="2"/>
    <s v="OUT_OF_TIME"/>
    <n v="0.66666666666666596"/>
    <n v="0.5"/>
    <n v="0.33333333333333298"/>
    <n v="0.33333333333333298"/>
    <n v="0.18181818181818099"/>
    <n v="0"/>
    <n v="0"/>
    <n v="0"/>
    <n v="0"/>
    <n v="1"/>
    <n v="0"/>
    <n v="1"/>
    <n v="1"/>
    <n v="0"/>
    <n v="0"/>
    <n v="0"/>
    <n v="1"/>
    <n v="0"/>
    <n v="0"/>
    <n v="0"/>
    <n v="0"/>
    <n v="0"/>
    <n v="0"/>
    <n v="0"/>
    <n v="0"/>
    <n v="0"/>
    <n v="0"/>
    <n v="0"/>
    <n v="1"/>
    <n v="0"/>
    <s v="-"/>
    <n v="0"/>
    <n v="3"/>
    <n v="1"/>
    <n v="0"/>
    <n v="1"/>
    <n v="1"/>
  </r>
  <r>
    <s v="2026-02-03 00:00:00.000 +0000"/>
    <x v="10"/>
    <s v="Tuesday  "/>
    <d v="1899-12-30T00:18:03"/>
    <n v="18"/>
    <s v="The Switch"/>
    <x v="11"/>
    <x v="2"/>
    <s v="COMPLETED"/>
    <n v="0.55555555555555503"/>
    <n v="0.5"/>
    <n v="0.66666666666666596"/>
    <n v="0.4"/>
    <n v="0.36363636363636298"/>
    <n v="0"/>
    <n v="0"/>
    <n v="0"/>
    <n v="0"/>
    <n v="1"/>
    <n v="0"/>
    <n v="1"/>
    <n v="1"/>
    <n v="0"/>
    <n v="0"/>
    <n v="0"/>
    <n v="1"/>
    <n v="0"/>
    <n v="0"/>
    <n v="0"/>
    <n v="0"/>
    <n v="0"/>
    <n v="0"/>
    <n v="0"/>
    <n v="0"/>
    <n v="0"/>
    <n v="0"/>
    <n v="0"/>
    <n v="1"/>
    <n v="0"/>
    <s v="-"/>
    <n v="0"/>
    <n v="3"/>
    <n v="1"/>
    <n v="0"/>
    <n v="1"/>
    <n v="1"/>
  </r>
  <r>
    <s v="2026-02-04 00:00:00.000 +0000"/>
    <x v="10"/>
    <s v="Wednesday"/>
    <d v="1899-12-30T00:25:02"/>
    <n v="18"/>
    <s v="The Switch"/>
    <x v="17"/>
    <x v="3"/>
    <s v="OUT_OF_TIME"/>
    <n v="0.88888888888888795"/>
    <n v="1"/>
    <n v="0.66666666666666596"/>
    <n v="0.6"/>
    <n v="0.54545454545454497"/>
    <n v="0"/>
    <n v="0"/>
    <n v="0"/>
    <n v="0"/>
    <n v="1"/>
    <n v="0"/>
    <n v="1"/>
    <n v="1"/>
    <n v="0"/>
    <n v="0"/>
    <n v="0"/>
    <n v="1"/>
    <n v="0"/>
    <n v="0"/>
    <n v="0"/>
    <n v="0"/>
    <n v="0"/>
    <n v="0"/>
    <n v="0"/>
    <n v="0"/>
    <n v="0"/>
    <n v="0"/>
    <n v="0"/>
    <n v="1"/>
    <n v="0"/>
    <s v="-"/>
    <n v="0"/>
    <n v="3"/>
    <n v="1"/>
    <n v="0"/>
    <n v="1"/>
    <n v="1"/>
  </r>
  <r>
    <s v="2026-02-06 00:00:00.000 +0000"/>
    <x v="10"/>
    <s v="Friday   "/>
    <d v="1899-12-30T00:19:13"/>
    <n v="18"/>
    <s v="The Switch"/>
    <x v="12"/>
    <x v="3"/>
    <s v="COMPLETED"/>
    <n v="0.66666666666666596"/>
    <n v="0.5"/>
    <n v="0.66666666666666596"/>
    <n v="0.53333333333333299"/>
    <n v="0.36363636363636298"/>
    <n v="0"/>
    <n v="0"/>
    <n v="0"/>
    <n v="0"/>
    <n v="1"/>
    <n v="0"/>
    <n v="1"/>
    <n v="1"/>
    <n v="0"/>
    <n v="0"/>
    <n v="0"/>
    <n v="1"/>
    <n v="0"/>
    <n v="0"/>
    <n v="0"/>
    <n v="0"/>
    <n v="0"/>
    <n v="0"/>
    <n v="0"/>
    <n v="0"/>
    <n v="0"/>
    <n v="0"/>
    <n v="0"/>
    <n v="1"/>
    <n v="0"/>
    <s v="-"/>
    <n v="0"/>
    <n v="3"/>
    <n v="1"/>
    <n v="0"/>
    <n v="1"/>
    <n v="1"/>
  </r>
  <r>
    <s v="2026-02-09 00:00:00.000 +0000"/>
    <x v="10"/>
    <s v="Monday   "/>
    <d v="1899-12-30T00:16:08"/>
    <n v="32"/>
    <s v="The Big Investor V2"/>
    <x v="18"/>
    <x v="4"/>
    <s v="COMPLETED"/>
    <n v="0.55555555555555503"/>
    <n v="1"/>
    <n v="0.33333333333333298"/>
    <n v="0.4"/>
    <n v="0.18181818181818099"/>
    <n v="0"/>
    <n v="0"/>
    <n v="0"/>
    <n v="0"/>
    <n v="0"/>
    <n v="0"/>
    <n v="1"/>
    <n v="1"/>
    <n v="0"/>
    <n v="0"/>
    <n v="0"/>
    <n v="0"/>
    <n v="0"/>
    <n v="0"/>
    <n v="0"/>
    <n v="0"/>
    <n v="0"/>
    <n v="0"/>
    <n v="0"/>
    <n v="0"/>
    <n v="0"/>
    <n v="0"/>
    <n v="0"/>
    <n v="0"/>
    <n v="0"/>
    <s v="-"/>
    <n v="0"/>
    <n v="2"/>
    <n v="0"/>
    <n v="0"/>
    <n v="0"/>
    <n v="0"/>
  </r>
  <r>
    <s v="2026-02-12 00:00:00.000 +0000"/>
    <x v="10"/>
    <s v="Thursday "/>
    <d v="1899-12-30T00:17:40"/>
    <n v="4"/>
    <s v="Roblox"/>
    <x v="14"/>
    <x v="3"/>
    <s v="COMPLETED"/>
    <n v="0.55555555555555503"/>
    <n v="0.5"/>
    <n v="0.66666666666666596"/>
    <n v="0.4"/>
    <n v="0.18181818181818099"/>
    <n v="1"/>
    <n v="0"/>
    <n v="0"/>
    <n v="0"/>
    <n v="0"/>
    <n v="0"/>
    <n v="0"/>
    <n v="0"/>
    <n v="0"/>
    <n v="0"/>
    <n v="0"/>
    <n v="0"/>
    <n v="0"/>
    <n v="0"/>
    <n v="1"/>
    <n v="0"/>
    <n v="1"/>
    <n v="0"/>
    <n v="1"/>
    <n v="0"/>
    <n v="0"/>
    <n v="0"/>
    <n v="0"/>
    <n v="0"/>
    <n v="0"/>
    <s v="-"/>
    <n v="1"/>
    <n v="4"/>
    <n v="1"/>
    <n v="1"/>
    <n v="1"/>
    <n v="1"/>
  </r>
  <r>
    <s v="2026-02-23 00:00:00.000 +0000"/>
    <x v="10"/>
    <s v="Monday   "/>
    <d v="1899-12-30T00:18:53"/>
    <n v="9"/>
    <s v="Cart-astrophe"/>
    <x v="0"/>
    <x v="0"/>
    <s v="COMPLETED"/>
    <n v="0.77777777777777701"/>
    <n v="1"/>
    <n v="0.33333333333333298"/>
    <n v="0.66666666666666596"/>
    <n v="0.36363636363636298"/>
    <n v="0"/>
    <n v="0"/>
    <n v="0"/>
    <n v="0"/>
    <n v="0"/>
    <n v="0"/>
    <n v="0"/>
    <n v="0"/>
    <n v="0"/>
    <n v="0"/>
    <n v="0"/>
    <n v="0"/>
    <n v="0"/>
    <n v="0"/>
    <n v="0"/>
    <n v="0"/>
    <n v="0"/>
    <n v="0"/>
    <n v="0"/>
    <n v="0"/>
    <n v="0"/>
    <n v="0"/>
    <n v="0"/>
    <n v="0"/>
    <n v="0"/>
    <s v="-"/>
    <n v="0"/>
    <n v="0"/>
    <n v="0"/>
    <n v="0"/>
    <n v="0"/>
    <n v="0"/>
  </r>
  <r>
    <s v="2026-02-23 00:00:00.000 +0000"/>
    <x v="10"/>
    <s v="Monday   "/>
    <d v="1899-12-30T00:10:25"/>
    <n v="14"/>
    <s v="Missing Delivery"/>
    <x v="18"/>
    <x v="4"/>
    <s v="COMPLETED"/>
    <n v="0.44444444444444398"/>
    <n v="0"/>
    <n v="0.16666666666666599"/>
    <n v="0.266666666666666"/>
    <n v="0.18181818181818099"/>
    <n v="0"/>
    <n v="0"/>
    <n v="0"/>
    <n v="0"/>
    <n v="0"/>
    <n v="0"/>
    <n v="0"/>
    <n v="0"/>
    <n v="1"/>
    <n v="1"/>
    <n v="0"/>
    <n v="0"/>
    <n v="0"/>
    <n v="0"/>
    <n v="1"/>
    <n v="0"/>
    <n v="0"/>
    <n v="0"/>
    <n v="0"/>
    <n v="0"/>
    <n v="0"/>
    <n v="0"/>
    <n v="0"/>
    <n v="0"/>
    <n v="0"/>
    <s v="-"/>
    <n v="1"/>
    <n v="2"/>
    <n v="1"/>
    <n v="1"/>
    <n v="2"/>
    <n v="1"/>
  </r>
  <r>
    <s v="2026-02-24 00:00:00.000 +0000"/>
    <x v="10"/>
    <s v="Tuesday  "/>
    <d v="1899-12-30T00:25:14"/>
    <n v="8"/>
    <s v="The Chain"/>
    <x v="13"/>
    <x v="3"/>
    <s v="COMPLETED"/>
    <n v="0.66666666666666596"/>
    <n v="0.5"/>
    <n v="0.5"/>
    <n v="0.4"/>
    <n v="0.27272727272727199"/>
    <n v="0"/>
    <n v="0"/>
    <n v="0"/>
    <n v="0"/>
    <n v="0"/>
    <n v="0"/>
    <n v="0"/>
    <n v="1"/>
    <n v="0"/>
    <n v="0"/>
    <n v="0"/>
    <n v="0"/>
    <n v="1"/>
    <n v="0"/>
    <n v="0"/>
    <n v="0"/>
    <n v="0"/>
    <n v="0"/>
    <n v="0"/>
    <n v="0"/>
    <n v="0"/>
    <n v="0"/>
    <n v="0"/>
    <n v="1"/>
    <n v="0"/>
    <s v="-"/>
    <n v="0"/>
    <n v="1"/>
    <n v="2"/>
    <n v="0"/>
    <n v="0"/>
    <n v="1"/>
  </r>
  <r>
    <s v="2026-02-25 00:00:00.000 +0000"/>
    <x v="10"/>
    <s v="Wednesday"/>
    <d v="1899-12-30T00:19:54"/>
    <n v="17"/>
    <s v="Version confusion"/>
    <x v="6"/>
    <x v="2"/>
    <s v="COMPLETED"/>
    <n v="0.77777777777777701"/>
    <n v="1"/>
    <n v="0.33333333333333298"/>
    <n v="0.266666666666666"/>
    <n v="0.18181818181818099"/>
    <n v="0"/>
    <n v="0"/>
    <n v="0"/>
    <n v="0"/>
    <n v="1"/>
    <n v="0"/>
    <n v="1"/>
    <n v="0"/>
    <n v="0"/>
    <n v="0"/>
    <n v="0"/>
    <n v="1"/>
    <n v="0"/>
    <n v="0"/>
    <n v="0"/>
    <n v="0"/>
    <n v="0"/>
    <n v="0"/>
    <n v="0"/>
    <n v="0"/>
    <n v="0"/>
    <n v="0"/>
    <n v="0"/>
    <n v="0"/>
    <n v="0"/>
    <s v="-"/>
    <n v="0"/>
    <n v="2"/>
    <n v="0"/>
    <n v="0"/>
    <n v="1"/>
    <n v="0"/>
  </r>
  <r>
    <s v="2026-02-25 00:00:00.000 +0000"/>
    <x v="10"/>
    <s v="Wednesday"/>
    <d v="1899-12-30T00:17:32"/>
    <n v="17"/>
    <s v="Version confusion"/>
    <x v="7"/>
    <x v="2"/>
    <s v="COMPLETED"/>
    <n v="0.88888888888888795"/>
    <n v="1"/>
    <n v="0.66666666666666596"/>
    <n v="0.73333333333333295"/>
    <n v="0.63636363636363602"/>
    <n v="0"/>
    <n v="0"/>
    <n v="0"/>
    <n v="0"/>
    <n v="1"/>
    <n v="0"/>
    <n v="1"/>
    <n v="0"/>
    <n v="0"/>
    <n v="0"/>
    <n v="0"/>
    <n v="1"/>
    <n v="0"/>
    <n v="0"/>
    <n v="0"/>
    <n v="0"/>
    <n v="0"/>
    <n v="0"/>
    <n v="0"/>
    <n v="0"/>
    <n v="0"/>
    <n v="0"/>
    <n v="0"/>
    <n v="0"/>
    <n v="0"/>
    <s v="-"/>
    <n v="0"/>
    <n v="2"/>
    <n v="0"/>
    <n v="0"/>
    <n v="1"/>
    <n v="0"/>
  </r>
  <r>
    <s v="2026-03-02 00:00:00.000 +0000"/>
    <x v="11"/>
    <s v="Monday   "/>
    <d v="1899-12-30T00:15:25"/>
    <n v="3"/>
    <s v="Too Good To Be True"/>
    <x v="19"/>
    <x v="4"/>
    <s v="COMPLETED"/>
    <n v="0"/>
    <n v="0.5"/>
    <n v="0.16666666666666599"/>
    <n v="0.33333333333333298"/>
    <n v="9.0909090909090898E-2"/>
    <n v="0"/>
    <n v="0"/>
    <n v="1"/>
    <n v="0"/>
    <n v="0"/>
    <n v="0"/>
    <n v="0"/>
    <n v="0"/>
    <n v="0"/>
    <n v="0"/>
    <n v="0"/>
    <n v="0"/>
    <n v="0"/>
    <n v="0"/>
    <n v="0"/>
    <n v="0"/>
    <n v="0"/>
    <n v="0"/>
    <n v="0"/>
    <n v="0"/>
    <n v="0"/>
    <n v="0"/>
    <n v="1"/>
    <n v="0"/>
    <n v="0"/>
    <s v="-"/>
    <n v="0"/>
    <n v="1"/>
    <n v="2"/>
    <n v="0"/>
    <n v="0"/>
    <n v="0"/>
  </r>
  <r>
    <s v="2026-03-03 00:00:00.000 +0000"/>
    <x v="11"/>
    <s v="Tuesday  "/>
    <d v="1899-12-30T00:17:51"/>
    <n v="32"/>
    <s v="The Big Investor V2"/>
    <x v="15"/>
    <x v="2"/>
    <s v="COMPLETED"/>
    <n v="0.55555555555555503"/>
    <n v="0.5"/>
    <n v="0.5"/>
    <n v="0.53333333333333299"/>
    <n v="0"/>
    <n v="0"/>
    <n v="0"/>
    <n v="0"/>
    <n v="0"/>
    <n v="0"/>
    <n v="0"/>
    <n v="1"/>
    <n v="1"/>
    <n v="0"/>
    <n v="0"/>
    <n v="0"/>
    <n v="0"/>
    <n v="0"/>
    <n v="0"/>
    <n v="0"/>
    <n v="0"/>
    <n v="0"/>
    <n v="0"/>
    <n v="0"/>
    <n v="0"/>
    <n v="0"/>
    <n v="0"/>
    <n v="0"/>
    <n v="0"/>
    <n v="0"/>
    <s v="-"/>
    <n v="0"/>
    <n v="2"/>
    <n v="0"/>
    <n v="0"/>
    <n v="0"/>
    <n v="0"/>
  </r>
  <r>
    <s v="2026-03-05 00:00:00.000 +0000"/>
    <x v="11"/>
    <s v="Thursday "/>
    <d v="1899-12-30T00:20:02"/>
    <n v="4"/>
    <s v="Roblox"/>
    <x v="17"/>
    <x v="3"/>
    <s v="OUT_OF_TIME"/>
    <n v="0.88888888888888795"/>
    <n v="1"/>
    <n v="0.66666666666666596"/>
    <n v="0.86666666666666603"/>
    <n v="0.72727272727272696"/>
    <n v="1"/>
    <n v="0"/>
    <n v="0"/>
    <n v="0"/>
    <n v="0"/>
    <n v="0"/>
    <n v="0"/>
    <n v="0"/>
    <n v="0"/>
    <n v="0"/>
    <n v="0"/>
    <n v="0"/>
    <n v="0"/>
    <n v="0"/>
    <n v="1"/>
    <n v="0"/>
    <n v="1"/>
    <n v="0"/>
    <n v="1"/>
    <n v="0"/>
    <n v="0"/>
    <n v="0"/>
    <n v="0"/>
    <n v="0"/>
    <n v="0"/>
    <s v="-"/>
    <n v="1"/>
    <n v="4"/>
    <n v="1"/>
    <n v="1"/>
    <n v="1"/>
    <n v="1"/>
  </r>
  <r>
    <s v="2026-03-10 00:00:00.000 +0000"/>
    <x v="11"/>
    <s v="Tuesday  "/>
    <d v="1899-12-30T00:20:00"/>
    <n v="9"/>
    <s v="Cart-astrophe"/>
    <x v="2"/>
    <x v="0"/>
    <s v="COMPLETED"/>
    <n v="0.88888888888888795"/>
    <n v="1"/>
    <n v="0.66666666666666596"/>
    <n v="0.66666666666666596"/>
    <n v="0.54545454545454497"/>
    <n v="0"/>
    <n v="0"/>
    <n v="0"/>
    <n v="0"/>
    <n v="0"/>
    <n v="0"/>
    <n v="0"/>
    <n v="0"/>
    <n v="0"/>
    <n v="0"/>
    <n v="0"/>
    <n v="0"/>
    <n v="0"/>
    <n v="0"/>
    <n v="0"/>
    <n v="0"/>
    <n v="0"/>
    <n v="0"/>
    <n v="0"/>
    <n v="0"/>
    <n v="0"/>
    <n v="0"/>
    <n v="0"/>
    <n v="0"/>
    <n v="0"/>
    <s v="-"/>
    <n v="0"/>
    <n v="0"/>
    <n v="0"/>
    <n v="0"/>
    <n v="0"/>
    <n v="0"/>
  </r>
  <r>
    <s v="2026-03-16 00:00:00.000 +0000"/>
    <x v="11"/>
    <s v="Monday   "/>
    <d v="1899-12-30T00:21:35"/>
    <n v="19"/>
    <s v="Details Matter"/>
    <x v="0"/>
    <x v="0"/>
    <s v="COMPLETED"/>
    <n v="0.55555555555555503"/>
    <n v="0.5"/>
    <n v="0.66666666666666596"/>
    <n v="0.6"/>
    <n v="0.45454545454545398"/>
    <n v="0"/>
    <n v="0"/>
    <n v="0"/>
    <n v="0"/>
    <n v="0"/>
    <n v="0"/>
    <n v="1"/>
    <n v="1"/>
    <n v="0"/>
    <n v="0"/>
    <n v="0"/>
    <n v="0"/>
    <n v="0"/>
    <n v="0"/>
    <n v="1"/>
    <n v="0"/>
    <n v="0"/>
    <n v="0"/>
    <n v="0"/>
    <n v="0"/>
    <n v="0"/>
    <n v="0"/>
    <n v="0"/>
    <n v="0"/>
    <n v="0"/>
    <s v="-"/>
    <n v="1"/>
    <n v="3"/>
    <n v="1"/>
    <n v="1"/>
    <n v="1"/>
    <n v="1"/>
  </r>
  <r>
    <s v="2026-03-16 00:00:00.000 +0000"/>
    <x v="11"/>
    <s v="Monday   "/>
    <d v="1899-12-30T00:15:44"/>
    <n v="16"/>
    <s v="Radio Silence"/>
    <x v="18"/>
    <x v="4"/>
    <s v="COMPLETED"/>
    <n v="0.66666666666666596"/>
    <n v="0"/>
    <n v="0.33333333333333298"/>
    <n v="0.4"/>
    <n v="9.0909090909090898E-2"/>
    <n v="0"/>
    <n v="0"/>
    <n v="0"/>
    <n v="1"/>
    <n v="0"/>
    <n v="0"/>
    <n v="0"/>
    <n v="0"/>
    <n v="0"/>
    <n v="0"/>
    <n v="0"/>
    <n v="0"/>
    <n v="0"/>
    <n v="1"/>
    <n v="0"/>
    <n v="0"/>
    <n v="0"/>
    <n v="0"/>
    <n v="0"/>
    <n v="0"/>
    <n v="0"/>
    <n v="0"/>
    <n v="0"/>
    <n v="0"/>
    <n v="0"/>
    <s v="-"/>
    <n v="0"/>
    <n v="1"/>
    <n v="0"/>
    <n v="0"/>
    <n v="1"/>
    <n v="0"/>
  </r>
  <r>
    <m/>
    <x v="12"/>
    <m/>
    <m/>
    <m/>
    <m/>
    <x v="20"/>
    <x v="5"/>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1">
  <r>
    <d v="2025-04-29T00:00:00"/>
    <x v="0"/>
    <d v="1899-12-30T11:00:00"/>
    <s v="Jamie"/>
    <s v="Options IT"/>
    <n v="17"/>
    <s v="Intro"/>
    <m/>
    <s v="Karan"/>
    <s v="Naz"/>
    <m/>
    <s v="No Score"/>
    <s v="Jamie is Operations team Engineer for Change Release - He has more than 15 years of experience in Option-IT right from first line support engineer to Change manager ._x000a_He covers change mgmt, CAB calls, Operation calls and customer communication during Major Incidents ._x000a_UK and US time has better incident management coverage compared to APAC due to less experienced and junior staff in APAC"/>
    <m/>
    <m/>
    <m/>
    <s v="Attended"/>
    <m/>
    <m/>
    <m/>
    <m/>
    <m/>
  </r>
  <r>
    <d v="2025-04-30T00:00:00"/>
    <x v="0"/>
    <d v="1899-12-30T10:00:00"/>
    <s v="Jack"/>
    <s v="Options IT"/>
    <n v="17"/>
    <s v="Onboarding,Too Good To Be True"/>
    <m/>
    <s v="Joe"/>
    <s v="Karan"/>
    <m/>
    <n v="8"/>
    <s v="He scored 8 since he thought its his performance and since LO was guiding him - he felt he could've done much better . He liked the simulation platform and getting used to Slack ._x000a_For Drill he owuld definitly score 10 "/>
    <n v="4049"/>
    <m/>
    <m/>
    <s v="Attended"/>
    <m/>
    <m/>
    <m/>
    <m/>
    <m/>
  </r>
  <r>
    <d v="2025-04-30T00:00:00"/>
    <x v="0"/>
    <d v="1899-12-30T15:00:00"/>
    <s v="Ritchie"/>
    <s v="Options IT"/>
    <n v="13"/>
    <m/>
    <m/>
    <s v="Naz"/>
    <s v="Rishi"/>
    <m/>
    <m/>
    <m/>
    <m/>
    <m/>
    <m/>
    <s v="No Show"/>
    <s v="He was caught up in a meeting"/>
    <m/>
    <m/>
    <m/>
    <m/>
  </r>
  <r>
    <d v="2025-05-01T00:00:00"/>
    <x v="1"/>
    <d v="1899-12-30T15:30:00"/>
    <s v="Ciara"/>
    <s v="Options IT"/>
    <n v="16"/>
    <s v="Onboarding,Too Good To Be True"/>
    <m/>
    <s v="Naz"/>
    <s v="Rishi"/>
    <m/>
    <n v="9"/>
    <s v="She is a young Technical Support Engineer, handling security and various issues. She found our platform similar to real-life scenarios and liked it, although she may need a bit more time to get used to it. Her confidence level is around 6–7. She has 1.5 years of experience, all within Options IT."/>
    <n v="4085"/>
    <m/>
    <m/>
    <s v="Attended"/>
    <m/>
    <m/>
    <m/>
    <m/>
    <m/>
  </r>
  <r>
    <d v="2025-05-02T00:00:00"/>
    <x v="1"/>
    <d v="1899-12-30T15:00:00"/>
    <s v="Jamie"/>
    <s v="Options IT"/>
    <n v="17"/>
    <m/>
    <m/>
    <m/>
    <m/>
    <m/>
    <m/>
    <m/>
    <m/>
    <m/>
    <m/>
    <s v="Cancelled"/>
    <s v="He has a call during this time"/>
    <m/>
    <m/>
    <m/>
    <m/>
  </r>
  <r>
    <d v="2025-05-07T00:00:00"/>
    <x v="1"/>
    <d v="1899-12-30T10:00:00"/>
    <s v="Jack"/>
    <s v="Options IT"/>
    <n v="17"/>
    <s v="Bez Beatles Day"/>
    <m/>
    <s v="Karan"/>
    <s v="Rishi"/>
    <m/>
    <n v="10"/>
    <s v="Surprise : Senior engineer pushing back can happen in real life "/>
    <n v="4131"/>
    <m/>
    <m/>
    <s v="Attended"/>
    <m/>
    <m/>
    <m/>
    <m/>
    <m/>
  </r>
  <r>
    <d v="2025-05-07T00:00:00"/>
    <x v="1"/>
    <d v="1899-12-30T15:00:00"/>
    <s v="Ritchie"/>
    <s v="Options IT"/>
    <n v="13"/>
    <s v="Intro"/>
    <m/>
    <s v="Karan"/>
    <m/>
    <m/>
    <s v="No Score"/>
    <s v="Ritchie is in IT Options from 7 montsh and has overall 5 year sof experience ._x000a_His role is Tech support engineer and they are client facing , gets information from clients and feed it to tech team - Biggest challenge during P1 is to get the engineers responsible to bring on cal to resolve incident "/>
    <m/>
    <m/>
    <m/>
    <s v="Attended"/>
    <m/>
    <m/>
    <m/>
    <m/>
    <m/>
  </r>
  <r>
    <d v="2025-05-08T00:00:00"/>
    <x v="1"/>
    <d v="1899-12-30T15:30:00"/>
    <s v="Ciara"/>
    <s v="Options IT"/>
    <n v="16"/>
    <s v="Bez Beatles Day"/>
    <m/>
    <s v="Rishi"/>
    <s v="Clara"/>
    <m/>
    <n v="9"/>
    <s v="Good close to reality , bit more difficult than last time. _x000a__x000a_What did the player like or find surprising?_x000a_The way Dan was adamant over his change. _x000a__x000a_Why did she gave this score ? _x000a_Nothing major comments when asked. Getting along with the platform. _x000a_"/>
    <n v="4150"/>
    <m/>
    <m/>
    <s v="Attended"/>
    <m/>
    <m/>
    <m/>
    <m/>
    <m/>
  </r>
  <r>
    <d v="2025-05-12T00:00:00"/>
    <x v="1"/>
    <d v="1899-12-30T13:00:00"/>
    <s v="Jamie"/>
    <s v="Options IT"/>
    <n v="17"/>
    <s v="Too Good To Be True"/>
    <m/>
    <s v="Karan"/>
    <s v="Rishi"/>
    <m/>
    <n v="8"/>
    <s v="Human responses are realistic - _x000a_Impressed with great responses from BOTS - _x000a_Surprise : How speedy the BOTS responded and it was human like ._x000a__x000a_Why 8 ??:_x000a_Options we use different tool set which are different than what we use in Online Boutique - If they can integrate the tools they use in Options IT in OB - That would be great "/>
    <n v="4172"/>
    <m/>
    <m/>
    <s v="Attended"/>
    <m/>
    <m/>
    <m/>
    <m/>
    <m/>
  </r>
  <r>
    <d v="2025-05-14T00:00:00"/>
    <x v="1"/>
    <d v="1899-12-30T10:00:00"/>
    <s v="Jack"/>
    <s v="Options IT"/>
    <n v="17"/>
    <m/>
    <m/>
    <m/>
    <m/>
    <m/>
    <m/>
    <m/>
    <m/>
    <m/>
    <m/>
    <s v="Internal Reschedule/Cancellation"/>
    <s v="Due to conference"/>
    <m/>
    <m/>
    <m/>
    <m/>
  </r>
  <r>
    <d v="2025-05-14T00:00:00"/>
    <x v="1"/>
    <d v="1899-12-30T15:00:00"/>
    <s v="Ritchie"/>
    <s v="Options IT"/>
    <n v="13"/>
    <m/>
    <m/>
    <m/>
    <m/>
    <m/>
    <m/>
    <m/>
    <m/>
    <m/>
    <m/>
    <s v="Internal Reschedule/Cancellation"/>
    <s v="Due to conference"/>
    <m/>
    <m/>
    <m/>
    <m/>
  </r>
  <r>
    <d v="2025-05-15T00:00:00"/>
    <x v="1"/>
    <d v="1899-12-30T15:30:00"/>
    <s v="Ciara"/>
    <s v="Options IT"/>
    <n v="16"/>
    <m/>
    <m/>
    <m/>
    <m/>
    <m/>
    <m/>
    <m/>
    <m/>
    <m/>
    <m/>
    <s v="Internal Reschedule/Cancellation"/>
    <s v="Due to conference"/>
    <m/>
    <m/>
    <m/>
    <m/>
  </r>
  <r>
    <d v="2025-05-16T00:00:00"/>
    <x v="1"/>
    <d v="1899-12-30T15:30:00"/>
    <s v="Zach"/>
    <s v="Options IT"/>
    <n v="8"/>
    <s v="Intro,Onboarding,Too Good To Be True"/>
    <m/>
    <s v="Naz"/>
    <s v="Conail"/>
    <m/>
    <n v="10"/>
    <s v="He likes the platform. He is going to use the platform and looking forward to play more drills_x000a_"/>
    <n v="4271"/>
    <m/>
    <m/>
    <s v="Attended"/>
    <m/>
    <m/>
    <m/>
    <m/>
    <m/>
  </r>
  <r>
    <d v="2025-05-19T00:00:00"/>
    <x v="1"/>
    <d v="1899-12-30T13:00:00"/>
    <s v="Jamie"/>
    <s v="Options IT"/>
    <n v="17"/>
    <s v="Bez Beatles Day"/>
    <m/>
    <s v="Karan"/>
    <s v="Rishi"/>
    <m/>
    <n v="8"/>
    <s v="It was stress-ful - a lot to think about - Like the human element of it due to resistance to roll back ._x000a_Why 8 : _x000a_He might not be absolute demography for this since he is seasoned Incident manager - He would give 10 if he learn something new - In this specific incident he didn't learn anything new"/>
    <n v="4275"/>
    <m/>
    <m/>
    <s v="Attended"/>
    <m/>
    <m/>
    <m/>
    <m/>
    <m/>
  </r>
  <r>
    <d v="2025-05-21T00:00:00"/>
    <x v="1"/>
    <d v="1899-12-30T10:00:00"/>
    <s v="Jack"/>
    <s v="Options IT"/>
    <n v="17"/>
    <m/>
    <m/>
    <m/>
    <m/>
    <m/>
    <m/>
    <m/>
    <m/>
    <m/>
    <m/>
    <s v="Cancelled"/>
    <s v="He is OOO"/>
    <m/>
    <m/>
    <m/>
    <m/>
  </r>
  <r>
    <d v="2025-05-21T00:00:00"/>
    <x v="1"/>
    <d v="1899-12-30T15:00:00"/>
    <s v="Ritchie"/>
    <s v="Options IT"/>
    <n v="13"/>
    <s v="Onboarding,Too Good To Be True"/>
    <m/>
    <s v="Karan"/>
    <s v="Naz"/>
    <m/>
    <n v="9"/>
    <s v="Much better than what i was expecting - Surprised with the fact that the character responses are so relevant ._x000a_What can we do to make it 10 :_x000a_Slight confusion of being overwhelmed with too many tasks - this might change once i get familiar with platform "/>
    <n v="4315"/>
    <m/>
    <m/>
    <s v="Attended"/>
    <m/>
    <m/>
    <m/>
    <m/>
    <m/>
  </r>
  <r>
    <d v="2025-05-22T00:00:00"/>
    <x v="1"/>
    <d v="1899-12-30T15:30:00"/>
    <s v="Ciara"/>
    <s v="Options IT"/>
    <n v="16"/>
    <s v="The Big Investors"/>
    <m/>
    <s v="Rishi"/>
    <s v="Charlene"/>
    <m/>
    <n v="10"/>
    <s v="Enjoying it, and good to experience how it's getting more challenging every week. She finds it realistic and the drill's resemblance to real-life at work as well. "/>
    <n v="4332"/>
    <m/>
    <m/>
    <s v="Attended"/>
    <m/>
    <m/>
    <m/>
    <m/>
    <m/>
  </r>
  <r>
    <d v="2025-05-23T00:00:00"/>
    <x v="1"/>
    <d v="1899-12-30T15:30:00"/>
    <s v="Zach"/>
    <s v="Options IT"/>
    <n v="8"/>
    <m/>
    <m/>
    <m/>
    <m/>
    <m/>
    <m/>
    <m/>
    <m/>
    <m/>
    <m/>
    <s v="Cancelled"/>
    <s v="He is OOO"/>
    <m/>
    <m/>
    <m/>
    <m/>
  </r>
  <r>
    <d v="2025-05-28T00:00:00"/>
    <x v="1"/>
    <d v="1899-12-30T10:00:00"/>
    <s v="Jack"/>
    <s v="Options IT"/>
    <n v="17"/>
    <s v="The Big Investors"/>
    <m/>
    <s v="Karan"/>
    <s v="Ed"/>
    <m/>
    <n v="9"/>
    <s v="What could make it 10 ?_x000a__x000a_I think, it was probably a 10  - i put 9 because that he should have picked it up well but he should have used team to do the job"/>
    <n v="4370"/>
    <m/>
    <m/>
    <s v="Attended"/>
    <m/>
    <m/>
    <m/>
    <m/>
    <m/>
  </r>
  <r>
    <d v="2025-05-28T00:00:00"/>
    <x v="1"/>
    <d v="1899-12-30T15:00:00"/>
    <s v="Ritchie"/>
    <s v="Options IT"/>
    <n v="13"/>
    <m/>
    <m/>
    <s v="Rishi"/>
    <s v="Karan"/>
    <m/>
    <m/>
    <m/>
    <m/>
    <m/>
    <m/>
    <s v="Late Cancellation"/>
    <s v="Rishi and Karan were already in the call"/>
    <m/>
    <m/>
    <m/>
    <m/>
  </r>
  <r>
    <d v="2025-05-29T00:00:00"/>
    <x v="1"/>
    <d v="1899-12-30T15:30:00"/>
    <s v="Ciara"/>
    <s v="Options IT"/>
    <n v="16"/>
    <s v="Rumours"/>
    <m/>
    <s v="Rishi"/>
    <s v="Ed"/>
    <m/>
    <n v="8"/>
    <s v="Liking the overall setup of tools and dashboards. _x000a_Why 8?_x000a_She was rating the drill as it was just for a single user. Earlier ones were impacting regions or the global scale. "/>
    <n v="4391"/>
    <m/>
    <m/>
    <s v="Attended"/>
    <m/>
    <m/>
    <m/>
    <m/>
    <m/>
  </r>
  <r>
    <d v="2025-05-30T00:00:00"/>
    <x v="1"/>
    <d v="1899-12-30T15:30:00"/>
    <s v="Zach"/>
    <s v="Options IT"/>
    <n v="8"/>
    <m/>
    <m/>
    <s v="Ed"/>
    <s v="Rishi"/>
    <m/>
    <m/>
    <m/>
    <m/>
    <m/>
    <m/>
    <s v="Late Cancellation"/>
    <s v="can't join"/>
    <m/>
    <m/>
    <m/>
    <m/>
  </r>
  <r>
    <d v="2025-06-02T00:00:00"/>
    <x v="2"/>
    <d v="1899-12-30T13:00:00"/>
    <s v="Jamie"/>
    <s v="Options IT"/>
    <n v="17"/>
    <m/>
    <m/>
    <m/>
    <m/>
    <m/>
    <m/>
    <m/>
    <m/>
    <m/>
    <m/>
    <s v="Early Cancellation"/>
    <s v="He is OOO"/>
    <m/>
    <m/>
    <m/>
    <m/>
  </r>
  <r>
    <d v="2025-06-04T00:00:00"/>
    <x v="2"/>
    <d v="1899-12-30T10:00:00"/>
    <s v="Jack"/>
    <s v="Options IT"/>
    <n v="17"/>
    <m/>
    <m/>
    <m/>
    <m/>
    <m/>
    <m/>
    <m/>
    <m/>
    <m/>
    <m/>
    <s v="Cancelled"/>
    <s v="There's a live issue"/>
    <m/>
    <m/>
    <m/>
    <m/>
  </r>
  <r>
    <d v="2025-06-04T00:00:00"/>
    <x v="2"/>
    <d v="1899-12-30T15:00:00"/>
    <s v="Ritchie"/>
    <s v="Options IT"/>
    <n v="13"/>
    <s v="Bez Beatles Day"/>
    <m/>
    <s v="Karan"/>
    <s v="Charlene"/>
    <m/>
    <n v="9"/>
    <s v="Interesting how some engineers can push back - Felt realistic ._x000a__x000a_Surprise : I thought tough to tell senior engineer to tell to look back at their work ._x000a_Why 9 ?_x000a__x000a_Nothing comes to my mind - I could give a 10 "/>
    <n v="4474"/>
    <m/>
    <m/>
    <s v="Attended"/>
    <m/>
    <s v="INC-229 Drill Kubernetes Dashboard not registering in teleport"/>
    <s v="checked"/>
    <s v="The k8s dashboard doesn't show up in teleport._x000a_We need to add states"/>
    <m/>
  </r>
  <r>
    <d v="2025-06-05T00:00:00"/>
    <x v="2"/>
    <d v="1899-12-30T15:30:00"/>
    <s v="Ciara"/>
    <s v="Options IT"/>
    <n v="16"/>
    <m/>
    <m/>
    <m/>
    <m/>
    <m/>
    <m/>
    <m/>
    <m/>
    <m/>
    <m/>
    <s v="Rescheduled"/>
    <s v="Asked to reschedule the following day"/>
    <m/>
    <m/>
    <m/>
    <m/>
  </r>
  <r>
    <d v="2025-06-06T00:00:00"/>
    <x v="2"/>
    <d v="1899-12-30T12:00:00"/>
    <s v="Ciara"/>
    <s v="Options IT"/>
    <n v="16"/>
    <s v="Radio Silence"/>
    <m/>
    <s v="Rishi"/>
    <s v="Drew"/>
    <m/>
    <n v="10"/>
    <s v="She observed Tanya's unresponsiveness. Liked the different scenario as it brings different experience every time"/>
    <n v="4500"/>
    <m/>
    <m/>
    <s v="Attended"/>
    <m/>
    <m/>
    <m/>
    <m/>
    <m/>
  </r>
  <r>
    <d v="2025-06-06T00:00:00"/>
    <x v="2"/>
    <d v="1899-12-30T15:30:00"/>
    <s v="Zach"/>
    <s v="Options IT"/>
    <n v="8"/>
    <s v="Bez Beatles Day"/>
    <m/>
    <s v="Ed"/>
    <s v="Karan"/>
    <m/>
    <n v="10"/>
    <s v="He thinks drill do very well as for what they are designed for. He is looking forward to his next session"/>
    <n v="4504"/>
    <m/>
    <m/>
    <s v="Attended"/>
    <m/>
    <m/>
    <m/>
    <m/>
    <m/>
  </r>
  <r>
    <d v="2025-06-09T00:00:00"/>
    <x v="2"/>
    <d v="1899-12-30T13:00:00"/>
    <s v="Jamie"/>
    <s v="Options IT"/>
    <n v="17"/>
    <s v="The Big Investors"/>
    <m/>
    <s v="Rishi"/>
    <s v="Leon"/>
    <m/>
    <n v="10"/>
    <s v="its good. He liked the push of not getting something easily as it was not caused due to a change. And he wants to play more sort of these drills where change is not a culprit. "/>
    <n v="4514"/>
    <m/>
    <m/>
    <s v="Attended"/>
    <m/>
    <m/>
    <m/>
    <m/>
    <m/>
  </r>
  <r>
    <d v="2025-06-11T00:00:00"/>
    <x v="2"/>
    <d v="1899-12-30T10:00:00"/>
    <s v="Jack"/>
    <s v="Options IT"/>
    <n v="17"/>
    <s v="Rumours"/>
    <m/>
    <s v="Ed"/>
    <s v="Joe"/>
    <m/>
    <n v="10"/>
    <s v="_x000a_He needs to focus on impact assessment (nail that over the next 1 or 2 drills) - didn't spot the local issue quickly in Rumours_x000a__x000a_Enjoyed the session, find it useful to practice drills once a week especially since they are booked into the calendar_x000a__x000a_My notes (Joe)_x000a_* happy to play week, but i recomemended after baout 6, we will reduce the cadence to fortnighlty_x000a_* he did ask about a profile session (i suggest he gets in the next 1 or 2 sesssion)_x000a_"/>
    <n v="4540"/>
    <m/>
    <m/>
    <s v="Attended"/>
    <m/>
    <m/>
    <m/>
    <m/>
    <m/>
  </r>
  <r>
    <d v="2025-06-11T00:00:00"/>
    <x v="2"/>
    <d v="1899-12-30T15:00:00"/>
    <s v="Ritchie"/>
    <s v="Options IT"/>
    <n v="13"/>
    <s v="The Big Investors"/>
    <m/>
    <s v="Rishi"/>
    <s v="Drew"/>
    <m/>
    <n v="8"/>
    <s v="Why 8 ? _x000a_He liked the experience but mentioned it to be very similar to the previous one - same error and same issues (Daniel) , that's why less challenging than earlier one. _x000a__x000a_"/>
    <n v="4548"/>
    <m/>
    <m/>
    <s v="Attended"/>
    <m/>
    <m/>
    <s v="checked"/>
    <s v="When op console froze for about 40 seconds during a CS session, character messages or stars weren't getting sent on time due to it"/>
    <m/>
  </r>
  <r>
    <d v="2025-06-12T00:00:00"/>
    <x v="2"/>
    <d v="1899-12-30T15:30:00"/>
    <s v="Ciara"/>
    <s v="Options IT"/>
    <n v="16"/>
    <m/>
    <m/>
    <m/>
    <m/>
    <s v="Next session: Missing Delivery"/>
    <m/>
    <m/>
    <m/>
    <m/>
    <m/>
    <s v="Rescheduled"/>
    <s v="Did not provide any reason"/>
    <m/>
    <m/>
    <m/>
    <m/>
  </r>
  <r>
    <d v="2025-06-13T00:00:00"/>
    <x v="2"/>
    <d v="1899-12-30T12:00:00"/>
    <s v="Ciara"/>
    <s v="Options IT"/>
    <n v="16"/>
    <s v="Missing Delivery"/>
    <m/>
    <s v="Charlene"/>
    <s v="Juan"/>
    <m/>
    <n v="10"/>
    <s v="She enjoyed the session liked that it was different from other drills she's played as it wasn't changed related. Her confidence seems to have risen as she's engaging with the characters really well, just mentioned she needs to focus now on the business comms."/>
    <n v="4586"/>
    <m/>
    <m/>
    <s v="Attended"/>
    <m/>
    <m/>
    <m/>
    <m/>
    <m/>
  </r>
  <r>
    <d v="2025-06-13T00:00:00"/>
    <x v="2"/>
    <d v="1899-12-30T15:30:00"/>
    <s v="Zach"/>
    <s v="Options IT"/>
    <n v="8"/>
    <m/>
    <m/>
    <m/>
    <m/>
    <m/>
    <m/>
    <m/>
    <m/>
    <m/>
    <m/>
    <s v="Cancelled"/>
    <m/>
    <m/>
    <m/>
    <m/>
    <m/>
  </r>
  <r>
    <d v="2025-06-16T00:00:00"/>
    <x v="2"/>
    <d v="1899-12-30T13:00:00"/>
    <s v="Jamie"/>
    <s v="Options IT"/>
    <n v="17"/>
    <m/>
    <m/>
    <m/>
    <m/>
    <m/>
    <m/>
    <m/>
    <m/>
    <m/>
    <m/>
    <s v="Cancelled"/>
    <s v="Something has come up and won't be able to join the session today."/>
    <m/>
    <m/>
    <m/>
    <m/>
  </r>
  <r>
    <d v="2025-06-18T00:00:00"/>
    <x v="2"/>
    <d v="1899-12-30T10:00:00"/>
    <s v="Jack"/>
    <s v="Options IT"/>
    <n v="17"/>
    <s v="Missing Delivery"/>
    <m/>
    <s v="Ed"/>
    <s v="Karan"/>
    <s v="Added some notes for his next session"/>
    <n v="10"/>
    <s v="He liked the drill, and he is looking forward to trying Missing delivery +. Also, he is keen to know where he sits within the team/company_x000a__x000a_feedback on Jack that we can note for the coaching_x000a_Peter recommended that we help Jack with practicing facts over opinion (validating advice, feedback from the investigating Devs)"/>
    <n v="4624"/>
    <m/>
    <m/>
    <s v="Attended"/>
    <m/>
    <m/>
    <m/>
    <m/>
    <m/>
  </r>
  <r>
    <d v="2025-06-18T00:00:00"/>
    <x v="2"/>
    <d v="1899-12-30T15:00:00"/>
    <s v="Ritchie"/>
    <s v="Options IT"/>
    <n v="13"/>
    <m/>
    <m/>
    <m/>
    <m/>
    <m/>
    <m/>
    <m/>
    <m/>
    <m/>
    <m/>
    <s v="Cancelled"/>
    <s v="Did not provide any reason"/>
    <m/>
    <m/>
    <m/>
    <m/>
  </r>
  <r>
    <d v="2025-06-18T00:00:00"/>
    <x v="2"/>
    <d v="1899-12-30T16:00:00"/>
    <s v="Account Meeting"/>
    <s v="Options IT"/>
    <m/>
    <s v="Account Meeting"/>
    <m/>
    <m/>
    <m/>
    <m/>
    <m/>
    <m/>
    <m/>
    <m/>
    <m/>
    <m/>
    <m/>
    <m/>
    <m/>
    <m/>
    <m/>
  </r>
  <r>
    <d v="2025-06-19T00:00:00"/>
    <x v="2"/>
    <d v="1899-12-30T15:30:00"/>
    <s v="Ciara"/>
    <s v="Options IT"/>
    <n v="16"/>
    <m/>
    <m/>
    <m/>
    <m/>
    <m/>
    <m/>
    <m/>
    <m/>
    <m/>
    <m/>
    <s v="Cancelled"/>
    <m/>
    <m/>
    <m/>
    <m/>
    <m/>
  </r>
  <r>
    <d v="2025-06-20T00:00:00"/>
    <x v="2"/>
    <d v="1899-12-30T15:30:00"/>
    <s v="Zach"/>
    <s v="Options IT"/>
    <n v="8"/>
    <m/>
    <m/>
    <m/>
    <m/>
    <m/>
    <m/>
    <m/>
    <m/>
    <m/>
    <m/>
    <s v="Cancelled"/>
    <s v="He declined invite"/>
    <m/>
    <m/>
    <m/>
    <m/>
  </r>
  <r>
    <d v="2025-06-23T00:00:00"/>
    <x v="2"/>
    <d v="1899-12-30T13:00:00"/>
    <s v="Jamie"/>
    <s v="Options IT"/>
    <n v="17"/>
    <s v="Rumours"/>
    <m/>
    <s v="Ed"/>
    <s v="Karan"/>
    <m/>
    <n v="10"/>
    <s v="It was a nice and short drill, after dealing with so many P1's, and nice to remember that sometimes you don't need to over-engineer things and go with the obvious solution"/>
    <n v="4666"/>
    <m/>
    <m/>
    <s v="Attended"/>
    <m/>
    <m/>
    <m/>
    <m/>
    <m/>
  </r>
  <r>
    <d v="2025-06-23T00:00:00"/>
    <x v="2"/>
    <d v="1899-12-30T16:15:00"/>
    <s v="Ciara"/>
    <s v="Options IT"/>
    <n v="16"/>
    <m/>
    <m/>
    <s v="Rishi"/>
    <s v="Maram"/>
    <s v="Move to every 2 weeks"/>
    <m/>
    <m/>
    <m/>
    <m/>
    <m/>
    <s v="Late Cancellation"/>
    <s v="She had a meeting that overran and mentioned she would join as soon as possible, but she still asked to reschedule."/>
    <m/>
    <m/>
    <m/>
    <m/>
  </r>
  <r>
    <d v="2025-06-25T00:00:00"/>
    <x v="2"/>
    <d v="1899-12-30T10:00:00"/>
    <s v="Jack"/>
    <s v="Options IT"/>
    <n v="17"/>
    <s v="Radio Silence"/>
    <m/>
    <s v="Ed"/>
    <s v="Karan"/>
    <m/>
    <n v="10"/>
    <s v="The drill was interesting, but the error he saw during the JYP checkout threw him off. Drill does a good job of mimicking people being unavailable and on PTO"/>
    <n v="4707"/>
    <m/>
    <m/>
    <s v="Attended"/>
    <m/>
    <s v="INC-242 Radio silence JYP currency error"/>
    <s v="checked"/>
    <s v="error while trying to checkout using JYP currency, waiting for recording to proccess to create a ticket_x000a_"/>
    <m/>
  </r>
  <r>
    <d v="2025-06-25T00:00:00"/>
    <x v="2"/>
    <d v="1899-12-30T15:00:00"/>
    <s v="Ritchie"/>
    <s v="Options IT"/>
    <n v="13"/>
    <s v="Rumours"/>
    <m/>
    <s v="Ed"/>
    <s v="Matthew"/>
    <s v="Solo lead operator experiment"/>
    <n v="10"/>
    <s v="He liked the drill since it was different compared to the previous 3 drills. The drill had an isolated issue, which was a pleasant surprise"/>
    <n v="4714"/>
    <m/>
    <m/>
    <s v="Attended"/>
    <m/>
    <m/>
    <m/>
    <m/>
    <m/>
  </r>
  <r>
    <d v="2025-06-27T00:00:00"/>
    <x v="2"/>
    <d v="1899-12-30T10:30:00"/>
    <s v="Peter"/>
    <s v="Options IT"/>
    <m/>
    <s v="Demo"/>
    <m/>
    <s v="Joe"/>
    <s v="Leon"/>
    <m/>
    <m/>
    <m/>
    <n v="4739"/>
    <m/>
    <m/>
    <s v="Attended"/>
    <m/>
    <m/>
    <m/>
    <m/>
    <m/>
  </r>
  <r>
    <d v="2025-06-27T00:00:00"/>
    <x v="2"/>
    <d v="1899-12-30T15:30:00"/>
    <s v="Zach"/>
    <s v="Options IT"/>
    <n v="8"/>
    <m/>
    <m/>
    <m/>
    <m/>
    <m/>
    <m/>
    <m/>
    <m/>
    <m/>
    <m/>
    <s v="Late Cancellation"/>
    <s v="He will speak with his team about possibly adjusting his schedule or withdrawing from sessions."/>
    <m/>
    <m/>
    <m/>
    <m/>
  </r>
  <r>
    <d v="2025-06-30T00:00:00"/>
    <x v="2"/>
    <d v="1899-12-30T13:00:00"/>
    <s v="Jamie"/>
    <s v="Options IT"/>
    <n v="17"/>
    <m/>
    <m/>
    <m/>
    <m/>
    <m/>
    <m/>
    <m/>
    <m/>
    <m/>
    <m/>
    <s v="Cancelled"/>
    <s v="He is OOO"/>
    <m/>
    <m/>
    <m/>
    <m/>
  </r>
  <r>
    <d v="2025-07-02T00:00:00"/>
    <x v="3"/>
    <d v="1899-12-30T10:00:00"/>
    <s v="Jack"/>
    <s v="Options IT"/>
    <n v="17"/>
    <m/>
    <m/>
    <m/>
    <m/>
    <s v="Move to every 2 weeks"/>
    <m/>
    <m/>
    <m/>
    <m/>
    <m/>
    <s v="Cancelled"/>
    <s v="He asked to cancel and did not provide any reason."/>
    <m/>
    <m/>
    <m/>
    <m/>
  </r>
  <r>
    <d v="2025-07-02T00:00:00"/>
    <x v="3"/>
    <d v="1899-12-30T15:00:00"/>
    <s v="Ritchie"/>
    <s v="Options IT"/>
    <n v="13"/>
    <s v="Profile Report"/>
    <m/>
    <s v="Ed"/>
    <m/>
    <s v="Follow Jack session"/>
    <n v="4"/>
    <s v="Reason why 4_x000a__x000a_a lot that was mentioned in profile report session was covered during the 2nd session, this made session repetative._x000a__x000a_If more time had passed this session would have been a better use of time"/>
    <m/>
    <m/>
    <m/>
    <s v="Attended"/>
    <m/>
    <m/>
    <m/>
    <m/>
    <m/>
  </r>
  <r>
    <d v="2025-07-03T00:00:00"/>
    <x v="3"/>
    <d v="1899-12-30T10:00:00"/>
    <s v="Peter"/>
    <s v="Options IT"/>
    <m/>
    <s v="Demo,Memory Lane"/>
    <m/>
    <s v="Joe"/>
    <s v="Leon"/>
    <m/>
    <n v="10"/>
    <s v="The engineers were almost re-learning the architecture as the drill progressed, maps with reality a lot of the time_x000a__x000a_enjoyed it and liked the 'don't delete log files aspect' he said thats super important in his world...  you don't delete anything in the finanical world.... so he likes the idea that everyone who joins uptimelabs will have an opportunity to learn that experience."/>
    <n v="4819"/>
    <m/>
    <m/>
    <s v="Attended"/>
    <m/>
    <m/>
    <m/>
    <m/>
    <m/>
  </r>
  <r>
    <d v="2025-07-03T00:00:00"/>
    <x v="3"/>
    <d v="1899-12-30T15:30:00"/>
    <s v="Ciara"/>
    <s v="Options IT"/>
    <n v="16"/>
    <m/>
    <m/>
    <s v="Rishi"/>
    <s v="Ed"/>
    <m/>
    <m/>
    <m/>
    <m/>
    <m/>
    <m/>
    <s v="No Show"/>
    <m/>
    <m/>
    <m/>
    <m/>
    <m/>
  </r>
  <r>
    <d v="2025-07-04T00:00:00"/>
    <x v="3"/>
    <d v="1899-12-30T15:30:00"/>
    <s v="Zach"/>
    <s v="Options IT"/>
    <n v="8"/>
    <m/>
    <m/>
    <s v="Drew"/>
    <s v="Ed"/>
    <m/>
    <m/>
    <m/>
    <m/>
    <m/>
    <m/>
    <s v="Late Cancellation"/>
    <m/>
    <m/>
    <m/>
    <m/>
    <m/>
  </r>
  <r>
    <d v="2025-07-07T00:00:00"/>
    <x v="3"/>
    <d v="1899-12-30T13:00:00"/>
    <s v="Jamie"/>
    <s v="Options IT"/>
    <n v="17"/>
    <s v="Missing Delivery"/>
    <m/>
    <s v="Karan"/>
    <s v="Maram"/>
    <m/>
    <n v="10"/>
    <s v="Quite stressfull - I thought it is interesting since we got options to rollback ._x000a_Log messages were usefull - and great to see all characters and error messages being accurate"/>
    <n v="4853"/>
    <m/>
    <m/>
    <s v="Attended"/>
    <m/>
    <m/>
    <m/>
    <m/>
    <m/>
  </r>
  <r>
    <d v="2025-07-09T00:00:00"/>
    <x v="3"/>
    <d v="1899-12-30T10:00:00"/>
    <s v="Jack"/>
    <s v="Options IT"/>
    <n v="17"/>
    <s v="Roblox"/>
    <m/>
    <s v="Matthew"/>
    <s v="Charlene"/>
    <m/>
    <n v="7"/>
    <s v="Liked the drill but gave a 7 because he didn't know that he could have contacted the network team so this was annoying for himself."/>
    <n v="4896"/>
    <m/>
    <m/>
    <s v="Attended"/>
    <m/>
    <m/>
    <m/>
    <m/>
    <m/>
  </r>
  <r>
    <d v="2025-07-09T00:00:00"/>
    <x v="3"/>
    <d v="1899-12-30T15:00:00"/>
    <s v="Ritchie"/>
    <s v="Options IT"/>
    <n v="13"/>
    <m/>
    <m/>
    <m/>
    <m/>
    <s v="Move to every 2 weeks"/>
    <m/>
    <m/>
    <m/>
    <m/>
    <m/>
    <s v="Cancelled"/>
    <s v="He's busy at work"/>
    <m/>
    <m/>
    <m/>
    <m/>
  </r>
  <r>
    <d v="2025-07-10T00:00:00"/>
    <x v="3"/>
    <d v="1899-12-30T15:30:00"/>
    <s v="Ciara"/>
    <s v="Options IT"/>
    <n v="16"/>
    <m/>
    <m/>
    <m/>
    <m/>
    <s v="Move to every 2 weeks"/>
    <m/>
    <m/>
    <m/>
    <m/>
    <m/>
    <s v="Rescheduled"/>
    <m/>
    <m/>
    <m/>
    <m/>
    <m/>
  </r>
  <r>
    <d v="2025-07-11T00:00:00"/>
    <x v="3"/>
    <d v="1899-12-30T11:00:00"/>
    <s v="Ciara"/>
    <s v="Options IT"/>
    <n v="16"/>
    <s v="Roblox"/>
    <m/>
    <s v="Charlene"/>
    <s v="Leon"/>
    <m/>
    <n v="10"/>
    <s v="She enjoyed this drill a lot compared to previous drills"/>
    <n v="4951"/>
    <m/>
    <m/>
    <s v="Attended"/>
    <m/>
    <m/>
    <m/>
    <m/>
    <m/>
  </r>
  <r>
    <d v="2025-07-11T00:00:00"/>
    <x v="3"/>
    <d v="1899-12-30T15:30:00"/>
    <s v="Zach"/>
    <s v="Options IT"/>
    <n v="8"/>
    <m/>
    <m/>
    <m/>
    <m/>
    <m/>
    <m/>
    <m/>
    <m/>
    <m/>
    <m/>
    <s v="Cancelled"/>
    <s v="He is OOO until July 15"/>
    <m/>
    <m/>
    <m/>
    <m/>
  </r>
  <r>
    <d v="2025-07-14T00:00:00"/>
    <x v="3"/>
    <d v="1899-12-30T13:00:00"/>
    <s v="Jamie"/>
    <s v="Options IT"/>
    <n v="17"/>
    <m/>
    <m/>
    <m/>
    <m/>
    <s v="Move to every 2 weeks"/>
    <m/>
    <m/>
    <m/>
    <m/>
    <m/>
    <s v="Rescheduled"/>
    <s v="He is online but he has a few things to do."/>
    <m/>
    <m/>
    <m/>
    <m/>
  </r>
  <r>
    <d v="2025-07-16T00:00:00"/>
    <x v="3"/>
    <d v="1899-12-30T10:00:00"/>
    <s v="Jack"/>
    <s v="Options IT"/>
    <n v="17"/>
    <m/>
    <m/>
    <m/>
    <m/>
    <m/>
    <m/>
    <m/>
    <m/>
    <m/>
    <m/>
    <s v="Cancelled"/>
    <s v="He has an on-going project work."/>
    <m/>
    <m/>
    <m/>
    <m/>
  </r>
  <r>
    <d v="2025-07-16T00:00:00"/>
    <x v="3"/>
    <d v="1899-12-30T15:00:00"/>
    <s v="Ritchie"/>
    <s v="Options IT"/>
    <n v="13"/>
    <s v="Missing Delivery"/>
    <m/>
    <s v="Ed"/>
    <s v="Charlene"/>
    <s v="Move to every 2 weeks"/>
    <n v="10"/>
    <s v="He said that this drill was better than the previous one, it's more relatable to what they do at work. Also he only had 30 minutes for ful indepth analysis due tomeeting clash"/>
    <n v="5022"/>
    <m/>
    <m/>
    <s v="Attended"/>
    <m/>
    <m/>
    <m/>
    <m/>
    <m/>
  </r>
  <r>
    <d v="2025-07-17T00:00:00"/>
    <x v="3"/>
    <d v="1899-12-30T10:00:00"/>
    <s v="Jamie"/>
    <s v="Options IT"/>
    <n v="17"/>
    <s v="Radio Silence"/>
    <m/>
    <s v="Karan"/>
    <s v="Naz"/>
    <s v="Move to every 2 weeks"/>
    <n v="10"/>
    <s v="Was stressed that we cannot see the issue ._x000a_Why 10 ?_x000a__x000a_Its great to have a scenario which is not direct customer impact but definately a tech issue"/>
    <n v="5040"/>
    <m/>
    <m/>
    <s v="Attended"/>
    <m/>
    <m/>
    <m/>
    <m/>
    <m/>
  </r>
  <r>
    <d v="2025-07-18T00:00:00"/>
    <x v="3"/>
    <d v="1899-12-30T15:30:00"/>
    <s v="Zach"/>
    <s v="Options IT"/>
    <n v="8"/>
    <m/>
    <m/>
    <s v="Rishi"/>
    <m/>
    <m/>
    <m/>
    <m/>
    <m/>
    <m/>
    <m/>
    <s v="No Show"/>
    <s v="Pinged him at the 5-minute waiting mark and received an OOO prompt."/>
    <m/>
    <m/>
    <m/>
    <m/>
  </r>
  <r>
    <d v="2025-07-21T00:00:00"/>
    <x v="3"/>
    <d v="1899-12-30T13:00:00"/>
    <s v="Jamie"/>
    <s v="Options IT"/>
    <n v="17"/>
    <m/>
    <m/>
    <m/>
    <m/>
    <s v="Move to every 2 weeks"/>
    <m/>
    <m/>
    <m/>
    <m/>
    <m/>
    <s v="Rescheduled"/>
    <s v="Moved schedule to Tuesdays"/>
    <m/>
    <m/>
    <m/>
    <m/>
  </r>
  <r>
    <d v="2025-07-22T00:00:00"/>
    <x v="3"/>
    <d v="1899-12-30T10:00:00"/>
    <s v="Jamie"/>
    <s v="Options IT"/>
    <n v="17"/>
    <s v="Roblox"/>
    <m/>
    <s v="Rishi"/>
    <s v="Karan"/>
    <s v="Move to every 2 weeks"/>
    <n v="10"/>
    <s v="Stressful. Learned the lesson of prioritization by doing impact analysis. "/>
    <n v="5096"/>
    <m/>
    <m/>
    <s v="Attended"/>
    <m/>
    <m/>
    <m/>
    <m/>
    <m/>
  </r>
  <r>
    <d v="2025-07-23T00:00:00"/>
    <x v="3"/>
    <d v="1899-12-30T10:00:00"/>
    <s v="Jack"/>
    <s v="Options IT"/>
    <n v="17"/>
    <s v="Grounding Workshop"/>
    <m/>
    <s v="Joe"/>
    <m/>
    <s v="Had only grounding with Joe, will have a session next week"/>
    <n v="10"/>
    <s v="Grounding... shared hte content - he is going to try practice in the next couple of drills._x000a_I also told him to focus on impact assessment in the first 5-10mins of each dirll (metrics, reproducign the error and asking probing questiosn to bob)_x000a__x000a_I also told him we will line him up for challenge drill i Sept (note he going off to get married at the end of the Sept)_x000a__x000a_I also said we will look at seeing how far/close he is to getting certificated_x000a_"/>
    <n v="5115"/>
    <m/>
    <m/>
    <s v="Attended"/>
    <m/>
    <m/>
    <m/>
    <m/>
    <m/>
  </r>
  <r>
    <d v="2025-07-23T00:00:00"/>
    <x v="3"/>
    <d v="1899-12-30T15:00:00"/>
    <s v="Ritchie"/>
    <s v="Options IT"/>
    <n v="13"/>
    <m/>
    <m/>
    <m/>
    <m/>
    <m/>
    <m/>
    <m/>
    <m/>
    <m/>
    <m/>
    <s v="Rescheduled"/>
    <m/>
    <m/>
    <m/>
    <m/>
    <m/>
  </r>
  <r>
    <d v="2025-07-25T00:00:00"/>
    <x v="3"/>
    <d v="1899-12-30T11:00:00"/>
    <s v="Ciara"/>
    <s v="Options IT"/>
    <n v="16"/>
    <m/>
    <m/>
    <m/>
    <m/>
    <m/>
    <m/>
    <m/>
    <m/>
    <m/>
    <m/>
    <s v="Cancelled"/>
    <s v="She is OOO"/>
    <m/>
    <m/>
    <m/>
    <m/>
  </r>
  <r>
    <d v="2025-07-25T00:00:00"/>
    <x v="3"/>
    <d v="1899-12-30T15:30:00"/>
    <s v="Zach"/>
    <s v="Options IT"/>
    <n v="8"/>
    <m/>
    <m/>
    <m/>
    <m/>
    <m/>
    <m/>
    <m/>
    <m/>
    <m/>
    <m/>
    <s v="Cancelled"/>
    <s v="He declined invite"/>
    <m/>
    <m/>
    <m/>
    <m/>
  </r>
  <r>
    <d v="2025-07-25T00:00:00"/>
    <x v="3"/>
    <d v="1899-12-30T16:00:00"/>
    <s v="Ritchie"/>
    <s v="Options IT"/>
    <n v="13"/>
    <s v="Radio Silence"/>
    <m/>
    <s v="Matthew"/>
    <s v="Ed"/>
    <m/>
    <n v="9"/>
    <s v="Made a comment on the load times of the different pages**_x000a__x000a_other than that he liked the drill "/>
    <n v="5167"/>
    <m/>
    <m/>
    <s v="Attended"/>
    <m/>
    <m/>
    <m/>
    <m/>
    <m/>
  </r>
  <r>
    <d v="2025-07-29T00:00:00"/>
    <x v="3"/>
    <d v="1899-12-30T15:00:00"/>
    <s v="Account Meeting"/>
    <s v="Options IT"/>
    <m/>
    <s v="Account Meeting"/>
    <m/>
    <m/>
    <m/>
    <m/>
    <m/>
    <m/>
    <m/>
    <m/>
    <m/>
    <m/>
    <m/>
    <m/>
    <m/>
    <m/>
    <m/>
  </r>
  <r>
    <d v="2025-07-30T00:00:00"/>
    <x v="3"/>
    <d v="1899-12-30T10:00:00"/>
    <s v="Jack"/>
    <s v="Options IT"/>
    <n v="17"/>
    <s v="The Chain"/>
    <m/>
    <s v="Ed"/>
    <s v="Charlene"/>
    <m/>
    <n v="9"/>
    <s v="Liked the drill but towards the end was confused about the cause of the issue"/>
    <n v="5196"/>
    <m/>
    <m/>
    <s v="Attended"/>
    <m/>
    <m/>
    <m/>
    <m/>
    <m/>
  </r>
  <r>
    <d v="2025-08-01T00:00:00"/>
    <x v="4"/>
    <d v="1899-12-30T10:00:00"/>
    <s v="Zach"/>
    <s v="Options IT"/>
    <n v="8"/>
    <s v="The Big Investors"/>
    <m/>
    <s v="Ed"/>
    <s v="Juan"/>
    <m/>
    <n v="10"/>
    <s v="&quot;All good&quot;. It was visible that h hasn't played in a while and struggled with core structure"/>
    <n v="5235"/>
    <m/>
    <m/>
    <s v="Attended"/>
    <m/>
    <m/>
    <m/>
    <m/>
    <m/>
  </r>
  <r>
    <d v="2025-08-01T00:00:00"/>
    <x v="4"/>
    <d v="1899-12-30T11:00:00"/>
    <s v="Ciara"/>
    <s v="Options IT"/>
    <n v="16"/>
    <s v="Profile Report"/>
    <m/>
    <s v="Rishi"/>
    <m/>
    <m/>
    <n v="10"/>
    <s v="This session was good, got to know where she's lacking and how to overcome it, understood all with the help of examples in each star under a pillar where she lacked highly. "/>
    <m/>
    <m/>
    <m/>
    <s v="Attended"/>
    <m/>
    <m/>
    <m/>
    <m/>
    <m/>
  </r>
  <r>
    <d v="2025-08-05T00:00:00"/>
    <x v="4"/>
    <d v="1899-12-30T10:00:00"/>
    <s v="Jamie"/>
    <s v="Options IT"/>
    <n v="17"/>
    <m/>
    <m/>
    <m/>
    <m/>
    <m/>
    <m/>
    <m/>
    <m/>
    <m/>
    <m/>
    <s v="Cancelled"/>
    <s v="Someone has scheduled a call to cover a real P1"/>
    <m/>
    <m/>
    <m/>
    <m/>
  </r>
  <r>
    <d v="2025-08-06T00:00:00"/>
    <x v="4"/>
    <d v="1899-12-30T10:00:00"/>
    <s v="Jack"/>
    <s v="Options IT"/>
    <n v="17"/>
    <m/>
    <m/>
    <s v="Matthew"/>
    <s v="Rishi"/>
    <s v="Move to every 2 weeks"/>
    <m/>
    <m/>
    <m/>
    <m/>
    <m/>
    <s v="No Show"/>
    <m/>
    <m/>
    <m/>
    <m/>
    <m/>
  </r>
  <r>
    <d v="2025-08-08T00:00:00"/>
    <x v="4"/>
    <d v="1899-12-30T10:00:00"/>
    <s v="Zach"/>
    <s v="Options IT"/>
    <n v="8"/>
    <s v="Rumours"/>
    <m/>
    <s v="Ed"/>
    <m/>
    <m/>
    <n v="10"/>
    <s v="It's a good exercise to ask questions and do more investigation before jumping to any conclusions"/>
    <n v="5309"/>
    <m/>
    <m/>
    <s v="Attended"/>
    <m/>
    <m/>
    <m/>
    <m/>
    <m/>
  </r>
  <r>
    <d v="2025-08-08T00:00:00"/>
    <x v="4"/>
    <d v="1899-12-30T16:00:00"/>
    <s v="Ritchie"/>
    <s v="Options IT"/>
    <n v="13"/>
    <m/>
    <m/>
    <s v="Matthew"/>
    <s v="Clara"/>
    <m/>
    <m/>
    <m/>
    <m/>
    <m/>
    <m/>
    <s v="No Show"/>
    <s v="He's been OOO for the past couple of weeks unexpectedly."/>
    <m/>
    <m/>
    <m/>
    <m/>
  </r>
  <r>
    <d v="2025-08-12T00:00:00"/>
    <x v="4"/>
    <d v="1899-12-30T10:00:00"/>
    <s v="Jamie"/>
    <s v="Options IT"/>
    <n v="17"/>
    <s v="The Chain,Grounding Workshop"/>
    <m/>
    <s v="Charlene"/>
    <s v="Maram"/>
    <m/>
    <n v="5"/>
    <s v="He was surprised by this drill, he said he felt unfulfilled and post drill he said he &quot;failed&quot; the drill. I mentioned to him he needs to work on communicating and co-ordinating the team and step away from his role as an SRE however, because he couldn't' resolve the incident he felt like he hadn't learnt anything and was lost._x000a__x000a_I would recommend he replay the chain again and f he got some expert coaching on grounding and communication. To preface he watched the videos prior to playing but I think he needs a more personalised feedback session"/>
    <n v="5335"/>
    <m/>
    <m/>
    <s v="Attended"/>
    <m/>
    <m/>
    <m/>
    <m/>
    <m/>
  </r>
  <r>
    <d v="2025-08-13T00:00:00"/>
    <x v="4"/>
    <d v="1899-12-30T10:00:00"/>
    <s v="Jack"/>
    <s v="Options IT"/>
    <n v="17"/>
    <s v="The Switch"/>
    <m/>
    <s v="Matthew"/>
    <s v="Juan"/>
    <s v="Move to every 2 weeks"/>
    <n v="9"/>
    <s v="Liked this drill; overall was an ok drill._x000a_Didn't talk a whole lot on the drill "/>
    <m/>
    <m/>
    <m/>
    <s v="Attended"/>
    <m/>
    <m/>
    <m/>
    <m/>
    <m/>
  </r>
  <r>
    <d v="2025-08-14T00:00:00"/>
    <x v="4"/>
    <d v="1899-12-30T16:00:00"/>
    <s v="Ritchie"/>
    <s v="Options IT"/>
    <n v="13"/>
    <m/>
    <m/>
    <m/>
    <m/>
    <m/>
    <m/>
    <m/>
    <m/>
    <m/>
    <m/>
    <s v="Rescheduled"/>
    <s v="They're dealing with a critical issue at the moment"/>
    <m/>
    <m/>
    <m/>
    <m/>
  </r>
  <r>
    <d v="2025-08-15T00:00:00"/>
    <x v="4"/>
    <d v="1899-12-30T10:00:00"/>
    <s v="Zach"/>
    <s v="Options IT"/>
    <n v="8"/>
    <s v="Missing Delivery"/>
    <m/>
    <s v="Drew"/>
    <m/>
    <m/>
    <n v="10"/>
    <s v="Liked the drill and the fact is was 3rd party service related "/>
    <n v="5395"/>
    <m/>
    <m/>
    <s v="Attended"/>
    <m/>
    <m/>
    <m/>
    <m/>
    <m/>
  </r>
  <r>
    <d v="2025-08-15T00:00:00"/>
    <x v="4"/>
    <d v="1899-12-30T11:00:00"/>
    <s v="Ciara"/>
    <s v="Options IT"/>
    <n v="16"/>
    <m/>
    <m/>
    <m/>
    <m/>
    <m/>
    <m/>
    <m/>
    <m/>
    <m/>
    <m/>
    <s v="No Show"/>
    <m/>
    <m/>
    <m/>
    <m/>
    <m/>
  </r>
  <r>
    <d v="2025-08-21T00:00:00"/>
    <x v="4"/>
    <d v="1899-12-30T16:00:00"/>
    <s v="Ritchie"/>
    <s v="Options IT"/>
    <n v="13"/>
    <s v="Roblox"/>
    <m/>
    <s v="Matthew"/>
    <m/>
    <m/>
    <n v="9"/>
    <s v="Similar to the last drill _x000a_Play the switch next "/>
    <n v="5494"/>
    <m/>
    <m/>
    <s v="Attended"/>
    <m/>
    <m/>
    <m/>
    <m/>
    <m/>
  </r>
  <r>
    <d v="2025-08-22T00:00:00"/>
    <x v="4"/>
    <d v="1899-12-30T10:00:00"/>
    <s v="Zach"/>
    <s v="Options IT"/>
    <n v="8"/>
    <m/>
    <m/>
    <m/>
    <m/>
    <m/>
    <m/>
    <m/>
    <m/>
    <m/>
    <m/>
    <s v="Cancelled"/>
    <s v="Did not provide any reason."/>
    <m/>
    <m/>
    <m/>
    <m/>
  </r>
  <r>
    <d v="2025-08-26T00:00:00"/>
    <x v="4"/>
    <d v="1899-12-30T10:00:00"/>
    <s v="Jamie"/>
    <s v="Options IT"/>
    <n v="17"/>
    <m/>
    <m/>
    <m/>
    <m/>
    <s v="@Joseph Mckevitt He gave us 5 last session"/>
    <m/>
    <m/>
    <m/>
    <m/>
    <m/>
    <s v="Cancelled"/>
    <s v="Last-minute conflict"/>
    <m/>
    <m/>
    <m/>
    <m/>
  </r>
  <r>
    <d v="2025-08-27T00:00:00"/>
    <x v="4"/>
    <d v="1899-12-30T10:00:00"/>
    <s v="Jack"/>
    <s v="Options IT"/>
    <n v="17"/>
    <s v="PIR on Switch"/>
    <m/>
    <s v="Ed"/>
    <m/>
    <m/>
    <n v="9"/>
    <s v="The session was quite useful as it's something he  does quite often and can relate to"/>
    <m/>
    <m/>
    <m/>
    <s v="Attended"/>
    <m/>
    <m/>
    <m/>
    <m/>
    <m/>
  </r>
  <r>
    <d v="2025-08-29T00:00:00"/>
    <x v="4"/>
    <d v="1899-12-30T10:00:00"/>
    <s v="Zach"/>
    <s v="Options IT"/>
    <n v="8"/>
    <m/>
    <m/>
    <s v="Ed"/>
    <m/>
    <s v="Move him to every 2 weeks"/>
    <m/>
    <m/>
    <m/>
    <m/>
    <m/>
    <s v="No Show"/>
    <s v="I didn’t receive any message about canceling today. I pinged him to confirm and got a prompt that he’s OOO."/>
    <m/>
    <m/>
    <m/>
    <m/>
  </r>
  <r>
    <d v="2025-08-29T00:00:00"/>
    <x v="4"/>
    <d v="1899-12-30T11:00:00"/>
    <s v="Ciara"/>
    <s v="Options IT"/>
    <n v="16"/>
    <s v="The Chain,Grounding Workshop"/>
    <m/>
    <s v="Leon"/>
    <m/>
    <m/>
    <n v="10"/>
    <s v="Different to other drills - get the rest of the team involved, for next time need to check dependencies with changes as well "/>
    <n v="5562"/>
    <m/>
    <m/>
    <s v="Attended"/>
    <m/>
    <m/>
    <m/>
    <m/>
    <m/>
  </r>
  <r>
    <d v="2025-09-03T00:00:00"/>
    <x v="5"/>
    <d v="1899-12-30T11:00:00"/>
    <s v="Aoife"/>
    <s v="Options IT"/>
    <n v="14"/>
    <s v="Intro"/>
    <m/>
    <s v="Naz"/>
    <m/>
    <m/>
    <s v="No Score"/>
    <m/>
    <m/>
    <m/>
    <m/>
    <s v="Attended"/>
    <m/>
    <m/>
    <m/>
    <m/>
    <m/>
  </r>
  <r>
    <d v="2025-09-04T00:00:00"/>
    <x v="5"/>
    <d v="1899-12-30T16:00:00"/>
    <s v="Ritchie"/>
    <s v="Options IT"/>
    <n v="13"/>
    <m/>
    <m/>
    <m/>
    <m/>
    <m/>
    <m/>
    <m/>
    <m/>
    <m/>
    <m/>
    <s v="Rescheduled"/>
    <s v="He is currently in the middle of a critical issue"/>
    <m/>
    <m/>
    <m/>
    <m/>
  </r>
  <r>
    <d v="2025-09-05T00:00:00"/>
    <x v="5"/>
    <d v="1899-12-30T11:30:00"/>
    <s v="Zach"/>
    <s v="Options IT"/>
    <n v="8"/>
    <s v="Radio Silence"/>
    <m/>
    <s v="Naz"/>
    <m/>
    <m/>
    <n v="8"/>
    <s v="He enjoyed it. He was very stressed and in a rush. Since he is going to be off next week, he wanted to go over the sessions. He needs to work on sizing up._x000a__x000a_There was nothing else to improve in order to reach a 10."/>
    <n v="5656"/>
    <m/>
    <m/>
    <s v="Attended"/>
    <m/>
    <s v="https://uptime-labs.atlassian.net/browse/INC-290_x000a_"/>
    <s v="checked"/>
    <s v="player timed out do to state( recover not working) "/>
    <m/>
  </r>
  <r>
    <d v="2025-09-09T00:00:00"/>
    <x v="5"/>
    <d v="1899-12-30T10:00:00"/>
    <s v="Jamie"/>
    <s v="Options IT"/>
    <n v="17"/>
    <m/>
    <m/>
    <m/>
    <m/>
    <m/>
    <m/>
    <m/>
    <m/>
    <m/>
    <m/>
    <s v="Cancelled"/>
    <s v="He's in NYC this week and will not be able to attend"/>
    <m/>
    <m/>
    <m/>
    <m/>
  </r>
  <r>
    <d v="2025-09-10T00:00:00"/>
    <x v="5"/>
    <d v="1899-12-30T10:00:00"/>
    <s v="Jack"/>
    <s v="Options IT"/>
    <n v="17"/>
    <m/>
    <m/>
    <m/>
    <m/>
    <m/>
    <m/>
    <m/>
    <m/>
    <m/>
    <m/>
    <s v="Cancelled"/>
    <s v="Declined the invite"/>
    <m/>
    <m/>
    <m/>
    <m/>
  </r>
  <r>
    <d v="2025-09-10T00:00:00"/>
    <x v="5"/>
    <d v="1899-12-30T13:00:00"/>
    <s v="Emma"/>
    <s v="Options IT"/>
    <n v="13"/>
    <s v="Intro"/>
    <m/>
    <s v="Naz"/>
    <m/>
    <m/>
    <s v="No Score"/>
    <m/>
    <m/>
    <m/>
    <m/>
    <s v="Attended"/>
    <m/>
    <m/>
    <m/>
    <m/>
    <m/>
  </r>
  <r>
    <d v="2025-09-11T00:00:00"/>
    <x v="5"/>
    <d v="1899-12-30T12:00:00"/>
    <s v="Aoife"/>
    <s v="Options IT"/>
    <n v="14"/>
    <s v="Onboarding,Too Good To Be True"/>
    <m/>
    <s v="Ed"/>
    <m/>
    <m/>
    <n v="9"/>
    <s v="&quot;It was much simplier to use platform than I expected&quot;"/>
    <n v="5721"/>
    <m/>
    <m/>
    <s v="Attended"/>
    <m/>
    <m/>
    <m/>
    <m/>
    <m/>
  </r>
  <r>
    <d v="2025-09-11T00:00:00"/>
    <x v="5"/>
    <d v="1899-12-30T16:00:00"/>
    <s v="Ritchie"/>
    <s v="Options IT"/>
    <n v="13"/>
    <m/>
    <m/>
    <m/>
    <m/>
    <m/>
    <m/>
    <m/>
    <m/>
    <m/>
    <m/>
    <s v="Rescheduled"/>
    <s v="Did not provide any reason"/>
    <m/>
    <m/>
    <m/>
    <m/>
  </r>
  <r>
    <d v="2025-09-12T00:00:00"/>
    <x v="5"/>
    <d v="1899-12-30T10:00:00"/>
    <s v="Zach"/>
    <s v="Options IT"/>
    <n v="8"/>
    <m/>
    <m/>
    <m/>
    <m/>
    <m/>
    <m/>
    <m/>
    <m/>
    <m/>
    <m/>
    <s v="Cancelled"/>
    <s v="He is OOO"/>
    <m/>
    <m/>
    <m/>
    <m/>
  </r>
  <r>
    <d v="2025-09-12T00:00:00"/>
    <x v="5"/>
    <d v="1899-12-30T11:00:00"/>
    <s v="Ciara"/>
    <s v="Options IT"/>
    <n v="16"/>
    <s v="The Switch"/>
    <m/>
    <s v="Drew"/>
    <m/>
    <m/>
    <n v="10"/>
    <s v="Enjoyed having to work with the new character Maya"/>
    <n v="5745"/>
    <m/>
    <m/>
    <s v="Attended"/>
    <m/>
    <m/>
    <m/>
    <m/>
    <m/>
  </r>
  <r>
    <d v="2025-09-12T00:00:00"/>
    <x v="5"/>
    <d v="1899-12-30T15:00:00"/>
    <s v="Ritchie"/>
    <s v="Options IT"/>
    <n v="13"/>
    <m/>
    <m/>
    <s v="Ed"/>
    <m/>
    <m/>
    <m/>
    <m/>
    <m/>
    <m/>
    <m/>
    <s v="No Show"/>
    <m/>
    <m/>
    <m/>
    <m/>
    <m/>
  </r>
  <r>
    <d v="2025-09-16T00:00:00"/>
    <x v="5"/>
    <d v="1899-12-30T11:00:00"/>
    <s v="Storm"/>
    <s v="Options IT"/>
    <n v="7"/>
    <s v="Intro"/>
    <m/>
    <s v="Ed"/>
    <m/>
    <m/>
    <s v="No Score"/>
    <s v="N/A"/>
    <m/>
    <m/>
    <m/>
    <s v="Attended"/>
    <m/>
    <m/>
    <m/>
    <m/>
    <m/>
  </r>
  <r>
    <d v="2025-09-17T00:00:00"/>
    <x v="5"/>
    <d v="1899-12-30T11:00:00"/>
    <s v="Aoife"/>
    <s v="Options IT"/>
    <n v="14"/>
    <m/>
    <m/>
    <m/>
    <m/>
    <m/>
    <m/>
    <m/>
    <m/>
    <m/>
    <m/>
    <s v="Rescheduled"/>
    <s v="Did not provide any reason"/>
    <m/>
    <m/>
    <m/>
    <m/>
  </r>
  <r>
    <d v="2025-09-17T00:00:00"/>
    <x v="5"/>
    <d v="1899-12-30T11:00:00"/>
    <s v="Caoimhe"/>
    <s v="Options IT"/>
    <n v="10"/>
    <s v="Intro"/>
    <m/>
    <s v="Naz"/>
    <m/>
    <m/>
    <s v="No Score"/>
    <m/>
    <m/>
    <m/>
    <m/>
    <s v="Attended"/>
    <m/>
    <m/>
    <m/>
    <m/>
    <m/>
  </r>
  <r>
    <d v="2025-09-17T00:00:00"/>
    <x v="5"/>
    <d v="1899-12-30T13:00:00"/>
    <s v="Emma"/>
    <s v="Options IT"/>
    <n v="13"/>
    <s v="Onboarding,Too Good To Be True"/>
    <m/>
    <s v="Ed"/>
    <m/>
    <m/>
    <n v="10"/>
    <s v="utilized the session to the maximum, found it very interesting"/>
    <n v="5817"/>
    <m/>
    <m/>
    <s v="Attended"/>
    <m/>
    <m/>
    <m/>
    <m/>
    <m/>
  </r>
  <r>
    <d v="2025-09-17T00:00:00"/>
    <x v="5"/>
    <d v="1899-12-30T16:00:00"/>
    <s v="Peter"/>
    <s v="Options IT"/>
    <m/>
    <s v="Defcon1"/>
    <m/>
    <s v="Rishi"/>
    <s v="Karan"/>
    <m/>
    <n v="10"/>
    <s v="Impressed to play this drill. It was indeed tough and never faced such issue earlier , have faced such an intrusion to only a server . _x000a_Definitely a good exercise, and I found the playbook to be very helpful"/>
    <n v="5822"/>
    <m/>
    <m/>
    <s v="Attended"/>
    <m/>
    <m/>
    <m/>
    <m/>
    <m/>
  </r>
  <r>
    <d v="2025-09-19T00:00:00"/>
    <x v="5"/>
    <d v="1899-12-30T10:00:00"/>
    <s v="Zach"/>
    <s v="Options IT"/>
    <n v="8"/>
    <m/>
    <m/>
    <s v="Drew"/>
    <m/>
    <s v="Move to every 2 weeks"/>
    <m/>
    <m/>
    <m/>
    <m/>
    <m/>
    <s v="No Show"/>
    <m/>
    <m/>
    <m/>
    <m/>
    <m/>
  </r>
  <r>
    <d v="2025-09-19T00:00:00"/>
    <x v="5"/>
    <d v="1899-12-30T16:00:00"/>
    <s v="Aoife"/>
    <s v="Options IT"/>
    <n v="14"/>
    <m/>
    <m/>
    <m/>
    <m/>
    <m/>
    <m/>
    <m/>
    <m/>
    <m/>
    <m/>
    <s v="Cancelled"/>
    <s v="Something has come up last minute in work"/>
    <m/>
    <m/>
    <m/>
    <m/>
  </r>
  <r>
    <d v="2025-09-23T00:00:00"/>
    <x v="5"/>
    <d v="1899-12-30T10:00:00"/>
    <s v="Jamie"/>
    <s v="Options IT"/>
    <n v="17"/>
    <s v="Profile Report"/>
    <m/>
    <s v="Karan"/>
    <m/>
    <s v="Let them know that the issue with missing sessions on the report page, caused by an incident, has now been resolved."/>
    <s v="No Score"/>
    <s v="INformative session to look thru the performance"/>
    <m/>
    <m/>
    <m/>
    <s v="Attended"/>
    <m/>
    <m/>
    <m/>
    <m/>
    <m/>
  </r>
  <r>
    <d v="2025-09-23T00:00:00"/>
    <x v="5"/>
    <d v="1899-12-30T11:00:00"/>
    <s v="Storm"/>
    <s v="Options IT"/>
    <n v="7"/>
    <m/>
    <m/>
    <m/>
    <m/>
    <m/>
    <m/>
    <m/>
    <m/>
    <m/>
    <m/>
    <s v="Late Cancellation"/>
    <s v="Her daughter is ill and will not be able to attend"/>
    <m/>
    <m/>
    <m/>
    <m/>
  </r>
  <r>
    <d v="2025-09-23T00:00:00"/>
    <x v="5"/>
    <d v="1899-12-30T15:00:00"/>
    <s v="Sinéad"/>
    <s v="Options IT"/>
    <n v="2"/>
    <s v="Intro"/>
    <m/>
    <s v="Karan"/>
    <m/>
    <m/>
    <s v="No Score"/>
    <m/>
    <m/>
    <m/>
    <m/>
    <s v="Attended"/>
    <m/>
    <m/>
    <m/>
    <m/>
    <m/>
  </r>
  <r>
    <d v="2025-09-24T00:00:00"/>
    <x v="5"/>
    <d v="1899-12-30T10:00:00"/>
    <s v="Jack"/>
    <s v="Options IT"/>
    <n v="17"/>
    <m/>
    <m/>
    <s v="Ed"/>
    <m/>
    <s v="Let them know that the issue with missing sessions on the report page, caused by an incident, has now been resolved."/>
    <m/>
    <m/>
    <m/>
    <m/>
    <m/>
    <s v="No Show"/>
    <m/>
    <m/>
    <m/>
    <m/>
    <m/>
  </r>
  <r>
    <d v="2025-09-24T00:00:00"/>
    <x v="5"/>
    <d v="1899-12-30T11:00:00"/>
    <s v="Aoife"/>
    <s v="Options IT"/>
    <n v="14"/>
    <m/>
    <m/>
    <m/>
    <m/>
    <m/>
    <m/>
    <m/>
    <m/>
    <m/>
    <m/>
    <s v="Rescheduled"/>
    <m/>
    <m/>
    <m/>
    <m/>
    <m/>
  </r>
  <r>
    <d v="2025-09-24T00:00:00"/>
    <x v="5"/>
    <d v="1899-12-30T11:00:00"/>
    <s v="Caoimhe"/>
    <s v="Options IT"/>
    <n v="10"/>
    <m/>
    <m/>
    <s v="Ed"/>
    <m/>
    <m/>
    <m/>
    <m/>
    <m/>
    <m/>
    <m/>
    <s v="No Show"/>
    <m/>
    <m/>
    <m/>
    <m/>
    <m/>
  </r>
  <r>
    <d v="2025-09-24T00:00:00"/>
    <x v="5"/>
    <d v="1899-12-30T13:00:00"/>
    <s v="Emma"/>
    <s v="Options IT"/>
    <n v="13"/>
    <m/>
    <m/>
    <m/>
    <m/>
    <s v="she is on leave till 30th Sep"/>
    <m/>
    <m/>
    <m/>
    <m/>
    <m/>
    <s v="Cancelled"/>
    <m/>
    <m/>
    <m/>
    <m/>
    <m/>
  </r>
  <r>
    <d v="2025-09-24T00:00:00"/>
    <x v="5"/>
    <d v="1899-12-30T16:00:00"/>
    <s v="Elsa"/>
    <s v="Options IT"/>
    <n v="11"/>
    <s v="Intro"/>
    <m/>
    <s v="Naz"/>
    <m/>
    <m/>
    <s v="No Score"/>
    <m/>
    <m/>
    <m/>
    <m/>
    <s v="Attended"/>
    <m/>
    <m/>
    <m/>
    <m/>
    <m/>
  </r>
  <r>
    <d v="2025-09-25T00:00:00"/>
    <x v="5"/>
    <d v="1899-12-30T16:00:00"/>
    <s v="Ritchie"/>
    <s v="Options IT"/>
    <n v="13"/>
    <s v="The Switch"/>
    <m/>
    <s v="Rishi"/>
    <m/>
    <m/>
    <n v="10"/>
    <s v="this was a good practice over a security issue. And it was totally different than the previous ones where it used to be just the changes "/>
    <n v="5944"/>
    <m/>
    <m/>
    <s v="Attended"/>
    <m/>
    <m/>
    <m/>
    <m/>
    <m/>
  </r>
  <r>
    <d v="2025-09-26T00:00:00"/>
    <x v="5"/>
    <d v="1899-12-30T10:00:00"/>
    <s v="Zach"/>
    <s v="Options IT"/>
    <n v="8"/>
    <m/>
    <m/>
    <s v="Matthew"/>
    <m/>
    <m/>
    <m/>
    <m/>
    <m/>
    <m/>
    <m/>
    <s v="Abandoned Session"/>
    <s v="Had some issues in the session, not sure if it was on our end as he was having some network issues during the call."/>
    <s v="INC-305 Client session wasn't moving to the screen with the chat links and w…"/>
    <s v="checked"/>
    <s v="When in the session with zach.davis@options-it.com he seemed to have some connection issues, we aborted he first drill and made a new one, in the new one he was stuck in the waiting screen and refreshing didn't help"/>
    <m/>
  </r>
  <r>
    <d v="2025-09-26T00:00:00"/>
    <x v="5"/>
    <d v="1899-12-30T10:00:00"/>
    <s v="Aoife"/>
    <s v="Options IT"/>
    <n v="14"/>
    <s v="The Big Investors"/>
    <m/>
    <s v="Ed"/>
    <m/>
    <s v="Need to remove some AI post drill stars for big investor"/>
    <n v="8"/>
    <s v="&quot;I have learned a lot I just need more practice and get better at structure&quot;"/>
    <n v="5954"/>
    <m/>
    <m/>
    <s v="Attended"/>
    <m/>
    <m/>
    <m/>
    <m/>
    <m/>
  </r>
  <r>
    <d v="2025-09-26T00:00:00"/>
    <x v="5"/>
    <d v="1899-12-30T11:00:00"/>
    <s v="Ciara"/>
    <s v="Options IT"/>
    <n v="16"/>
    <s v="PIR on Switch"/>
    <m/>
    <s v="Drew"/>
    <m/>
    <m/>
    <n v="9"/>
    <m/>
    <m/>
    <m/>
    <m/>
    <s v="Attended"/>
    <m/>
    <m/>
    <m/>
    <m/>
    <m/>
  </r>
  <r>
    <d v="2025-09-30T00:00:00"/>
    <x v="5"/>
    <d v="1899-12-30T16:00:00"/>
    <s v="Elsa"/>
    <s v="Options IT"/>
    <n v="11"/>
    <m/>
    <m/>
    <s v="Naz"/>
    <m/>
    <m/>
    <m/>
    <m/>
    <m/>
    <m/>
    <m/>
    <s v="Abandoned Session"/>
    <s v="Slack is not opening"/>
    <m/>
    <s v="checked"/>
    <s v="Slack is not opening"/>
    <m/>
  </r>
  <r>
    <d v="2025-09-30T00:00:00"/>
    <x v="5"/>
    <d v="1899-12-30T16:00:00"/>
    <s v="Sinéad"/>
    <s v="Options IT"/>
    <n v="2"/>
    <m/>
    <m/>
    <s v="Karan"/>
    <m/>
    <m/>
    <m/>
    <m/>
    <m/>
    <m/>
    <m/>
    <s v="Abandoned Session"/>
    <s v="Slack is not opening"/>
    <m/>
    <s v="checked"/>
    <s v="Slack is not opening"/>
    <m/>
  </r>
  <r>
    <d v="2025-10-01T00:00:00"/>
    <x v="6"/>
    <d v="1899-12-30T11:00:00"/>
    <s v="Caoimhe"/>
    <s v="Options IT"/>
    <n v="10"/>
    <s v="Onboarding,Too Good To Be True"/>
    <m/>
    <s v="Charlene"/>
    <m/>
    <m/>
    <n v="7"/>
    <s v="She said playing the drill was fun. i asked more about the reasoning behind the score as she really liked out the platform gave her the stressful feeling of being in a p1. She said it was because this was her first drill with us, so her own performance is in the drill is linked with the score given."/>
    <n v="6027"/>
    <m/>
    <m/>
    <s v="Attended"/>
    <m/>
    <s v="INC-312 Frontend is not marking ready form frist time players"/>
    <s v="checked"/>
    <s v="The frontend timer is not ending even after the session starts"/>
    <m/>
  </r>
  <r>
    <d v="2025-10-01T00:00:00"/>
    <x v="6"/>
    <d v="1899-12-30T12:00:00"/>
    <s v="Storm"/>
    <s v="Options IT"/>
    <n v="7"/>
    <s v="Bez Beatles Day"/>
    <m/>
    <s v="Stuart"/>
    <m/>
    <s v="the session failed to start so I directed him directly to a slack link. This has happened to 3 options it folks recently_x000a_"/>
    <n v="10"/>
    <s v="He really enjoyed the drill. He commented that the stakeholder interaction and back and fore between Daniel and Shay on possible cause was excellent._x000a_"/>
    <n v="6029"/>
    <m/>
    <m/>
    <s v="Attended"/>
    <m/>
    <m/>
    <m/>
    <m/>
    <m/>
  </r>
  <r>
    <d v="2025-10-01T00:00:00"/>
    <x v="6"/>
    <d v="1899-12-30T13:00:00"/>
    <s v="Emma"/>
    <s v="Options IT"/>
    <n v="13"/>
    <s v="Bez Beatles Day"/>
    <m/>
    <s v="Charlene"/>
    <m/>
    <m/>
    <n v="8"/>
    <s v="she felt nervous going into the drill but had a strong sense of relief/ satisfaction once the drill was completed"/>
    <n v="6032"/>
    <m/>
    <m/>
    <s v="Attended"/>
    <m/>
    <m/>
    <m/>
    <m/>
    <m/>
  </r>
  <r>
    <d v="2025-10-02T00:00:00"/>
    <x v="6"/>
    <d v="1899-12-30T10:45:00"/>
    <s v="Aoife"/>
    <s v="Options IT"/>
    <n v="14"/>
    <s v="Bez Beatles Day"/>
    <m/>
    <s v="Charlene"/>
    <m/>
    <m/>
    <s v="No Score"/>
    <s v="she wasn't sharing her screen and I didn't realise she hadn't submitted the feedback form._x000a__x000a_However!!! She is enjoying the drills and the platform and seems eager to play more drills"/>
    <n v="6054"/>
    <m/>
    <m/>
    <s v="Attended"/>
    <m/>
    <m/>
    <m/>
    <m/>
    <m/>
  </r>
  <r>
    <d v="2025-10-02T00:00:00"/>
    <x v="6"/>
    <d v="1899-12-30T13:00:00"/>
    <s v="Elsa"/>
    <s v="Options IT"/>
    <n v="11"/>
    <m/>
    <m/>
    <s v="Rishi"/>
    <m/>
    <s v="She had a whitelisting issue , UL is blocked"/>
    <m/>
    <m/>
    <m/>
    <m/>
    <m/>
    <s v="Abandoned Session"/>
    <s v="She had a whitelisting issue , UL is blocked"/>
    <m/>
    <m/>
    <m/>
    <m/>
  </r>
  <r>
    <d v="2025-10-03T00:00:00"/>
    <x v="6"/>
    <d v="1899-12-30T10:00:00"/>
    <s v="Zach"/>
    <s v="Options IT"/>
    <n v="8"/>
    <s v="Roblox"/>
    <m/>
    <s v="Drew"/>
    <m/>
    <m/>
    <n v="10"/>
    <m/>
    <m/>
    <m/>
    <m/>
    <s v="Attended"/>
    <m/>
    <m/>
    <m/>
    <m/>
    <m/>
  </r>
  <r>
    <d v="2025-10-07T00:00:00"/>
    <x v="6"/>
    <d v="1899-12-30T10:00:00"/>
    <s v="Jamie"/>
    <s v="Options IT"/>
    <n v="17"/>
    <m/>
    <m/>
    <m/>
    <m/>
    <m/>
    <m/>
    <m/>
    <m/>
    <m/>
    <m/>
    <s v="Cancelled"/>
    <s v="Something has come up with work"/>
    <m/>
    <m/>
    <m/>
    <m/>
  </r>
  <r>
    <d v="2025-10-07T00:00:00"/>
    <x v="6"/>
    <d v="1899-12-30T11:00:00"/>
    <s v="Storm"/>
    <s v="Options IT"/>
    <n v="7"/>
    <s v="The Big Investors"/>
    <m/>
    <s v="Rishi"/>
    <m/>
    <m/>
    <n v="9"/>
    <s v="It was a good one. He liked the drill where most of the issues happen due to changes. However, he rated 7 initially , because he want to see more challenge coming on his way. This was simple for him to follow up _x000a__x000a_Initially he gave 7, but while discussing he said he'd give 9 for this. And to make it 10, its his personal choice where he like to experience more challenge."/>
    <n v="6150"/>
    <m/>
    <m/>
    <s v="Attended"/>
    <m/>
    <m/>
    <s v="checked"/>
    <s v="Was stuck on the lobby wait screen"/>
    <m/>
  </r>
  <r>
    <d v="2025-10-07T00:00:00"/>
    <x v="6"/>
    <d v="1899-12-30T15:00:00"/>
    <s v="Sinéad"/>
    <s v="Options IT"/>
    <n v="2"/>
    <s v="Too Good To Be True"/>
    <m/>
    <s v="Matthew"/>
    <m/>
    <s v="Double check with Product Team everything is ok"/>
    <n v="9"/>
    <s v="Said she likes how these drills run, is looking forward to more of them"/>
    <n v="6175"/>
    <m/>
    <m/>
    <s v="Attended"/>
    <m/>
    <m/>
    <s v="checked"/>
    <s v="Was stuck on the lobby wait screen"/>
    <m/>
  </r>
  <r>
    <d v="2025-10-07T00:00:00"/>
    <x v="6"/>
    <d v="1899-12-30T15:00:00"/>
    <s v="Elsa"/>
    <s v="Options IT"/>
    <n v="11"/>
    <m/>
    <m/>
    <m/>
    <m/>
    <m/>
    <m/>
    <m/>
    <m/>
    <m/>
    <m/>
    <s v="Cancelled"/>
    <s v="Still blocked from Slack"/>
    <m/>
    <m/>
    <m/>
    <m/>
  </r>
  <r>
    <d v="2025-10-08T00:00:00"/>
    <x v="6"/>
    <d v="1899-12-30T10:00:00"/>
    <s v="Jack"/>
    <s v="Options IT"/>
    <n v="17"/>
    <m/>
    <m/>
    <s v="Drew"/>
    <m/>
    <s v="Last session was August"/>
    <m/>
    <m/>
    <m/>
    <m/>
    <m/>
    <s v="No Show"/>
    <m/>
    <m/>
    <m/>
    <m/>
    <m/>
  </r>
  <r>
    <d v="2025-10-08T00:00:00"/>
    <x v="6"/>
    <d v="1899-12-30T11:00:00"/>
    <s v="Aoife"/>
    <s v="Options IT"/>
    <n v="14"/>
    <s v="Rumours"/>
    <m/>
    <s v="Charlene"/>
    <m/>
    <m/>
    <n v="10"/>
    <m/>
    <n v="6211"/>
    <m/>
    <m/>
    <s v="Attended"/>
    <m/>
    <m/>
    <m/>
    <m/>
    <m/>
  </r>
  <r>
    <d v="2025-10-08T00:00:00"/>
    <x v="6"/>
    <d v="1899-12-30T11:00:00"/>
    <s v="Caoimhe"/>
    <s v="Options IT"/>
    <n v="10"/>
    <s v="Bez Beatles Day"/>
    <m/>
    <s v="Ed"/>
    <m/>
    <m/>
    <n v="8"/>
    <s v="score is more reflection as to how i did but i had a lot of fun"/>
    <n v="6212"/>
    <m/>
    <m/>
    <s v="Attended"/>
    <m/>
    <m/>
    <m/>
    <m/>
    <m/>
  </r>
  <r>
    <d v="2025-10-08T00:00:00"/>
    <x v="6"/>
    <d v="1899-12-30T13:00:00"/>
    <s v="Emma"/>
    <s v="Options IT"/>
    <n v="13"/>
    <s v="The Big Investors"/>
    <m/>
    <s v="Matthew"/>
    <m/>
    <m/>
    <n v="9"/>
    <m/>
    <n v="6219"/>
    <m/>
    <m/>
    <s v="Attended"/>
    <m/>
    <m/>
    <m/>
    <m/>
    <m/>
  </r>
  <r>
    <d v="2025-10-09T00:00:00"/>
    <x v="6"/>
    <d v="1899-12-30T16:00:00"/>
    <s v="Ritchie"/>
    <s v="Options IT"/>
    <n v="13"/>
    <m/>
    <m/>
    <m/>
    <m/>
    <m/>
    <m/>
    <m/>
    <m/>
    <m/>
    <m/>
    <s v="Cancelled"/>
    <s v="Running late"/>
    <m/>
    <m/>
    <m/>
    <m/>
  </r>
  <r>
    <d v="2025-10-10T00:00:00"/>
    <x v="6"/>
    <d v="1899-12-30T11:00:00"/>
    <s v="Ciara"/>
    <s v="Options IT"/>
    <n v="16"/>
    <s v="Defcon1"/>
    <m/>
    <s v="Rishi"/>
    <m/>
    <s v="Can you ask Joe MC to join your call to check the issue"/>
    <n v="10"/>
    <s v="It was a good one. She has never seen ransomware attack. Had to follow up between channels a lot. "/>
    <n v="6269"/>
    <m/>
    <m/>
    <s v="Attended"/>
    <m/>
    <m/>
    <m/>
    <m/>
    <m/>
  </r>
  <r>
    <d v="2025-10-10T00:00:00"/>
    <x v="6"/>
    <d v="1899-12-30T15:30:00"/>
    <s v="Account Meeting"/>
    <s v="Options IT"/>
    <m/>
    <s v="Account Meeting"/>
    <m/>
    <m/>
    <m/>
    <m/>
    <m/>
    <m/>
    <m/>
    <m/>
    <m/>
    <m/>
    <m/>
    <m/>
    <m/>
    <m/>
    <m/>
  </r>
  <r>
    <d v="2025-10-14T00:00:00"/>
    <x v="6"/>
    <d v="1899-12-30T10:00:00"/>
    <s v="Jamie"/>
    <s v="Options IT"/>
    <n v="17"/>
    <s v="Defcon1"/>
    <m/>
    <s v="Matthew"/>
    <m/>
    <m/>
    <n v="10"/>
    <s v="Felt like a 5 min drill with how stressful it was. Really enjoyed this drill "/>
    <n v="6289"/>
    <m/>
    <m/>
    <s v="Attended"/>
    <m/>
    <m/>
    <m/>
    <m/>
    <m/>
  </r>
  <r>
    <d v="2025-10-14T00:00:00"/>
    <x v="6"/>
    <d v="1899-12-30T15:00:00"/>
    <s v="Elsa"/>
    <s v="Options IT"/>
    <n v="11"/>
    <m/>
    <m/>
    <m/>
    <m/>
    <m/>
    <m/>
    <m/>
    <m/>
    <m/>
    <m/>
    <s v="Rescheduled"/>
    <s v="She's in London for client meetings"/>
    <m/>
    <m/>
    <m/>
    <m/>
  </r>
  <r>
    <d v="2025-10-14T00:00:00"/>
    <x v="6"/>
    <d v="1899-12-30T15:00:00"/>
    <s v="Sinéad"/>
    <s v="Options IT"/>
    <n v="2"/>
    <m/>
    <m/>
    <m/>
    <m/>
    <s v="She is heading to Singapore with work until new year and he asked to pause his sessions."/>
    <m/>
    <m/>
    <m/>
    <m/>
    <m/>
    <s v="Cancelled"/>
    <s v="She has a meeting today and she's heading to Singapore until new year and asked to pause her sessions._x000a_"/>
    <m/>
    <m/>
    <m/>
    <m/>
  </r>
  <r>
    <d v="2025-10-15T00:00:00"/>
    <x v="6"/>
    <d v="1899-12-30T13:00:00"/>
    <s v="Emma"/>
    <s v="Options IT"/>
    <n v="13"/>
    <s v="Rumours"/>
    <m/>
    <s v="Charlene"/>
    <m/>
    <m/>
    <n v="8"/>
    <s v="Tends to score around this mark - it may increase as the drills get harder as she fully understands the learnings of each of the beginner drills"/>
    <m/>
    <m/>
    <m/>
    <s v="Attended"/>
    <m/>
    <m/>
    <m/>
    <m/>
    <m/>
  </r>
  <r>
    <d v="2025-10-16T00:00:00"/>
    <x v="6"/>
    <d v="1899-12-30T16:00:00"/>
    <s v="Ritchie"/>
    <s v="Options IT"/>
    <n v="13"/>
    <s v="Defcon1"/>
    <m/>
    <s v="Karan"/>
    <m/>
    <m/>
    <n v="10"/>
    <s v="Quite busy but pretty good - Surprised that mediation steps "/>
    <n v="6338"/>
    <m/>
    <m/>
    <s v="Attended"/>
    <m/>
    <m/>
    <s v="checked"/>
    <s v="Waiting screen timed out"/>
    <m/>
  </r>
  <r>
    <d v="2025-10-17T00:00:00"/>
    <x v="6"/>
    <d v="1899-12-30T11:00:00"/>
    <s v="Aoife"/>
    <s v="Options IT"/>
    <n v="14"/>
    <s v="Missing Delivery"/>
    <m/>
    <s v="Charlene"/>
    <m/>
    <m/>
    <n v="9"/>
    <s v="she could feel the difference between the advanced drills and the intermediate. Learned a lot from playing the simulation. Quite a good score considering the minor incident at the start of the call"/>
    <n v="6348"/>
    <m/>
    <m/>
    <s v="Attended"/>
    <m/>
    <m/>
    <m/>
    <m/>
    <m/>
  </r>
  <r>
    <d v="2025-10-17T00:00:00"/>
    <x v="6"/>
    <d v="1899-12-30T15:00:00"/>
    <s v="Elsa"/>
    <s v="Options IT"/>
    <n v="11"/>
    <s v="Too Good To Be True"/>
    <m/>
    <s v="Naz"/>
    <m/>
    <m/>
    <n v="7"/>
    <m/>
    <m/>
    <m/>
    <m/>
    <s v="Attended"/>
    <m/>
    <m/>
    <m/>
    <m/>
    <m/>
  </r>
  <r>
    <d v="2025-10-17T00:00:00"/>
    <x v="6"/>
    <d v="1899-12-30T16:00:00"/>
    <s v="James"/>
    <s v="Options IT"/>
    <n v="8"/>
    <s v="Intro"/>
    <m/>
    <s v="Karan"/>
    <m/>
    <m/>
    <s v="No Score"/>
    <m/>
    <m/>
    <m/>
    <m/>
    <s v="Attended"/>
    <m/>
    <m/>
    <m/>
    <m/>
    <m/>
  </r>
  <r>
    <d v="2025-10-21T00:00:00"/>
    <x v="6"/>
    <d v="1899-12-30T10:00:00"/>
    <s v="Ellie"/>
    <s v="Options IT"/>
    <n v="11"/>
    <s v="Intro"/>
    <m/>
    <s v="Naz"/>
    <m/>
    <m/>
    <s v="No Score"/>
    <m/>
    <m/>
    <m/>
    <m/>
    <s v="Attended"/>
    <m/>
    <m/>
    <m/>
    <m/>
    <m/>
  </r>
  <r>
    <d v="2025-10-21T00:00:00"/>
    <x v="6"/>
    <d v="1899-12-30T14:00:00"/>
    <s v="Leah"/>
    <s v="Options IT"/>
    <n v="10"/>
    <s v="Intro"/>
    <m/>
    <s v="Naz"/>
    <m/>
    <m/>
    <s v="No Score"/>
    <m/>
    <m/>
    <m/>
    <m/>
    <s v="Attended"/>
    <m/>
    <m/>
    <m/>
    <m/>
    <m/>
  </r>
  <r>
    <d v="2025-10-21T00:00:00"/>
    <x v="6"/>
    <d v="1899-12-30T15:00:00"/>
    <s v="Elsa"/>
    <s v="Options IT"/>
    <n v="11"/>
    <s v="Bez Beatles Day"/>
    <m/>
    <s v="Rishi"/>
    <m/>
    <m/>
    <n v="6"/>
    <s v="The drill was good compared to last time. The score reflects more on Daniel's behavior. She didn't know that bots would argue to her commands given in chat. _x000a__x000a_What it'd take to get 10 ? _x000a_Ensuring the fact that people know that the bots would argue as well and they are like humans "/>
    <n v="6397"/>
    <m/>
    <m/>
    <s v="Attended"/>
    <m/>
    <m/>
    <m/>
    <m/>
    <m/>
  </r>
  <r>
    <d v="2025-10-22T00:00:00"/>
    <x v="6"/>
    <d v="1899-12-30T10:00:00"/>
    <s v="Jack"/>
    <s v="Options IT"/>
    <n v="17"/>
    <m/>
    <m/>
    <s v="Ed"/>
    <m/>
    <m/>
    <m/>
    <m/>
    <m/>
    <m/>
    <m/>
    <s v="No Show"/>
    <m/>
    <m/>
    <m/>
    <m/>
    <m/>
  </r>
  <r>
    <d v="2025-10-22T00:00:00"/>
    <x v="6"/>
    <d v="1899-12-30T11:00:00"/>
    <s v="Caoimhe"/>
    <s v="Options IT"/>
    <n v="10"/>
    <s v="The Big Investors"/>
    <m/>
    <s v="Naz"/>
    <m/>
    <m/>
    <n v="9"/>
    <m/>
    <m/>
    <m/>
    <m/>
    <s v="Attended"/>
    <m/>
    <m/>
    <m/>
    <m/>
    <m/>
  </r>
  <r>
    <d v="2025-10-22T00:00:00"/>
    <x v="6"/>
    <d v="1899-12-30T13:00:00"/>
    <s v="Emma"/>
    <s v="Options IT"/>
    <n v="13"/>
    <s v="Missing Delivery"/>
    <m/>
    <s v="Charlene"/>
    <m/>
    <m/>
    <n v="9"/>
    <s v="Felt the difference from the intermediate drills, said that the drill was very true to life with the engagement to third parties and the resolution with Hamed having connections to reduce the ETA"/>
    <n v="6410"/>
    <m/>
    <m/>
    <s v="Attended"/>
    <m/>
    <m/>
    <m/>
    <m/>
    <m/>
  </r>
  <r>
    <d v="2025-10-22T00:00:00"/>
    <x v="6"/>
    <d v="1899-12-30T13:30:00"/>
    <s v="Aoife"/>
    <s v="Options IT"/>
    <n v="14"/>
    <s v="Radio Silence"/>
    <m/>
    <s v="Ed"/>
    <m/>
    <s v="had wrong session plan, changes to radio silence"/>
    <n v="9"/>
    <s v="it wasn't a client facing  issue and it was different"/>
    <n v="6411"/>
    <m/>
    <m/>
    <s v="Attended"/>
    <m/>
    <m/>
    <m/>
    <m/>
    <m/>
  </r>
  <r>
    <d v="2025-10-23T00:00:00"/>
    <x v="6"/>
    <d v="1899-12-30T10:00:00"/>
    <s v="Donnchadh"/>
    <s v="Options IT"/>
    <n v="7"/>
    <s v="Intro"/>
    <m/>
    <s v="Naz"/>
    <m/>
    <m/>
    <s v="No Score"/>
    <m/>
    <m/>
    <m/>
    <m/>
    <s v="Attended"/>
    <m/>
    <m/>
    <m/>
    <m/>
    <m/>
  </r>
  <r>
    <d v="2025-10-23T00:00:00"/>
    <x v="6"/>
    <d v="1899-12-30T10:00:00"/>
    <s v="Amelia"/>
    <s v="Options IT"/>
    <n v="9"/>
    <s v="Intro"/>
    <m/>
    <s v="Ed"/>
    <m/>
    <m/>
    <s v="No Score"/>
    <m/>
    <m/>
    <m/>
    <m/>
    <s v="Attended"/>
    <m/>
    <m/>
    <m/>
    <m/>
    <s v="OOO on 10-16th, would prefer sessions anytime from 11:30-12:30 on thursdays"/>
  </r>
  <r>
    <d v="2025-10-24T00:00:00"/>
    <x v="6"/>
    <d v="1899-12-30T11:00:00"/>
    <s v="Ciara"/>
    <s v="Options IT"/>
    <n v="16"/>
    <s v="PIR on Defcon1"/>
    <m/>
    <s v="Drew"/>
    <m/>
    <m/>
    <n v="10"/>
    <m/>
    <m/>
    <m/>
    <m/>
    <s v="Attended"/>
    <m/>
    <m/>
    <m/>
    <m/>
    <m/>
  </r>
  <r>
    <d v="2025-10-24T00:00:00"/>
    <x v="6"/>
    <d v="1899-12-30T16:00:00"/>
    <s v="James"/>
    <s v="Options IT"/>
    <n v="8"/>
    <s v="Onboarding,Too Good To Be True"/>
    <m/>
    <s v="Matthew"/>
    <m/>
    <m/>
    <n v="10"/>
    <s v="Really liked the drill and says we captured the feeling of a real drill_x000a_Every 6 months they does a phishing workshop "/>
    <n v="6454"/>
    <m/>
    <m/>
    <s v="Attended"/>
    <m/>
    <m/>
    <m/>
    <m/>
    <m/>
  </r>
  <r>
    <d v="2025-10-28T00:00:00"/>
    <x v="6"/>
    <d v="1899-12-30T14:00:00"/>
    <s v="Leah"/>
    <s v="Options IT"/>
    <n v="10"/>
    <s v="Onboarding,Too Good To Be True"/>
    <m/>
    <s v="Matthew"/>
    <m/>
    <m/>
    <n v="10"/>
    <s v="Loved how realistic the drills are "/>
    <n v="6476"/>
    <m/>
    <m/>
    <s v="Attended"/>
    <m/>
    <m/>
    <m/>
    <m/>
    <m/>
  </r>
  <r>
    <d v="2025-10-28T00:00:00"/>
    <x v="6"/>
    <d v="1899-12-30T15:00:00"/>
    <s v="Elsa"/>
    <s v="Options IT"/>
    <n v="11"/>
    <s v="The Big Investors"/>
    <m/>
    <s v="Karan"/>
    <m/>
    <s v="She is not generous with GUOT"/>
    <n v="7"/>
    <s v="It was good_x000a_, The character response was precise - "/>
    <m/>
    <m/>
    <m/>
    <s v="Attended"/>
    <m/>
    <m/>
    <m/>
    <m/>
    <m/>
  </r>
  <r>
    <d v="2025-10-29T00:00:00"/>
    <x v="6"/>
    <d v="1899-12-30T11:00:00"/>
    <s v="Caoimhe"/>
    <s v="Options IT"/>
    <n v="10"/>
    <m/>
    <m/>
    <s v="Charlene"/>
    <m/>
    <m/>
    <m/>
    <m/>
    <m/>
    <m/>
    <m/>
    <s v="Late Cancellation"/>
    <s v="Something has come up last minute."/>
    <m/>
    <m/>
    <m/>
    <m/>
  </r>
  <r>
    <d v="2025-10-29T00:00:00"/>
    <x v="6"/>
    <d v="1899-12-30T13:00:00"/>
    <s v="Emma"/>
    <s v="Options IT"/>
    <n v="13"/>
    <s v="Radio Silence"/>
    <m/>
    <s v="Charlene"/>
    <m/>
    <s v="Move to every 2 weeks"/>
    <n v="8"/>
    <s v="Liked the drill and found it challenging. This is an average score for this user"/>
    <n v="6487"/>
    <m/>
    <m/>
    <s v="Attended"/>
    <m/>
    <m/>
    <m/>
    <m/>
    <m/>
  </r>
  <r>
    <d v="2025-10-29T00:00:00"/>
    <x v="6"/>
    <d v="1899-12-30T15:00:00"/>
    <s v="Storm"/>
    <s v="Options IT"/>
    <n v="7"/>
    <s v="Rumours"/>
    <m/>
    <s v="Matthew"/>
    <m/>
    <m/>
    <n v="10"/>
    <s v="won't be training with us too long; he is here to see the product and understand the value it can bring to his team and report on that, and will stop sessions soon to swap with one of his team members. (This is a good thing that he is stopping, not to be looked at as a bad thing)"/>
    <n v="6497"/>
    <m/>
    <m/>
    <s v="Attended"/>
    <m/>
    <m/>
    <m/>
    <m/>
    <m/>
  </r>
  <r>
    <d v="2025-10-30T00:00:00"/>
    <x v="6"/>
    <d v="1899-12-30T10:00:00"/>
    <s v="Amelia"/>
    <s v="Options IT"/>
    <n v="9"/>
    <s v="Onboarding,Too Good To Be True"/>
    <m/>
    <s v="Charlene"/>
    <m/>
    <m/>
    <n v="9"/>
    <m/>
    <m/>
    <m/>
    <m/>
    <s v="Attended"/>
    <m/>
    <m/>
    <m/>
    <m/>
    <m/>
  </r>
  <r>
    <d v="2025-10-30T00:00:00"/>
    <x v="6"/>
    <d v="1899-12-30T16:00:00"/>
    <s v="Ritchie"/>
    <s v="Options IT"/>
    <n v="13"/>
    <m/>
    <m/>
    <m/>
    <m/>
    <m/>
    <m/>
    <m/>
    <m/>
    <m/>
    <m/>
    <s v="Late Cancellation"/>
    <s v="Something has came up"/>
    <m/>
    <m/>
    <m/>
    <m/>
  </r>
  <r>
    <d v="2025-10-31T00:00:00"/>
    <x v="6"/>
    <d v="1899-12-30T16:00:00"/>
    <s v="James"/>
    <s v="Options IT"/>
    <n v="8"/>
    <s v="The Big Investors"/>
    <m/>
    <s v="Stuart"/>
    <m/>
    <m/>
    <n v="10"/>
    <s v="James gave hs score verbally as we were talking after the drill and by the time he got around to pressing the button the drill had spun down"/>
    <n v="6519"/>
    <m/>
    <m/>
    <s v="Attended"/>
    <m/>
    <m/>
    <s v="checked"/>
    <s v="states failed to trigger so I had to improvise!"/>
    <m/>
  </r>
  <r>
    <d v="2025-11-04T00:00:00"/>
    <x v="7"/>
    <d v="1899-12-30T10:00:00"/>
    <s v="Ellie"/>
    <s v="Options IT"/>
    <n v="11"/>
    <s v="Onboarding,Too Good To Be True"/>
    <m/>
    <s v="Charlene"/>
    <m/>
    <m/>
    <n v="9"/>
    <s v="felt the simulations are quite realistic in terms of emulating stress felt in real life scenarios, was surprised by the promptness of the characters"/>
    <n v="6570"/>
    <m/>
    <m/>
    <s v="Attended"/>
    <m/>
    <m/>
    <m/>
    <m/>
    <m/>
  </r>
  <r>
    <d v="2025-11-04T00:00:00"/>
    <x v="7"/>
    <d v="1899-12-30T17:00:00"/>
    <s v="Leah"/>
    <s v="Options IT"/>
    <n v="10"/>
    <s v="Bez Beatles Day"/>
    <m/>
    <s v="Naz"/>
    <m/>
    <m/>
    <n v="7"/>
    <s v="She enjoyed the session very much. She gave us a score of 7, as she wasn’t expecting the AI bot to respond so much like a human._x000a_We need to remind her GUOT is about experience as she clearly said this is fun and very common issue."/>
    <n v="6601"/>
    <m/>
    <m/>
    <s v="Attended"/>
    <m/>
    <m/>
    <m/>
    <m/>
    <m/>
  </r>
  <r>
    <d v="2025-11-05T00:00:00"/>
    <x v="7"/>
    <d v="1899-12-30T11:00:00"/>
    <s v="Aoife"/>
    <s v="Options IT"/>
    <n v="14"/>
    <s v="Roblox"/>
    <m/>
    <s v="Ed"/>
    <m/>
    <s v="Move her to every 2 weeks"/>
    <n v="9"/>
    <s v="Finds this interesting and will take the feedback on board for her next sessions"/>
    <n v="6609"/>
    <m/>
    <m/>
    <s v="Attended"/>
    <m/>
    <m/>
    <m/>
    <m/>
    <m/>
  </r>
  <r>
    <d v="2025-11-05T00:00:00"/>
    <x v="7"/>
    <d v="1899-12-30T11:00:00"/>
    <s v="Caoimhe"/>
    <s v="Options IT"/>
    <n v="10"/>
    <s v="Rumours"/>
    <m/>
    <s v="Naz"/>
    <m/>
    <m/>
    <n v="8"/>
    <s v="She found the issue very common and liked the drill very much_x000a_"/>
    <n v="6608"/>
    <m/>
    <m/>
    <s v="Attended"/>
    <m/>
    <m/>
    <m/>
    <m/>
    <m/>
  </r>
  <r>
    <d v="2025-11-05T00:00:00"/>
    <x v="7"/>
    <d v="1899-12-30T15:00:00"/>
    <s v="Storm"/>
    <s v="Options IT"/>
    <n v="7"/>
    <m/>
    <m/>
    <m/>
    <m/>
    <m/>
    <m/>
    <m/>
    <m/>
    <m/>
    <m/>
    <s v="Cancelled"/>
    <s v="There's an urgent meeting that she needs to attend to"/>
    <m/>
    <m/>
    <m/>
    <m/>
  </r>
  <r>
    <d v="2025-11-05T00:00:00"/>
    <x v="7"/>
    <d v="1899-12-30T15:00:00"/>
    <s v="Elsa"/>
    <s v="Options IT"/>
    <n v="11"/>
    <s v="Missing Delivery"/>
    <m/>
    <s v="Ed"/>
    <m/>
    <m/>
    <n v="7"/>
    <s v="Would like it to be more independent and have more hand on the approach"/>
    <n v="6616"/>
    <m/>
    <m/>
    <s v="Attended"/>
    <m/>
    <m/>
    <m/>
    <m/>
    <m/>
  </r>
  <r>
    <d v="2025-11-06T00:00:00"/>
    <x v="7"/>
    <d v="1899-12-30T10:00:00"/>
    <s v="Donnchadh"/>
    <s v="Options IT"/>
    <n v="7"/>
    <s v="Onboarding,Too Good To Be True"/>
    <m/>
    <s v="Naz"/>
    <m/>
    <m/>
    <s v="No Score"/>
    <m/>
    <m/>
    <m/>
    <m/>
    <s v="Attended"/>
    <m/>
    <m/>
    <m/>
    <m/>
    <m/>
  </r>
  <r>
    <d v="2025-11-06T00:00:00"/>
    <x v="7"/>
    <d v="1899-12-30T10:30:00"/>
    <s v="Amelia"/>
    <s v="Options IT"/>
    <n v="9"/>
    <s v="Bez Beatles Day"/>
    <m/>
    <s v="Ed"/>
    <m/>
    <m/>
    <n v="9"/>
    <s v="It was good drill that made you think, very logical drill"/>
    <n v="6626"/>
    <m/>
    <m/>
    <s v="Attended"/>
    <m/>
    <m/>
    <m/>
    <m/>
    <s v="She will me on holidays next week"/>
  </r>
  <r>
    <d v="2025-11-06T00:00:00"/>
    <x v="7"/>
    <d v="1899-12-30T16:00:00"/>
    <s v="Ritchie"/>
    <s v="Options IT"/>
    <n v="13"/>
    <m/>
    <m/>
    <s v="Naz"/>
    <m/>
    <m/>
    <m/>
    <m/>
    <m/>
    <m/>
    <m/>
    <s v="No Show"/>
    <m/>
    <m/>
    <m/>
    <m/>
    <m/>
  </r>
  <r>
    <d v="2025-11-07T00:00:00"/>
    <x v="7"/>
    <d v="1899-12-30T11:00:00"/>
    <s v="Ciara"/>
    <s v="Options IT"/>
    <n v="16"/>
    <s v="Version Confusion"/>
    <m/>
    <s v="Drew"/>
    <m/>
    <m/>
    <n v="8"/>
    <m/>
    <m/>
    <m/>
    <m/>
    <s v="Attended"/>
    <m/>
    <m/>
    <m/>
    <m/>
    <m/>
  </r>
  <r>
    <d v="2025-11-07T00:00:00"/>
    <x v="7"/>
    <d v="1899-12-30T16:00:00"/>
    <s v="James"/>
    <s v="Options IT"/>
    <n v="8"/>
    <m/>
    <m/>
    <s v="Stuart"/>
    <m/>
    <m/>
    <m/>
    <m/>
    <m/>
    <m/>
    <m/>
    <s v="Internal Reschedule/Cancellation"/>
    <s v="It was my mistake. I accidentally removed him from the invite instead of Karan."/>
    <m/>
    <m/>
    <m/>
    <m/>
  </r>
  <r>
    <d v="2025-11-11T00:00:00"/>
    <x v="7"/>
    <d v="1899-12-30T10:00:00"/>
    <s v="Ellie"/>
    <s v="Options IT"/>
    <n v="11"/>
    <s v="Bez Beatles Day"/>
    <m/>
    <s v="Charlene"/>
    <m/>
    <m/>
    <n v="9"/>
    <s v="Found that drill more difficult than the onboarding but she felt she learned something from the drill and she had a smile on her face"/>
    <n v="6727"/>
    <m/>
    <m/>
    <s v="Attended"/>
    <m/>
    <m/>
    <m/>
    <m/>
    <m/>
  </r>
  <r>
    <d v="2025-11-11T00:00:00"/>
    <x v="7"/>
    <d v="1899-12-30T10:00:00"/>
    <s v="Jamie"/>
    <s v="Options IT"/>
    <n v="17"/>
    <s v="PIR on Defcon1"/>
    <m/>
    <s v="Karan"/>
    <m/>
    <s v="Retrospective helps great - During an incident , the learning is less since we are focussed on resolution - When we do these retrospective actions - We can see ourselves and do much better"/>
    <s v="No Score"/>
    <m/>
    <m/>
    <m/>
    <m/>
    <s v="Attended"/>
    <m/>
    <m/>
    <m/>
    <m/>
    <m/>
  </r>
  <r>
    <d v="2025-11-11T00:00:00"/>
    <x v="7"/>
    <d v="1899-12-30T10:00:00"/>
    <s v="Mark"/>
    <s v="Options IT"/>
    <n v="11"/>
    <s v="Intro"/>
    <m/>
    <s v="Naz"/>
    <m/>
    <m/>
    <s v="No Score"/>
    <m/>
    <m/>
    <m/>
    <m/>
    <s v="Attended"/>
    <m/>
    <m/>
    <m/>
    <m/>
    <m/>
  </r>
  <r>
    <d v="2025-11-11T00:00:00"/>
    <x v="7"/>
    <d v="1899-12-30T14:00:00"/>
    <s v="Leah"/>
    <s v="Options IT"/>
    <n v="10"/>
    <s v="The Big Investors"/>
    <m/>
    <s v="Rishi"/>
    <m/>
    <m/>
    <n v="9"/>
    <s v="This one was technical and liked the scenario. She discussed about the toughest part in hadnling incident is whom to escalate and which team owns it. "/>
    <n v="6733"/>
    <m/>
    <m/>
    <s v="Attended"/>
    <m/>
    <m/>
    <m/>
    <m/>
    <m/>
  </r>
  <r>
    <d v="2025-11-11T00:00:00"/>
    <x v="7"/>
    <d v="1899-12-30T15:00:00"/>
    <s v="Elsa"/>
    <s v="Options IT"/>
    <n v="11"/>
    <s v="Rumours"/>
    <m/>
    <s v="Stuart"/>
    <m/>
    <m/>
    <n v="7"/>
    <s v="Elsa has given 6 &amp; 7 for all previous drills. She seemed quite happy with Rumors as it was rather different from previous drill she's played"/>
    <n v="6736"/>
    <m/>
    <m/>
    <s v="Attended"/>
    <m/>
    <m/>
    <m/>
    <m/>
    <m/>
  </r>
  <r>
    <d v="2025-11-12T00:00:00"/>
    <x v="7"/>
    <d v="1899-12-30T11:00:00"/>
    <s v="Caoimhe"/>
    <s v="Options IT"/>
    <n v="10"/>
    <s v="Missing Delivery"/>
    <m/>
    <s v="Charlene"/>
    <m/>
    <m/>
    <n v="9"/>
    <s v="Liked the drill, thought it was interesting as there were vendors involved. said she could relate to it in work"/>
    <n v="6744"/>
    <m/>
    <m/>
    <s v="Attended"/>
    <m/>
    <m/>
    <m/>
    <m/>
    <m/>
  </r>
  <r>
    <d v="2025-11-12T00:00:00"/>
    <x v="7"/>
    <d v="1899-12-30T13:00:00"/>
    <s v="Emma"/>
    <s v="Options IT"/>
    <n v="13"/>
    <s v="Roblox"/>
    <m/>
    <s v="Ed"/>
    <m/>
    <s v="Gives on avergage 8/9"/>
    <n v="8"/>
    <s v="Is always looking forward to drills as you don't know what will happen"/>
    <n v="6747"/>
    <m/>
    <m/>
    <s v="Attended"/>
    <m/>
    <m/>
    <m/>
    <m/>
    <m/>
  </r>
  <r>
    <d v="2025-11-12T00:00:00"/>
    <x v="7"/>
    <d v="1899-12-30T15:00:00"/>
    <s v="Storm"/>
    <s v="Options IT"/>
    <n v="7"/>
    <s v="Missing Delivery"/>
    <m/>
    <s v="Joe"/>
    <m/>
    <s v="Karan, Missing Delivery"/>
    <n v="10"/>
    <m/>
    <m/>
    <m/>
    <m/>
    <s v="Attended"/>
    <m/>
    <m/>
    <m/>
    <m/>
    <m/>
  </r>
  <r>
    <d v="2025-11-13T00:00:00"/>
    <x v="7"/>
    <d v="1899-12-30T09:00:00"/>
    <s v="Donnchadh"/>
    <s v="Options IT"/>
    <n v="7"/>
    <m/>
    <m/>
    <m/>
    <m/>
    <m/>
    <m/>
    <m/>
    <m/>
    <m/>
    <m/>
    <s v="Cancelled"/>
    <s v="They have a work issue that she needs to address"/>
    <m/>
    <m/>
    <m/>
    <m/>
  </r>
  <r>
    <d v="2025-11-14T00:00:00"/>
    <x v="7"/>
    <d v="1899-12-30T10:00:00"/>
    <s v="Zach"/>
    <s v="Options IT"/>
    <n v="8"/>
    <m/>
    <m/>
    <m/>
    <m/>
    <m/>
    <m/>
    <m/>
    <m/>
    <m/>
    <m/>
    <s v="Cancelled"/>
    <s v="Did not provide any reason"/>
    <m/>
    <m/>
    <m/>
    <m/>
  </r>
  <r>
    <d v="2025-11-14T00:00:00"/>
    <x v="7"/>
    <d v="1899-12-30T16:00:00"/>
    <s v="James"/>
    <s v="Options IT"/>
    <n v="8"/>
    <s v="Bez Beatles Day"/>
    <m/>
    <s v="Stuart"/>
    <m/>
    <m/>
    <n v="10"/>
    <s v="Liked the drill. Got a bit lost when daniel pushed back and could have been more commanding in his instructions. "/>
    <n v="6787"/>
    <m/>
    <m/>
    <s v="Attended"/>
    <m/>
    <m/>
    <m/>
    <m/>
    <m/>
  </r>
  <r>
    <d v="2025-11-17T00:00:00"/>
    <x v="7"/>
    <d v="1899-12-30T12:00:00"/>
    <s v="Zach"/>
    <s v="Options IT"/>
    <n v="8"/>
    <m/>
    <m/>
    <m/>
    <m/>
    <m/>
    <m/>
    <m/>
    <m/>
    <m/>
    <m/>
    <s v="Cancelled"/>
    <s v="He's up to his neck at the moment"/>
    <m/>
    <m/>
    <m/>
    <m/>
  </r>
  <r>
    <d v="2025-11-18T00:00:00"/>
    <x v="7"/>
    <d v="1899-12-30T09:30:00"/>
    <s v="Mark"/>
    <s v="Options IT"/>
    <n v="11"/>
    <s v="Onboarding,Too Good To Be True"/>
    <m/>
    <s v="Ed"/>
    <m/>
    <m/>
    <n v="9"/>
    <s v="It was good intro level. he was pretty pleased with drill"/>
    <n v="6801"/>
    <m/>
    <m/>
    <s v="Attended"/>
    <m/>
    <m/>
    <m/>
    <m/>
    <s v="@Mildred Ranquehe will be OOO next tuesday but he can play same time next wednesday or following week"/>
  </r>
  <r>
    <d v="2025-11-18T00:00:00"/>
    <x v="7"/>
    <d v="1899-12-30T10:00:00"/>
    <s v="Ellie"/>
    <s v="Options IT"/>
    <n v="11"/>
    <s v="The Big Investors"/>
    <m/>
    <s v="Charlene"/>
    <m/>
    <m/>
    <n v="9"/>
    <s v="learned something new as she hadn't heard about chaos testing before so she found the drill more challenging as it wasn't change related"/>
    <n v="6803"/>
    <m/>
    <m/>
    <s v="Attended"/>
    <m/>
    <m/>
    <m/>
    <m/>
    <m/>
  </r>
  <r>
    <d v="2025-11-18T00:00:00"/>
    <x v="7"/>
    <d v="1899-12-30T14:30:00"/>
    <s v="Leah"/>
    <s v="Options IT"/>
    <n v="10"/>
    <s v="Rumours"/>
    <m/>
    <s v="Rishi"/>
    <m/>
    <m/>
    <n v="9"/>
    <s v="Good one. Applied the working theory instantly as she handles customers directly "/>
    <n v="6812"/>
    <m/>
    <m/>
    <s v="Attended"/>
    <m/>
    <m/>
    <m/>
    <m/>
    <m/>
  </r>
  <r>
    <d v="2025-11-18T00:00:00"/>
    <x v="7"/>
    <d v="1899-12-30T15:00:00"/>
    <s v="Elsa"/>
    <s v="Options IT"/>
    <n v="11"/>
    <s v="Radio Silence"/>
    <m/>
    <s v="Karan"/>
    <m/>
    <m/>
    <n v="7"/>
    <s v="It was good - day to day problem ._x000a_What would take it 10 :_x000a_I need incident with high pressure"/>
    <n v="6813"/>
    <m/>
    <m/>
    <s v="Attended"/>
    <m/>
    <m/>
    <m/>
    <m/>
    <m/>
  </r>
  <r>
    <d v="2025-11-19T00:00:00"/>
    <x v="7"/>
    <d v="1899-12-30T14:00:00"/>
    <s v="Caoimhe"/>
    <s v="Options IT"/>
    <n v="10"/>
    <s v="Radio Silence"/>
    <m/>
    <s v="Charlene"/>
    <m/>
    <s v="Move to every 2 weeks"/>
    <n v="7"/>
    <s v="She said she wasn't in the best mindset to play the drill and didn't fully understand what was happening. explained the drill afterwards and she said she would've understood more if she took the time to read the context. it would seem her enjoyment correlates to her skill in the drill"/>
    <n v="6833"/>
    <m/>
    <m/>
    <s v="Attended"/>
    <m/>
    <m/>
    <m/>
    <m/>
    <m/>
  </r>
  <r>
    <d v="2025-11-19T00:00:00"/>
    <x v="7"/>
    <d v="1899-12-30T15:00:00"/>
    <s v="Storm"/>
    <s v="Options IT"/>
    <n v="7"/>
    <s v="The Switch"/>
    <m/>
    <s v="Matthew"/>
    <m/>
    <m/>
    <n v="10"/>
    <s v="Would like to know his team's work on this (I told him we would send him a message about this when his team starts The Switch drill)_x000a__x000a_Was a good drill and he liked it a lot, He thinks his team will get in the habit of thinking its all change-related to wants to see how they do "/>
    <n v="6834"/>
    <m/>
    <m/>
    <s v="Attended"/>
    <m/>
    <m/>
    <m/>
    <m/>
    <m/>
  </r>
  <r>
    <d v="2025-11-20T00:00:00"/>
    <x v="7"/>
    <d v="1899-12-30T09:00:00"/>
    <s v="Donnchadh"/>
    <s v="Options IT"/>
    <n v="7"/>
    <s v="Bez Beatles Day"/>
    <m/>
    <s v="Ed"/>
    <m/>
    <m/>
    <n v="10"/>
    <s v="Said it was good and he needs to familiarise with team more"/>
    <n v="6841"/>
    <m/>
    <m/>
    <s v="Attended"/>
    <m/>
    <m/>
    <m/>
    <m/>
    <m/>
  </r>
  <r>
    <d v="2025-11-20T00:00:00"/>
    <x v="7"/>
    <d v="1899-12-30T10:00:00"/>
    <s v="Amelia"/>
    <s v="Options IT"/>
    <n v="9"/>
    <s v="The Big Investors"/>
    <m/>
    <s v="Rishi"/>
    <m/>
    <m/>
    <n v="9"/>
    <s v="Good one. Realistic scenario and the messages during the chat "/>
    <n v="6843"/>
    <m/>
    <m/>
    <s v="Attended"/>
    <m/>
    <m/>
    <m/>
    <m/>
    <m/>
  </r>
  <r>
    <d v="2025-11-20T00:00:00"/>
    <x v="7"/>
    <d v="1899-12-30T11:30:00"/>
    <s v="Aoife"/>
    <s v="Options IT"/>
    <n v="14"/>
    <s v="Profile Report"/>
    <m/>
    <s v="Ed"/>
    <m/>
    <s v="Didn't press for the GUOT number since that would ruin the session closure"/>
    <s v="No Score"/>
    <s v="Nice and short session, she is pretty happy with uptimelabs engagement"/>
    <m/>
    <m/>
    <m/>
    <s v="Attended"/>
    <m/>
    <m/>
    <m/>
    <m/>
    <m/>
  </r>
  <r>
    <d v="2025-11-20T00:00:00"/>
    <x v="7"/>
    <d v="1899-12-30T16:00:00"/>
    <s v="Ritchie"/>
    <s v="Options IT"/>
    <n v="13"/>
    <s v="PIR on Defcon1"/>
    <m/>
    <s v="Stuart"/>
    <m/>
    <m/>
    <s v="No Score"/>
    <s v="feedback on the session was positive."/>
    <m/>
    <m/>
    <m/>
    <s v="Attended"/>
    <m/>
    <m/>
    <m/>
    <m/>
    <m/>
  </r>
  <r>
    <d v="2025-11-21T00:00:00"/>
    <x v="7"/>
    <d v="1899-12-30T13:00:00"/>
    <s v="Ciara"/>
    <s v="Options IT"/>
    <n v="16"/>
    <s v="Memory Lane"/>
    <m/>
    <s v="Ed"/>
    <m/>
    <m/>
    <n v="9"/>
    <s v="She was pretty please with her performance and didn't have any questions"/>
    <n v="6864"/>
    <m/>
    <m/>
    <s v="Attended"/>
    <m/>
    <m/>
    <m/>
    <m/>
    <m/>
  </r>
  <r>
    <d v="2025-11-21T00:00:00"/>
    <x v="7"/>
    <d v="1899-12-30T13:30:00"/>
    <s v="James"/>
    <s v="Options IT"/>
    <n v="8"/>
    <s v="Radio Silence"/>
    <m/>
    <s v="Matthew"/>
    <m/>
    <m/>
    <n v="10"/>
    <s v="He found this one interesting. "/>
    <m/>
    <m/>
    <m/>
    <s v="Attended"/>
    <m/>
    <m/>
    <m/>
    <m/>
    <m/>
  </r>
  <r>
    <d v="2025-11-25T00:00:00"/>
    <x v="7"/>
    <d v="1899-12-30T10:00:00"/>
    <s v="Ellie"/>
    <s v="Options IT"/>
    <n v="11"/>
    <s v="Rumours"/>
    <m/>
    <s v="Charlene"/>
    <m/>
    <m/>
    <n v="10"/>
    <s v="She liked that drill - found it easier compared to previous drills played. She completed the drill quickly so I spent more time giving her comprehensive feedback in preparation for the harder drills"/>
    <m/>
    <m/>
    <m/>
    <s v="Attended"/>
    <m/>
    <m/>
    <m/>
    <m/>
    <m/>
  </r>
  <r>
    <d v="2025-11-25T00:00:00"/>
    <x v="7"/>
    <d v="1899-12-30T10:00:00"/>
    <s v="Jamie"/>
    <s v="Options IT"/>
    <n v="17"/>
    <s v="The Switch"/>
    <m/>
    <s v="Matthew"/>
    <m/>
    <m/>
    <n v="10"/>
    <s v="He said this was a good drill "/>
    <n v="6878"/>
    <m/>
    <m/>
    <s v="Attended"/>
    <m/>
    <m/>
    <m/>
    <m/>
    <m/>
  </r>
  <r>
    <d v="2025-11-25T00:00:00"/>
    <x v="7"/>
    <d v="1899-12-30T14:00:00"/>
    <s v="Leah"/>
    <s v="Options IT"/>
    <n v="10"/>
    <m/>
    <m/>
    <m/>
    <m/>
    <m/>
    <m/>
    <m/>
    <m/>
    <m/>
    <m/>
    <s v="Rescheduled"/>
    <s v="She is currently in their NYC office and have to pop out to see a client at the last minute"/>
    <m/>
    <m/>
    <m/>
    <m/>
  </r>
  <r>
    <d v="2025-11-26T00:00:00"/>
    <x v="7"/>
    <d v="1899-12-30T09:30:00"/>
    <s v="Mark"/>
    <s v="Options IT"/>
    <n v="11"/>
    <s v="Bez Beatles Day"/>
    <m/>
    <s v="Ed"/>
    <m/>
    <m/>
    <n v="9"/>
    <s v="Seemed very interested in the whole process and liked the session"/>
    <n v="6900"/>
    <m/>
    <m/>
    <s v="Attended"/>
    <m/>
    <m/>
    <m/>
    <m/>
    <m/>
  </r>
  <r>
    <d v="2025-11-26T00:00:00"/>
    <x v="7"/>
    <d v="1899-12-30T10:00:00"/>
    <s v="Jack"/>
    <s v="Options IT"/>
    <n v="17"/>
    <m/>
    <m/>
    <m/>
    <m/>
    <m/>
    <m/>
    <m/>
    <m/>
    <m/>
    <m/>
    <s v="Cancelled"/>
    <s v="He asked to move to Mondays"/>
    <m/>
    <m/>
    <m/>
    <m/>
  </r>
  <r>
    <d v="2025-11-26T00:00:00"/>
    <x v="7"/>
    <d v="1899-12-30T10:00:00"/>
    <s v="Ciaran"/>
    <s v="Options IT"/>
    <n v="1"/>
    <m/>
    <m/>
    <s v="Naz"/>
    <m/>
    <m/>
    <m/>
    <m/>
    <m/>
    <m/>
    <m/>
    <s v="No Show"/>
    <m/>
    <m/>
    <m/>
    <m/>
    <m/>
  </r>
  <r>
    <d v="2025-11-26T00:00:00"/>
    <x v="7"/>
    <d v="1899-12-30T13:00:00"/>
    <s v="Emma"/>
    <s v="Options IT"/>
    <n v="13"/>
    <s v="Profile Report"/>
    <m/>
    <s v="Charlene"/>
    <m/>
    <m/>
    <s v="No Score"/>
    <s v="Positive session overall, we touched base on cadence, overall performance and talked depth about business coms"/>
    <m/>
    <m/>
    <m/>
    <s v="Attended"/>
    <m/>
    <m/>
    <m/>
    <m/>
    <m/>
  </r>
  <r>
    <d v="2025-11-27T00:00:00"/>
    <x v="7"/>
    <d v="1899-12-30T10:00:00"/>
    <s v="Amelia"/>
    <s v="Options IT"/>
    <n v="9"/>
    <s v="Rumours"/>
    <m/>
    <s v="Charlene"/>
    <m/>
    <m/>
    <n v="9"/>
    <s v="she liked the learnings of this drill and wanted to hear feedback, talked top her about working theory and grounding"/>
    <m/>
    <m/>
    <m/>
    <s v="Attended"/>
    <m/>
    <m/>
    <m/>
    <m/>
    <m/>
  </r>
  <r>
    <d v="2025-11-27T00:00:00"/>
    <x v="7"/>
    <d v="1899-12-30T15:00:00"/>
    <s v="Leah"/>
    <s v="Options IT"/>
    <n v="10"/>
    <s v="Missing Delivery"/>
    <m/>
    <s v="Rishi"/>
    <m/>
    <m/>
    <n v="10"/>
    <s v="definately an advanced one. Enjoyed playing it, got to know on how to reach out 3rd party here in UL drills. Also, felt silly on herself while escalating it to Bez rather than Tinus - CTO "/>
    <n v="6944"/>
    <m/>
    <m/>
    <s v="Attended"/>
    <m/>
    <m/>
    <m/>
    <m/>
    <m/>
  </r>
  <r>
    <d v="2025-12-01T00:00:00"/>
    <x v="8"/>
    <d v="1899-12-30T15:00:00"/>
    <s v="Jessica"/>
    <s v="Options IT"/>
    <n v="6"/>
    <s v="Intro"/>
    <m/>
    <s v="Naz"/>
    <m/>
    <m/>
    <s v="No Score"/>
    <m/>
    <m/>
    <m/>
    <m/>
    <s v="Attended"/>
    <m/>
    <m/>
    <m/>
    <m/>
    <m/>
  </r>
  <r>
    <d v="2025-12-02T00:00:00"/>
    <x v="8"/>
    <d v="1899-12-30T09:30:00"/>
    <s v="Mark"/>
    <s v="Options IT"/>
    <n v="11"/>
    <m/>
    <m/>
    <m/>
    <m/>
    <m/>
    <m/>
    <m/>
    <m/>
    <m/>
    <m/>
    <s v="Rescheduled"/>
    <s v="He has a work call that came up"/>
    <m/>
    <m/>
    <m/>
    <m/>
  </r>
  <r>
    <d v="2025-12-02T00:00:00"/>
    <x v="8"/>
    <d v="1899-12-30T10:00:00"/>
    <s v="Ellie"/>
    <s v="Options IT"/>
    <n v="11"/>
    <s v="Missing Delivery"/>
    <m/>
    <s v="Charlene"/>
    <m/>
    <m/>
    <n v="9"/>
    <s v="she definitely felt this drill was an advanced drill. gave her some feedback about involving more team members and being more formal in the business. she was very receptive to the feedback"/>
    <n v="6983"/>
    <m/>
    <m/>
    <s v="Attended"/>
    <m/>
    <m/>
    <m/>
    <m/>
    <m/>
  </r>
  <r>
    <d v="2025-12-02T00:00:00"/>
    <x v="8"/>
    <d v="1899-12-30T14:00:00"/>
    <s v="Leah"/>
    <s v="Options IT"/>
    <n v="10"/>
    <s v="Radio Silence"/>
    <m/>
    <s v="Rishi"/>
    <m/>
    <m/>
    <n v="10"/>
    <s v="Realistic. Got to learn about being careful while doing a rollback and checking people's availability in the beginning itself"/>
    <n v="6989"/>
    <m/>
    <m/>
    <s v="Attended"/>
    <m/>
    <m/>
    <m/>
    <m/>
    <m/>
  </r>
  <r>
    <d v="2025-12-02T00:00:00"/>
    <x v="8"/>
    <d v="1899-12-30T15:00:00"/>
    <s v="Account Meeting"/>
    <s v="Options IT"/>
    <m/>
    <s v="Account Meeting"/>
    <m/>
    <m/>
    <m/>
    <m/>
    <m/>
    <m/>
    <m/>
    <m/>
    <m/>
    <m/>
    <m/>
    <m/>
    <m/>
    <m/>
    <m/>
  </r>
  <r>
    <d v="2025-12-02T00:00:00"/>
    <x v="8"/>
    <d v="1899-12-30T15:00:00"/>
    <s v="Elsa"/>
    <s v="Options IT"/>
    <n v="11"/>
    <m/>
    <m/>
    <m/>
    <m/>
    <m/>
    <m/>
    <m/>
    <m/>
    <m/>
    <m/>
    <s v="Cancelled"/>
    <s v="Did not provide any reason"/>
    <m/>
    <m/>
    <m/>
    <m/>
  </r>
  <r>
    <d v="2025-12-03T00:00:00"/>
    <x v="8"/>
    <d v="1899-12-30T09:30:00"/>
    <s v="Mark"/>
    <s v="Options IT"/>
    <n v="11"/>
    <s v="The Big Investors"/>
    <m/>
    <s v="Ed"/>
    <m/>
    <m/>
    <n v="9"/>
    <s v="Was pretty happy with drill and learning outcomes"/>
    <n v="6997"/>
    <m/>
    <m/>
    <s v="Attended"/>
    <m/>
    <m/>
    <m/>
    <m/>
    <m/>
  </r>
  <r>
    <d v="2025-12-03T00:00:00"/>
    <x v="8"/>
    <d v="1899-12-30T10:00:00"/>
    <s v="Ciaran"/>
    <s v="Options IT"/>
    <n v="1"/>
    <m/>
    <m/>
    <s v="Naz"/>
    <m/>
    <m/>
    <m/>
    <m/>
    <m/>
    <m/>
    <m/>
    <s v="No Show"/>
    <m/>
    <m/>
    <m/>
    <m/>
    <m/>
  </r>
  <r>
    <d v="2025-12-03T00:00:00"/>
    <x v="8"/>
    <d v="1899-12-30T11:00:00"/>
    <s v="Aoife"/>
    <s v="Options IT"/>
    <n v="14"/>
    <s v="The Chain,Grounding Workshop"/>
    <m/>
    <s v="Ed"/>
    <m/>
    <m/>
    <n v="8"/>
    <s v="She is very hands on troubleshhoter and wants to investigate herself, this is what's missing to get to 10"/>
    <n v="6998"/>
    <m/>
    <m/>
    <s v="Attended"/>
    <m/>
    <m/>
    <m/>
    <m/>
    <m/>
  </r>
  <r>
    <d v="2025-12-03T00:00:00"/>
    <x v="8"/>
    <d v="1899-12-30T11:00:00"/>
    <s v="Caoimhe"/>
    <s v="Options IT"/>
    <n v="10"/>
    <m/>
    <m/>
    <m/>
    <m/>
    <m/>
    <m/>
    <m/>
    <m/>
    <m/>
    <m/>
    <s v="Cancelled"/>
    <s v="Something has come up unfortunately"/>
    <m/>
    <m/>
    <m/>
    <m/>
  </r>
  <r>
    <d v="2025-12-03T00:00:00"/>
    <x v="8"/>
    <d v="1899-12-30T15:00:00"/>
    <s v="Storm"/>
    <s v="Options IT"/>
    <n v="7"/>
    <m/>
    <m/>
    <m/>
    <m/>
    <m/>
    <m/>
    <m/>
    <m/>
    <m/>
    <m/>
    <s v="Cancelled"/>
    <s v="Been pulled into some work"/>
    <m/>
    <m/>
    <m/>
    <m/>
  </r>
  <r>
    <d v="2025-12-04T00:00:00"/>
    <x v="8"/>
    <d v="1899-12-30T10:00:00"/>
    <s v="Amelia"/>
    <s v="Options IT"/>
    <n v="9"/>
    <m/>
    <m/>
    <m/>
    <m/>
    <m/>
    <m/>
    <m/>
    <m/>
    <m/>
    <m/>
    <s v="Cancelled"/>
    <s v="Did not provide any reason"/>
    <m/>
    <m/>
    <m/>
    <m/>
  </r>
  <r>
    <d v="2025-12-04T00:00:00"/>
    <x v="8"/>
    <d v="1899-12-30T11:00:00"/>
    <s v="Caoimhe"/>
    <s v="Options IT"/>
    <n v="10"/>
    <s v="Roblox"/>
    <m/>
    <s v="Naz"/>
    <m/>
    <m/>
    <n v="9"/>
    <s v="She liked the drill, never had an experience with 2 issues at the same time"/>
    <n v="7012"/>
    <m/>
    <m/>
    <s v="Attended"/>
    <m/>
    <m/>
    <m/>
    <m/>
    <m/>
  </r>
  <r>
    <d v="2025-12-04T00:00:00"/>
    <x v="8"/>
    <d v="1899-12-30T16:00:00"/>
    <s v="Ritchie"/>
    <s v="Options IT"/>
    <n v="13"/>
    <m/>
    <m/>
    <m/>
    <m/>
    <m/>
    <m/>
    <m/>
    <m/>
    <m/>
    <m/>
    <s v="Cancelled"/>
    <s v="Did not provide any reason"/>
    <m/>
    <m/>
    <m/>
    <m/>
  </r>
  <r>
    <d v="2025-12-05T00:00:00"/>
    <x v="8"/>
    <d v="1899-12-30T11:00:00"/>
    <s v="Ciara"/>
    <s v="Options IT"/>
    <n v="16"/>
    <s v="PIR on Memory Lane"/>
    <m/>
    <s v="Ed"/>
    <m/>
    <m/>
    <n v="10"/>
    <s v="Finds PIR sessions beneficaial as they are allowing to reflect on what was missed during the investigation and drill"/>
    <m/>
    <m/>
    <m/>
    <s v="Attended"/>
    <m/>
    <m/>
    <m/>
    <m/>
    <m/>
  </r>
  <r>
    <d v="2025-12-08T00:00:00"/>
    <x v="8"/>
    <d v="1899-12-30T12:00:00"/>
    <s v="Jack"/>
    <s v="Options IT"/>
    <n v="17"/>
    <s v="Version Confusion"/>
    <m/>
    <s v="Ed"/>
    <m/>
    <s v="next session on 5th or 12th"/>
    <n v="9"/>
    <s v="good drill to understand if the issues been happening for a while and why"/>
    <n v="7041"/>
    <m/>
    <m/>
    <s v="Attended"/>
    <m/>
    <m/>
    <m/>
    <m/>
    <m/>
  </r>
  <r>
    <d v="2025-12-08T00:00:00"/>
    <x v="8"/>
    <d v="1899-12-30T15:00:00"/>
    <s v="Jessica"/>
    <s v="Options IT"/>
    <n v="6"/>
    <s v="Onboarding,Too Good To Be True"/>
    <m/>
    <s v="Matthew"/>
    <m/>
    <m/>
    <n v="10"/>
    <s v="Really liked the drill, and felt the pressure of the drill"/>
    <n v="7051"/>
    <m/>
    <m/>
    <s v="Attended"/>
    <m/>
    <m/>
    <m/>
    <m/>
    <m/>
  </r>
  <r>
    <d v="2025-12-09T00:00:00"/>
    <x v="8"/>
    <d v="1899-12-30T09:30:00"/>
    <s v="Mark"/>
    <s v="Options IT"/>
    <n v="11"/>
    <s v="Rumours"/>
    <m/>
    <s v="Ed"/>
    <m/>
    <s v="he played big investor, updated to rumours"/>
    <n v="8"/>
    <s v="Said it was a good drill , he was able to figure out it's going to be a local issue pretty much from the beginning"/>
    <n v="7054"/>
    <m/>
    <m/>
    <s v="Attended"/>
    <m/>
    <m/>
    <m/>
    <m/>
    <m/>
  </r>
  <r>
    <d v="2025-12-09T00:00:00"/>
    <x v="8"/>
    <d v="1899-12-30T10:00:00"/>
    <s v="Ellie"/>
    <s v="Options IT"/>
    <n v="11"/>
    <s v="Radio Silence"/>
    <m/>
    <s v="Charlene"/>
    <m/>
    <s v="Move to every 2 weeks"/>
    <n v="7"/>
    <s v="she really struggled with this drill. spent a lot of time explaining retro actively what went wrong and skills to improve on. the difficulty of this drill reflects in the score"/>
    <n v="7055"/>
    <m/>
    <m/>
    <s v="Attended"/>
    <m/>
    <m/>
    <m/>
    <m/>
    <m/>
  </r>
  <r>
    <d v="2025-12-09T00:00:00"/>
    <x v="8"/>
    <d v="1899-12-30T10:00:00"/>
    <s v="Jamie"/>
    <s v="Options IT"/>
    <n v="17"/>
    <s v="PIR on Switch"/>
    <m/>
    <s v="Matthew"/>
    <m/>
    <m/>
    <n v="10"/>
    <s v="He sees the value in the PIR and looking back on his own logs "/>
    <m/>
    <m/>
    <m/>
    <s v="Attended"/>
    <m/>
    <m/>
    <m/>
    <m/>
    <m/>
  </r>
  <r>
    <d v="2025-12-09T00:00:00"/>
    <x v="8"/>
    <d v="1899-12-30T14:00:00"/>
    <s v="Leah"/>
    <s v="Options IT"/>
    <n v="10"/>
    <s v="Roblox"/>
    <m/>
    <s v="Rishi"/>
    <m/>
    <s v="Move her every 2 weeks"/>
    <n v="10"/>
    <s v="Absolutely different than previous ones. "/>
    <n v="7070"/>
    <m/>
    <m/>
    <s v="Attended"/>
    <m/>
    <m/>
    <m/>
    <m/>
    <m/>
  </r>
  <r>
    <d v="2025-12-09T00:00:00"/>
    <x v="8"/>
    <d v="1899-12-30T15:00:00"/>
    <s v="Elsa"/>
    <s v="Options IT"/>
    <n v="11"/>
    <s v="Roblox"/>
    <m/>
    <s v="Matthew"/>
    <m/>
    <m/>
    <n v="8"/>
    <s v="Liked the drill"/>
    <n v="7071"/>
    <m/>
    <m/>
    <s v="Attended"/>
    <m/>
    <m/>
    <m/>
    <m/>
    <m/>
  </r>
  <r>
    <d v="2025-12-10T00:00:00"/>
    <x v="8"/>
    <d v="1899-12-30T10:00:00"/>
    <s v="Ciaran"/>
    <s v="Options IT"/>
    <n v="1"/>
    <m/>
    <m/>
    <s v="Naz"/>
    <m/>
    <m/>
    <m/>
    <m/>
    <m/>
    <m/>
    <m/>
    <s v="No Show"/>
    <m/>
    <m/>
    <m/>
    <m/>
    <m/>
  </r>
  <r>
    <d v="2025-12-10T00:00:00"/>
    <x v="8"/>
    <d v="1899-12-30T10:00:00"/>
    <s v="Peter"/>
    <s v="Options IT"/>
    <m/>
    <s v="Breaking Bez"/>
    <m/>
    <s v="Karan"/>
    <m/>
    <s v="He is the manager. Plan is to play and understand what is the drill about so in Jan we offer this to the team"/>
    <n v="10"/>
    <s v="Very realistic - This is a third party and outside team control ._x000a_great validation before making any decisions ._x000a__x000a_The challenge of waiting for 3rd party "/>
    <n v="7076"/>
    <m/>
    <m/>
    <s v="Attended"/>
    <m/>
    <m/>
    <m/>
    <m/>
    <m/>
  </r>
  <r>
    <d v="2025-12-10T00:00:00"/>
    <x v="8"/>
    <d v="1899-12-30T13:00:00"/>
    <s v="Emma"/>
    <s v="Options IT"/>
    <n v="13"/>
    <m/>
    <m/>
    <m/>
    <m/>
    <m/>
    <m/>
    <m/>
    <m/>
    <m/>
    <m/>
    <s v="Cancelled"/>
    <s v="Did not provide any reason"/>
    <m/>
    <m/>
    <m/>
    <m/>
  </r>
  <r>
    <d v="2025-12-10T00:00:00"/>
    <x v="8"/>
    <d v="1899-12-30T15:00:00"/>
    <s v="Storm"/>
    <s v="Options IT"/>
    <n v="7"/>
    <s v="PIR on Switch,Breaking Bez"/>
    <m/>
    <s v="Matthew"/>
    <m/>
    <s v="Either PIR or Breaking Bez_x000a_Move every 2 weeks"/>
    <n v="10"/>
    <s v="Liked the drill, said the pressure was good._x000a_Went well, told him about the PIR's and how we run some of them differently, I told him when they do the PIR on the switch we can gather the teams documents and send them over to him, he liked this idea._x000a_Also sent over the completed PIR so he could take a look at it"/>
    <n v="7083"/>
    <m/>
    <m/>
    <s v="Attended"/>
    <m/>
    <m/>
    <m/>
    <m/>
    <m/>
  </r>
  <r>
    <d v="2025-12-11T00:00:00"/>
    <x v="8"/>
    <d v="1899-12-30T09:00:00"/>
    <s v="Donnchadh"/>
    <s v="Options IT"/>
    <n v="7"/>
    <s v="The Big Investors"/>
    <m/>
    <s v="Ed"/>
    <m/>
    <s v="off next week 18th(no session) , 8 jan is back to session"/>
    <n v="10"/>
    <s v="Mentioned that session was really useful"/>
    <n v="7089"/>
    <m/>
    <m/>
    <s v="Attended"/>
    <m/>
    <m/>
    <m/>
    <m/>
    <m/>
  </r>
  <r>
    <d v="2025-12-11T00:00:00"/>
    <x v="8"/>
    <d v="1899-12-30T10:00:00"/>
    <s v="Amelia"/>
    <s v="Options IT"/>
    <n v="9"/>
    <m/>
    <m/>
    <m/>
    <m/>
    <m/>
    <m/>
    <m/>
    <m/>
    <m/>
    <m/>
    <s v="Cancelled"/>
    <s v="They have a Christmas party"/>
    <m/>
    <m/>
    <m/>
    <m/>
  </r>
  <r>
    <d v="2025-12-11T00:00:00"/>
    <x v="8"/>
    <d v="1899-12-30T16:00:00"/>
    <s v="Ritchie"/>
    <s v="Options IT"/>
    <n v="13"/>
    <m/>
    <m/>
    <s v="Rishi"/>
    <m/>
    <m/>
    <m/>
    <m/>
    <m/>
    <m/>
    <m/>
    <s v="No Show"/>
    <m/>
    <m/>
    <m/>
    <m/>
    <m/>
  </r>
  <r>
    <d v="2025-12-12T00:00:00"/>
    <x v="8"/>
    <d v="1899-12-30T10:00:00"/>
    <s v="Zach"/>
    <s v="Options IT"/>
    <n v="8"/>
    <m/>
    <m/>
    <s v="Ed"/>
    <m/>
    <m/>
    <m/>
    <m/>
    <m/>
    <m/>
    <m/>
    <s v="No Show"/>
    <m/>
    <m/>
    <m/>
    <m/>
    <m/>
  </r>
  <r>
    <d v="2025-12-12T00:00:00"/>
    <x v="8"/>
    <d v="1899-12-30T16:00:00"/>
    <s v="James"/>
    <s v="Options IT"/>
    <n v="8"/>
    <s v="Rumours"/>
    <m/>
    <s v="Rishi"/>
    <m/>
    <m/>
    <n v="10"/>
    <s v="Loved the drill. Narrowing down the scope is very important. Had a similar issue a few weeks back on my browser "/>
    <n v="7120"/>
    <m/>
    <m/>
    <s v="Attended"/>
    <m/>
    <m/>
    <m/>
    <m/>
    <m/>
  </r>
  <r>
    <d v="2025-12-15T00:00:00"/>
    <x v="8"/>
    <d v="1899-12-30T11:00:00"/>
    <s v="Jessica"/>
    <s v="Options IT"/>
    <n v="6"/>
    <m/>
    <m/>
    <m/>
    <m/>
    <m/>
    <m/>
    <m/>
    <m/>
    <m/>
    <m/>
    <s v="Cancelled"/>
    <s v="Declined the invite"/>
    <m/>
    <m/>
    <m/>
    <m/>
  </r>
  <r>
    <d v="2025-12-16T00:00:00"/>
    <x v="8"/>
    <d v="1899-12-30T09:30:00"/>
    <s v="Mark"/>
    <s v="Options IT"/>
    <n v="11"/>
    <s v="Missing Delivery V2"/>
    <s v="checked"/>
    <s v="Ed"/>
    <m/>
    <m/>
    <n v="10"/>
    <s v="something new every week, good experience every time"/>
    <n v="7148"/>
    <m/>
    <m/>
    <s v="Attended"/>
    <m/>
    <m/>
    <m/>
    <m/>
    <m/>
  </r>
  <r>
    <d v="2025-12-17T00:00:00"/>
    <x v="8"/>
    <d v="1899-12-30T11:00:00"/>
    <s v="Aoife"/>
    <s v="Options IT"/>
    <n v="14"/>
    <s v="Cart-astroph"/>
    <m/>
    <s v="Ed"/>
    <m/>
    <s v="Test Mattermost"/>
    <n v="9"/>
    <s v="had small struggle at the beggining due to MM glitch , decided to play a diffferent drill which worked out fine"/>
    <n v="7178"/>
    <m/>
    <m/>
    <s v="Attended"/>
    <m/>
    <m/>
    <s v="checked"/>
    <s v="couldn't start the drill in MM"/>
    <m/>
  </r>
  <r>
    <d v="2025-12-17T00:00:00"/>
    <x v="8"/>
    <d v="1899-12-30T11:00:00"/>
    <s v="Caoimhe"/>
    <s v="Options IT"/>
    <n v="10"/>
    <m/>
    <m/>
    <s v="Charlene"/>
    <m/>
    <s v="Test Mattermost"/>
    <m/>
    <m/>
    <m/>
    <m/>
    <m/>
    <s v="No Show"/>
    <m/>
    <m/>
    <m/>
    <m/>
    <m/>
  </r>
  <r>
    <d v="2025-12-17T00:00:00"/>
    <x v="8"/>
    <d v="1899-12-30T13:00:00"/>
    <s v="Emma"/>
    <s v="Options IT"/>
    <n v="13"/>
    <s v="The Chain,Grounding Workshop"/>
    <m/>
    <s v="Charlene"/>
    <m/>
    <m/>
    <n v="7"/>
    <m/>
    <m/>
    <m/>
    <m/>
    <s v="Attended"/>
    <m/>
    <m/>
    <m/>
    <m/>
    <m/>
  </r>
  <r>
    <d v="2025-12-17T00:00:00"/>
    <x v="8"/>
    <d v="1899-12-30T15:00:00"/>
    <s v="Storm"/>
    <s v="Options IT"/>
    <n v="7"/>
    <m/>
    <m/>
    <m/>
    <m/>
    <s v="session plan (I moved him to 2 weeks last session did i not?   -Matthew)"/>
    <m/>
    <m/>
    <m/>
    <m/>
    <m/>
    <s v="Cancelled"/>
    <m/>
    <m/>
    <m/>
    <m/>
    <m/>
  </r>
  <r>
    <d v="2025-12-18T00:00:00"/>
    <x v="8"/>
    <d v="1899-12-30T10:00:00"/>
    <s v="Amelia"/>
    <s v="Options IT"/>
    <n v="9"/>
    <s v="Missing Delivery"/>
    <m/>
    <s v="Rishi"/>
    <m/>
    <s v="if she is going to play"/>
    <n v="9"/>
    <s v="This was fun. Not my best till now, took time in getting email service restarted and the rollback. Good learning "/>
    <n v="7189"/>
    <m/>
    <m/>
    <s v="Attended"/>
    <m/>
    <m/>
    <m/>
    <m/>
    <m/>
  </r>
  <r>
    <d v="2025-12-19T00:00:00"/>
    <x v="8"/>
    <d v="1899-12-30T11:00:00"/>
    <s v="Ciara"/>
    <s v="Options IT"/>
    <n v="16"/>
    <m/>
    <m/>
    <s v="Ed"/>
    <m/>
    <s v="Attendance confirmed"/>
    <m/>
    <m/>
    <m/>
    <m/>
    <m/>
    <s v="No Show"/>
    <m/>
    <m/>
    <m/>
    <m/>
    <m/>
  </r>
  <r>
    <d v="2025-12-19T00:00:00"/>
    <x v="8"/>
    <d v="1899-12-30T16:00:00"/>
    <s v="James"/>
    <s v="Options IT"/>
    <n v="8"/>
    <m/>
    <m/>
    <s v="Matthew"/>
    <m/>
    <m/>
    <m/>
    <m/>
    <m/>
    <m/>
    <m/>
    <s v="No Show"/>
    <m/>
    <m/>
    <m/>
    <m/>
    <m/>
  </r>
  <r>
    <d v="2026-01-05T00:00:00"/>
    <x v="9"/>
    <d v="1899-12-30T12:00:00"/>
    <s v="Jack"/>
    <s v="Options IT"/>
    <n v="17"/>
    <s v="Profile Report"/>
    <m/>
    <s v="Ed"/>
    <m/>
    <m/>
    <n v="8"/>
    <s v="Mentioned that there is a benefit in proile sessions, _x000a__x000a_score for profile is between 8/9_x000a__x000a_"/>
    <m/>
    <m/>
    <m/>
    <s v="Attended"/>
    <m/>
    <m/>
    <m/>
    <m/>
    <m/>
  </r>
  <r>
    <d v="2026-01-05T00:00:00"/>
    <x v="9"/>
    <d v="1899-12-30T15:00:00"/>
    <s v="Jessica"/>
    <s v="Options IT"/>
    <n v="6"/>
    <m/>
    <m/>
    <m/>
    <m/>
    <m/>
    <m/>
    <m/>
    <m/>
    <m/>
    <m/>
    <s v="Cancelled"/>
    <s v="Declined the invite"/>
    <m/>
    <m/>
    <m/>
    <m/>
  </r>
  <r>
    <d v="2026-01-06T00:00:00"/>
    <x v="9"/>
    <d v="1899-12-30T09:30:00"/>
    <s v="Mark"/>
    <s v="Options IT"/>
    <n v="11"/>
    <m/>
    <m/>
    <m/>
    <m/>
    <s v="we can move him to every 2 wekks"/>
    <m/>
    <m/>
    <m/>
    <m/>
    <m/>
    <s v="Cancelled"/>
    <s v="He is OOO"/>
    <m/>
    <m/>
    <m/>
    <m/>
  </r>
  <r>
    <d v="2026-01-06T00:00:00"/>
    <x v="9"/>
    <d v="1899-12-30T10:00:00"/>
    <s v="Ellie"/>
    <s v="Options IT"/>
    <n v="11"/>
    <s v="Roblox"/>
    <m/>
    <s v="Charlene"/>
    <m/>
    <m/>
    <n v="9"/>
    <s v="She liked that drill and feels an improvement compared to her previous one"/>
    <n v="7270"/>
    <m/>
    <m/>
    <s v="Attended"/>
    <m/>
    <m/>
    <m/>
    <m/>
    <m/>
  </r>
  <r>
    <d v="2026-01-06T00:00:00"/>
    <x v="9"/>
    <d v="1899-12-30T10:00:00"/>
    <s v="Jamie"/>
    <s v="Options IT"/>
    <n v="17"/>
    <s v="Breaking Bez"/>
    <m/>
    <s v="Matthew"/>
    <m/>
    <m/>
    <n v="10"/>
    <s v="Enjoyed the drill and can tell he is getting "/>
    <n v="7269"/>
    <m/>
    <m/>
    <s v="Attended"/>
    <m/>
    <m/>
    <m/>
    <m/>
    <m/>
  </r>
  <r>
    <d v="2026-01-06T00:00:00"/>
    <x v="9"/>
    <d v="1899-12-30T14:00:00"/>
    <s v="Leah"/>
    <s v="Options IT"/>
    <n v="10"/>
    <s v="Profile Report"/>
    <m/>
    <s v="Rishi"/>
    <m/>
    <m/>
    <s v="No Score"/>
    <s v="Found this very insightful. Getting to know what has been covered so far really refreshes everything and especially the areas of improvement and how to overcome same. "/>
    <m/>
    <m/>
    <m/>
    <s v="Attended"/>
    <m/>
    <m/>
    <m/>
    <m/>
    <m/>
  </r>
  <r>
    <d v="2026-01-06T00:00:00"/>
    <x v="9"/>
    <d v="1899-12-30T15:00:00"/>
    <s v="Elsa"/>
    <s v="Options IT"/>
    <n v="11"/>
    <s v="Profile Report"/>
    <m/>
    <s v="Matthew"/>
    <m/>
    <m/>
    <n v="10"/>
    <s v="Enjoyed the profile report, likes that she can see all the stars and where to improve on "/>
    <m/>
    <m/>
    <m/>
    <s v="Attended"/>
    <m/>
    <m/>
    <m/>
    <m/>
    <m/>
  </r>
  <r>
    <d v="2026-01-07T00:00:00"/>
    <x v="9"/>
    <d v="1899-12-30T10:00:00"/>
    <s v="Ciaran"/>
    <s v="Options IT"/>
    <n v="1"/>
    <m/>
    <m/>
    <s v="Naz"/>
    <m/>
    <m/>
    <m/>
    <m/>
    <m/>
    <m/>
    <m/>
    <s v="No Show"/>
    <m/>
    <m/>
    <m/>
    <m/>
    <m/>
  </r>
  <r>
    <d v="2026-01-07T00:00:00"/>
    <x v="9"/>
    <d v="1899-12-30T13:30:00"/>
    <s v="Emma"/>
    <s v="Options IT"/>
    <n v="13"/>
    <m/>
    <m/>
    <m/>
    <m/>
    <m/>
    <m/>
    <m/>
    <m/>
    <m/>
    <m/>
    <s v="Internal Reschedule/Cancellation"/>
    <s v="Had to cancel due to internal issues. Vcluster connection issues"/>
    <s v="INC-375 Vcluster connection issues"/>
    <m/>
    <s v="Vcluster connection issues"/>
    <m/>
  </r>
  <r>
    <d v="2026-01-08T00:00:00"/>
    <x v="9"/>
    <d v="1899-12-30T09:00:00"/>
    <s v="Donnchadh"/>
    <s v="Options IT"/>
    <n v="7"/>
    <s v="Rumours"/>
    <m/>
    <s v="Ed"/>
    <m/>
    <m/>
    <n v="10"/>
    <s v="mentioned it was fresh to look at something that isn't a sev 1"/>
    <n v="7314"/>
    <m/>
    <m/>
    <s v="Attended"/>
    <m/>
    <m/>
    <m/>
    <m/>
    <m/>
  </r>
  <r>
    <d v="2026-01-08T00:00:00"/>
    <x v="9"/>
    <d v="1899-12-30T10:00:00"/>
    <s v="Amelia"/>
    <s v="Options IT"/>
    <n v="9"/>
    <m/>
    <m/>
    <m/>
    <m/>
    <s v="move her to every 2 weeks"/>
    <m/>
    <m/>
    <m/>
    <m/>
    <m/>
    <s v="Cancelled"/>
    <s v="Did not provide any reason"/>
    <m/>
    <m/>
    <m/>
    <m/>
  </r>
  <r>
    <d v="2026-01-08T00:00:00"/>
    <x v="9"/>
    <d v="1899-12-30T16:00:00"/>
    <s v="Ritchie"/>
    <s v="Options IT"/>
    <n v="13"/>
    <m/>
    <m/>
    <m/>
    <m/>
    <s v="session plan maybe breaking bez_x000a_"/>
    <m/>
    <m/>
    <m/>
    <m/>
    <m/>
    <s v="Cancelled"/>
    <s v="Something came up"/>
    <m/>
    <m/>
    <m/>
    <m/>
  </r>
  <r>
    <d v="2026-01-09T00:00:00"/>
    <x v="9"/>
    <d v="1899-12-30T10:00:00"/>
    <s v="Zach"/>
    <s v="Options IT"/>
    <n v="8"/>
    <m/>
    <m/>
    <m/>
    <m/>
    <m/>
    <m/>
    <m/>
    <m/>
    <m/>
    <m/>
    <s v="Cancelled"/>
    <s v="Did not provide any reason"/>
    <m/>
    <m/>
    <m/>
    <m/>
  </r>
  <r>
    <d v="2026-01-09T00:00:00"/>
    <x v="9"/>
    <d v="1899-12-30T16:00:00"/>
    <s v="James"/>
    <s v="Options IT"/>
    <n v="8"/>
    <s v="Missing Delivery V2"/>
    <s v="checked"/>
    <s v="Rishi"/>
    <m/>
    <s v="Move to every 2 weeks"/>
    <s v="No Score"/>
    <s v="Reaching out to 3rd party PCS was great. This time Bez was quite talkative in business comms_x000a__x000a_Operator feedback on AI: _x000a_Context has been clearly met. There are lots of long messages in both inc and biz channel . Good thing  - Not letting player close an incident without validations from different sources. _x000a_Indirect PIR question from Bez shouldn't be there at the end"/>
    <n v="7358"/>
    <m/>
    <m/>
    <s v="Attended"/>
    <m/>
    <m/>
    <m/>
    <m/>
    <m/>
  </r>
  <r>
    <d v="2026-01-12T00:00:00"/>
    <x v="9"/>
    <d v="1899-12-30T12:00:00"/>
    <s v="Zach"/>
    <s v="Options IT"/>
    <n v="8"/>
    <m/>
    <m/>
    <m/>
    <m/>
    <m/>
    <m/>
    <m/>
    <m/>
    <m/>
    <m/>
    <s v="Cancelled"/>
    <s v="Did not provide any reason"/>
    <m/>
    <m/>
    <m/>
    <m/>
  </r>
  <r>
    <d v="2026-01-12T00:00:00"/>
    <x v="9"/>
    <d v="1899-12-30T15:00:00"/>
    <s v="Jessica"/>
    <s v="Options IT"/>
    <n v="6"/>
    <m/>
    <m/>
    <m/>
    <m/>
    <m/>
    <m/>
    <m/>
    <m/>
    <m/>
    <m/>
    <s v="Internal Reschedule/Cancellation"/>
    <m/>
    <m/>
    <m/>
    <m/>
    <m/>
  </r>
  <r>
    <d v="2026-01-13T00:00:00"/>
    <x v="9"/>
    <d v="1899-12-30T09:30:00"/>
    <s v="Mark"/>
    <s v="Options IT"/>
    <n v="11"/>
    <s v="Radio Silence"/>
    <m/>
    <s v="Ed"/>
    <m/>
    <s v="Move to every 2 weeks"/>
    <n v="7"/>
    <s v="was slightly rusty, drill felt slightly difficult affecting his overall GUOT"/>
    <n v="7381"/>
    <m/>
    <m/>
    <s v="Attended"/>
    <m/>
    <m/>
    <m/>
    <m/>
    <m/>
  </r>
  <r>
    <d v="2026-01-14T00:00:00"/>
    <x v="9"/>
    <d v="1899-12-30T10:00:00"/>
    <s v="Caoimhe"/>
    <s v="Options IT"/>
    <n v="10"/>
    <s v="The Chain,Grounding Workshop"/>
    <m/>
    <s v="Rishi"/>
    <m/>
    <m/>
    <n v="8"/>
    <s v="Drill was good. Rolling back more than one deployments. _x000a__x000a_A bit rusty to figure out whom to tag "/>
    <n v="7399"/>
    <m/>
    <m/>
    <s v="Attended"/>
    <m/>
    <m/>
    <m/>
    <m/>
    <m/>
  </r>
  <r>
    <d v="2026-01-14T00:00:00"/>
    <x v="9"/>
    <d v="1899-12-30T11:00:00"/>
    <s v="Aoife"/>
    <s v="Options IT"/>
    <n v="14"/>
    <s v="The Switch"/>
    <m/>
    <s v="Ed"/>
    <m/>
    <m/>
    <n v="10"/>
    <s v="getting used to MM and new character"/>
    <n v="7400"/>
    <m/>
    <m/>
    <s v="Attended"/>
    <m/>
    <m/>
    <m/>
    <m/>
    <m/>
  </r>
  <r>
    <d v="2026-01-14T00:00:00"/>
    <x v="9"/>
    <d v="1899-12-30T15:00:00"/>
    <s v="Jessica"/>
    <s v="Options IT"/>
    <n v="6"/>
    <s v="Bez Beatles Day V2"/>
    <s v="checked"/>
    <s v="Matthew L"/>
    <m/>
    <m/>
    <s v="No Score"/>
    <s v="Aim for next session is to focus on restoration over root cause. She seemed to like it."/>
    <m/>
    <m/>
    <m/>
    <s v="Attended"/>
    <m/>
    <m/>
    <m/>
    <m/>
    <m/>
  </r>
  <r>
    <d v="2026-01-15T00:00:00"/>
    <x v="9"/>
    <d v="1899-12-30T09:00:00"/>
    <s v="Donnchadh"/>
    <s v="Options IT"/>
    <n v="7"/>
    <s v="Missing Delivery V2"/>
    <s v="checked"/>
    <s v="Ed"/>
    <m/>
    <m/>
    <n v="10"/>
    <s v="mentiened that it felt realistic"/>
    <n v="7417"/>
    <m/>
    <m/>
    <s v="Attended"/>
    <m/>
    <m/>
    <m/>
    <m/>
    <m/>
  </r>
  <r>
    <d v="2026-01-15T00:00:00"/>
    <x v="9"/>
    <d v="1899-12-30T10:00:00"/>
    <s v="Amelia"/>
    <s v="Options IT"/>
    <n v="9"/>
    <m/>
    <m/>
    <s v="Charlene"/>
    <m/>
    <s v="Move to every 2 weeks"/>
    <m/>
    <m/>
    <m/>
    <m/>
    <m/>
    <s v="Late Cancellation"/>
    <s v="On an incident call right now"/>
    <m/>
    <m/>
    <m/>
    <m/>
  </r>
  <r>
    <d v="2026-01-15T00:00:00"/>
    <x v="9"/>
    <d v="1899-12-30T15:00:00"/>
    <s v="Ritchie"/>
    <s v="Options IT"/>
    <n v="13"/>
    <s v="The Chain,Grounding Workshop"/>
    <m/>
    <s v="Rishi"/>
    <m/>
    <m/>
    <n v="7"/>
    <s v="Straightforward drill like earlier ones. Recovery took time to bring up the services - (its narrative issue, beacuse in chain it brings 2-3 services in an order, so it takes times. Need to adjust the messages in recovered state )_x000a__x000a_Why 7 and what it'd take to get 10 ? _x000a_1. Changes in grafana brings more realism. Or even the wiki link must be provided before the drill itself._x000a_2. The scenario didn't test different working theory where we have a chance of taking the wrong theory and later getting invalidated. _x000a_3. Tougher drills, as the scenario so far looks generic _x000a_"/>
    <n v="7433"/>
    <m/>
    <m/>
    <s v="Attended"/>
    <m/>
    <m/>
    <m/>
    <m/>
    <m/>
  </r>
  <r>
    <d v="2026-01-16T00:00:00"/>
    <x v="9"/>
    <d v="1899-12-30T11:00:00"/>
    <s v="Ciara"/>
    <s v="Options IT"/>
    <n v="16"/>
    <s v="Cart-astroph"/>
    <m/>
    <s v="Ed"/>
    <m/>
    <s v="try to organise a team drill in near future"/>
    <n v="10"/>
    <s v="liked the drill, didn't have any questions or any comments about it"/>
    <n v="7448"/>
    <m/>
    <m/>
    <s v="Attended"/>
    <m/>
    <m/>
    <m/>
    <m/>
    <m/>
  </r>
  <r>
    <d v="2026-01-16T00:00:00"/>
    <x v="9"/>
    <d v="1899-12-30T11:00:00"/>
    <s v="Zach"/>
    <s v="Options IT"/>
    <n v="8"/>
    <m/>
    <m/>
    <s v="Matthew"/>
    <m/>
    <m/>
    <m/>
    <m/>
    <m/>
    <m/>
    <m/>
    <s v="Late Cancellation"/>
    <s v="He's busy for the past 2 weeks"/>
    <m/>
    <m/>
    <m/>
    <m/>
  </r>
  <r>
    <d v="2026-01-19T00:00:00"/>
    <x v="9"/>
    <d v="1899-12-30T12:00:00"/>
    <s v="Jack"/>
    <s v="Options IT"/>
    <n v="17"/>
    <s v="Breaking Bez"/>
    <m/>
    <s v="Ed"/>
    <m/>
    <m/>
    <n v="10"/>
    <s v="It was a good drill due to resemblence it has with what they do in options IT"/>
    <n v="7459"/>
    <m/>
    <m/>
    <s v="Attended"/>
    <m/>
    <m/>
    <m/>
    <m/>
    <m/>
  </r>
  <r>
    <d v="2026-01-19T00:00:00"/>
    <x v="9"/>
    <d v="1899-12-30T12:00:00"/>
    <s v="Zach"/>
    <s v="Options IT"/>
    <n v="8"/>
    <s v="The Chain,Grounding Workshop"/>
    <m/>
    <s v="Matthew"/>
    <m/>
    <m/>
    <n v="10"/>
    <s v="He liked the drill. didnt say too much more "/>
    <n v="7460"/>
    <m/>
    <m/>
    <s v="Attended"/>
    <m/>
    <m/>
    <m/>
    <m/>
    <m/>
  </r>
  <r>
    <d v="2026-01-19T00:00:00"/>
    <x v="9"/>
    <d v="1899-12-30T15:00:00"/>
    <s v="Jessica"/>
    <s v="Options IT"/>
    <n v="6"/>
    <m/>
    <m/>
    <m/>
    <m/>
    <m/>
    <m/>
    <m/>
    <m/>
    <m/>
    <m/>
    <s v="Cancelled"/>
    <s v="Declined the invite"/>
    <m/>
    <m/>
    <m/>
    <m/>
  </r>
  <r>
    <d v="2026-01-20T00:00:00"/>
    <x v="9"/>
    <d v="1899-12-30T10:00:00"/>
    <s v="Ellie"/>
    <s v="Options IT"/>
    <n v="11"/>
    <s v="Profile Report"/>
    <m/>
    <s v="Charlene"/>
    <m/>
    <m/>
    <n v="9"/>
    <s v="She enjoyed the Profile a lot, we talked about a lot of the qualities of an Incident responder and the convo had a lot of focus on taking command and business comms"/>
    <m/>
    <m/>
    <m/>
    <s v="Attended"/>
    <m/>
    <m/>
    <m/>
    <m/>
    <m/>
  </r>
  <r>
    <d v="2026-01-20T00:00:00"/>
    <x v="9"/>
    <d v="1899-12-30T10:00:00"/>
    <s v="Jamie"/>
    <s v="Options IT"/>
    <n v="17"/>
    <s v="PIR on Breaking Bez"/>
    <m/>
    <s v="Matthew"/>
    <m/>
    <m/>
    <n v="10"/>
    <s v="Liked the drill, He wanted to fill out the PIR himself because he done well in the actual drill "/>
    <m/>
    <m/>
    <m/>
    <s v="Attended"/>
    <m/>
    <m/>
    <m/>
    <m/>
    <m/>
  </r>
  <r>
    <d v="2026-01-20T00:00:00"/>
    <x v="9"/>
    <d v="1899-12-30T14:00:00"/>
    <s v="Leah"/>
    <s v="Options IT"/>
    <n v="10"/>
    <m/>
    <m/>
    <m/>
    <m/>
    <m/>
    <m/>
    <m/>
    <m/>
    <m/>
    <m/>
    <s v="Cancelled"/>
    <s v="Won't be able to make it this week"/>
    <m/>
    <m/>
    <m/>
    <m/>
  </r>
  <r>
    <d v="2026-01-20T00:00:00"/>
    <x v="9"/>
    <d v="1899-12-30T15:00:00"/>
    <s v="Elsa"/>
    <s v="Options IT"/>
    <n v="11"/>
    <s v="The Chain,Grounding Workshop"/>
    <m/>
    <s v="Matthew"/>
    <m/>
    <m/>
    <n v="8"/>
    <s v="Liked the drill and understands the importance of grounding and how to use it "/>
    <n v="7473"/>
    <m/>
    <m/>
    <s v="Attended"/>
    <m/>
    <m/>
    <m/>
    <m/>
    <m/>
  </r>
  <r>
    <d v="2026-01-21T00:00:00"/>
    <x v="9"/>
    <d v="1899-12-30T13:00:00"/>
    <s v="Emma"/>
    <s v="Options IT"/>
    <n v="13"/>
    <s v="The Switch"/>
    <m/>
    <s v="Charlene"/>
    <m/>
    <s v="Issue with submitting feedback form on mattermost"/>
    <n v="9"/>
    <s v="She liked the drill, felt the characters were slow and had to ask more direct questions (she types really quickly)"/>
    <n v="7485"/>
    <m/>
    <m/>
    <s v="Attended"/>
    <m/>
    <m/>
    <m/>
    <m/>
    <m/>
  </r>
  <r>
    <d v="2026-01-21T00:00:00"/>
    <x v="9"/>
    <d v="1899-12-30T15:00:00"/>
    <s v="Storm"/>
    <s v="Options IT"/>
    <n v="7"/>
    <m/>
    <m/>
    <m/>
    <m/>
    <s v="Move to every 2 weeks"/>
    <m/>
    <m/>
    <m/>
    <m/>
    <m/>
    <s v="Cancelled"/>
    <s v="She's been pulled into a meeting this afternoon that clashes with the session"/>
    <m/>
    <m/>
    <m/>
    <m/>
  </r>
  <r>
    <d v="2026-01-22T00:00:00"/>
    <x v="9"/>
    <d v="1899-12-30T10:00:00"/>
    <s v="Amelia"/>
    <s v="Options IT"/>
    <n v="9"/>
    <s v="Radio Silence"/>
    <m/>
    <s v="Charlene"/>
    <m/>
    <s v="Move to every 2 weeks"/>
    <n v="9"/>
    <s v="She learned a lot from the drill despite not completing it on time"/>
    <m/>
    <m/>
    <m/>
    <s v="Attended"/>
    <m/>
    <m/>
    <m/>
    <m/>
    <m/>
  </r>
  <r>
    <d v="2026-01-26T00:00:00"/>
    <x v="9"/>
    <d v="1899-12-30T15:00:00"/>
    <s v="Jessica"/>
    <s v="Options IT"/>
    <n v="6"/>
    <m/>
    <m/>
    <m/>
    <m/>
    <m/>
    <m/>
    <m/>
    <m/>
    <m/>
    <m/>
    <s v="Rescheduled"/>
    <s v="There's a snowstorm in the US and she's WFH with only on one screen. She asked to reschedule instead."/>
    <m/>
    <m/>
    <m/>
    <m/>
  </r>
  <r>
    <d v="2026-01-27T00:00:00"/>
    <x v="9"/>
    <d v="1899-12-30T15:00:00"/>
    <s v="Leah"/>
    <s v="Options IT"/>
    <n v="10"/>
    <m/>
    <m/>
    <m/>
    <m/>
    <m/>
    <m/>
    <m/>
    <m/>
    <m/>
    <m/>
    <s v="Cancelled"/>
    <s v="Something urgent has popped up and she needs to join a client at 3:00 PM."/>
    <s v="Something urgent has popped up"/>
    <m/>
    <m/>
    <m/>
  </r>
  <r>
    <d v="2026-01-28T00:00:00"/>
    <x v="9"/>
    <d v="1899-12-30T09:30:00"/>
    <s v="Mark"/>
    <s v="Options IT"/>
    <n v="11"/>
    <m/>
    <m/>
    <m/>
    <m/>
    <m/>
    <m/>
    <m/>
    <m/>
    <m/>
    <m/>
    <s v="Late Cancellation"/>
    <s v="Did not provide any reason."/>
    <m/>
    <m/>
    <m/>
    <m/>
  </r>
  <r>
    <d v="2026-01-28T00:00:00"/>
    <x v="9"/>
    <d v="1899-12-30T11:00:00"/>
    <s v="Aoife"/>
    <s v="Options IT"/>
    <n v="14"/>
    <m/>
    <m/>
    <m/>
    <m/>
    <m/>
    <m/>
    <m/>
    <m/>
    <m/>
    <m/>
    <s v="Cancelled"/>
    <s v="Due to unexpected work commitments."/>
    <s v="due to unexpected work commitments."/>
    <m/>
    <m/>
    <m/>
  </r>
  <r>
    <d v="2026-01-28T00:00:00"/>
    <x v="9"/>
    <d v="1899-12-30T15:00:00"/>
    <s v="Caoimhe"/>
    <s v="Options IT"/>
    <n v="10"/>
    <s v="Profile Report"/>
    <m/>
    <s v="Matthew"/>
    <m/>
    <m/>
    <n v="7"/>
    <s v="Definitely sees the value in these training sessions, says its soo similar to what she does in work herself._x000a_Helps her get used to the pressure of an incident in a controlled environment._x000a_Other than the pressure, she can also see her external comms improving._x000a_Has nothing to bring up on her own but really likes the product and is enjoying each of the drills._x000a__x000a_To get more than 7 she said to show more stats on the profile, i then went through the profile pages, but more with he and she said that's what she was talking about and took back the statement. "/>
    <m/>
    <m/>
    <m/>
    <s v="Attended"/>
    <m/>
    <m/>
    <m/>
    <m/>
    <m/>
  </r>
  <r>
    <d v="2026-01-29T00:00:00"/>
    <x v="9"/>
    <d v="1899-12-30T09:00:00"/>
    <s v="Donnchadh"/>
    <s v="Options IT"/>
    <n v="7"/>
    <s v="Radio Silence"/>
    <m/>
    <s v="Rishi"/>
    <m/>
    <s v="Move to every 2 weeks"/>
    <n v="10"/>
    <s v="It was good. Slightly confusing with Ads and recommendations. Should've pulled in team early"/>
    <n v="7551"/>
    <m/>
    <m/>
    <s v="Attended"/>
    <m/>
    <m/>
    <m/>
    <m/>
    <m/>
  </r>
  <r>
    <d v="2026-01-29T00:00:00"/>
    <x v="9"/>
    <d v="1899-12-30T09:30:00"/>
    <s v="Mark"/>
    <s v="Options IT"/>
    <n v="11"/>
    <m/>
    <m/>
    <s v="Ed"/>
    <m/>
    <m/>
    <m/>
    <m/>
    <m/>
    <m/>
    <m/>
    <s v="Abandoned Session"/>
    <s v="couldn't start a drill"/>
    <m/>
    <m/>
    <m/>
    <m/>
  </r>
  <r>
    <d v="2026-01-29T00:00:00"/>
    <x v="9"/>
    <d v="1899-12-30T16:00:00"/>
    <s v="Ritchie"/>
    <s v="Options IT"/>
    <n v="13"/>
    <m/>
    <m/>
    <m/>
    <m/>
    <m/>
    <m/>
    <m/>
    <m/>
    <m/>
    <m/>
    <s v="Cancelled"/>
    <s v="Declined the invite"/>
    <m/>
    <m/>
    <m/>
    <m/>
  </r>
  <r>
    <d v="2026-01-30T00:00:00"/>
    <x v="9"/>
    <d v="1899-12-30T11:00:00"/>
    <s v="Ciara"/>
    <s v="Options IT"/>
    <n v="16"/>
    <m/>
    <m/>
    <m/>
    <m/>
    <s v="Dont forget Check list"/>
    <m/>
    <m/>
    <m/>
    <m/>
    <m/>
    <s v="Cancelled"/>
    <s v="Did not provide any reason"/>
    <m/>
    <m/>
    <m/>
    <m/>
  </r>
  <r>
    <d v="2026-01-30T00:00:00"/>
    <x v="9"/>
    <d v="1899-12-30T14:00:00"/>
    <s v="Jessica"/>
    <s v="Options IT"/>
    <n v="6"/>
    <m/>
    <m/>
    <m/>
    <m/>
    <s v="Dont forget Check list"/>
    <m/>
    <m/>
    <m/>
    <m/>
    <m/>
    <s v="Cancelled"/>
    <s v="There was an internal town hall sent out last-minute"/>
    <m/>
    <m/>
    <m/>
    <m/>
  </r>
  <r>
    <d v="2026-02-02T00:00:00"/>
    <x v="10"/>
    <d v="1899-12-30T12:00:00"/>
    <s v="Jack"/>
    <s v="Options IT"/>
    <n v="17"/>
    <s v="PIR on Breaking Bez"/>
    <m/>
    <s v="Ed"/>
    <m/>
    <s v="Score is between 8/9 but if the first number is 8 he mentioned it's most likely the once that resonates closer to what he feels"/>
    <n v="8"/>
    <s v="He is looking forward to see a PIR where he didn't do so well to see where can he improve and what he missed"/>
    <m/>
    <m/>
    <m/>
    <s v="Attended"/>
    <m/>
    <m/>
    <m/>
    <m/>
    <m/>
  </r>
  <r>
    <d v="2026-02-03T00:00:00"/>
    <x v="10"/>
    <d v="1899-12-30T10:00:00"/>
    <s v="Ellie"/>
    <s v="Options IT"/>
    <n v="11"/>
    <s v="Grounding Workshop,The Switch"/>
    <m/>
    <s v="Charlene"/>
    <m/>
    <s v="The links to the site came up by themselves for this user, for the first time"/>
    <n v="9"/>
    <s v="she struggled with the difficulty of the the drill - she did watch the videos and found it useful"/>
    <n v="7596"/>
    <m/>
    <m/>
    <s v="Attended"/>
    <m/>
    <m/>
    <m/>
    <m/>
    <m/>
  </r>
  <r>
    <d v="2026-02-03T00:00:00"/>
    <x v="10"/>
    <d v="1899-12-30T10:00:00"/>
    <s v="Jamie"/>
    <s v="Options IT"/>
    <n v="17"/>
    <s v="Version Confusion"/>
    <m/>
    <s v="Matthew"/>
    <m/>
    <s v="use Stu Check list"/>
    <n v="8"/>
    <s v="Said the drill was too short and needs more time due to the nature of this narrative "/>
    <n v="7595"/>
    <m/>
    <m/>
    <s v="Attended"/>
    <m/>
    <m/>
    <m/>
    <m/>
    <m/>
  </r>
  <r>
    <d v="2026-02-03T00:00:00"/>
    <x v="10"/>
    <d v="1899-12-30T15:00:00"/>
    <s v="Elsa"/>
    <s v="Options IT"/>
    <n v="11"/>
    <s v="The Switch"/>
    <m/>
    <s v="Matthew"/>
    <m/>
    <s v="use Stu Check list"/>
    <n v="6"/>
    <s v="to get to a higher, she wanted more info at the start of the drill to explain why some users didnt have any isues "/>
    <n v="7607"/>
    <m/>
    <m/>
    <s v="Attended"/>
    <m/>
    <m/>
    <m/>
    <m/>
    <m/>
  </r>
  <r>
    <d v="2026-02-03T00:00:00"/>
    <x v="10"/>
    <d v="1899-12-30T16:00:00"/>
    <s v="Jessica"/>
    <s v="Options IT"/>
    <n v="6"/>
    <m/>
    <m/>
    <m/>
    <m/>
    <m/>
    <m/>
    <m/>
    <m/>
    <m/>
    <m/>
    <s v="Cancelled"/>
    <s v="On sick leave"/>
    <m/>
    <m/>
    <m/>
    <m/>
  </r>
  <r>
    <d v="2026-02-04T00:00:00"/>
    <x v="10"/>
    <d v="1899-12-30T09:30:00"/>
    <s v="Mark"/>
    <s v="Options IT"/>
    <n v="11"/>
    <s v="The Switch"/>
    <m/>
    <s v="Ed"/>
    <m/>
    <m/>
    <n v="8"/>
    <s v="had couple hiccups during the session, guessing mayas introduction was slightly to obvious"/>
    <n v="7611"/>
    <m/>
    <m/>
    <s v="Attended"/>
    <m/>
    <s v="INC-399 users can't view reports"/>
    <s v="checked"/>
    <s v="Some users can't view reports_x000a_users mark.mcgarry@options-it.com &amp; daniel.houlihan@storiogroup.com_x000a_This is not company specific issue_x000a__x000a_Clarified: page refreshed, logged in and out. Lead operator can view the reports but in user the network tab can be clearly seen 403 is unauthorized."/>
    <m/>
  </r>
  <r>
    <d v="2026-02-04T00:00:00"/>
    <x v="10"/>
    <d v="1899-12-30T13:00:00"/>
    <s v="Emma"/>
    <s v="Options IT"/>
    <n v="13"/>
    <m/>
    <m/>
    <m/>
    <m/>
    <m/>
    <m/>
    <m/>
    <m/>
    <m/>
    <m/>
    <s v="Cancelled"/>
    <s v="Currently undergoing a building move. "/>
    <m/>
    <m/>
    <m/>
    <m/>
  </r>
  <r>
    <d v="2026-02-05T00:00:00"/>
    <x v="10"/>
    <d v="1899-12-30T10:00:00"/>
    <s v="Amelia"/>
    <s v="Options IT"/>
    <n v="9"/>
    <m/>
    <m/>
    <m/>
    <m/>
    <m/>
    <m/>
    <m/>
    <m/>
    <m/>
    <m/>
    <s v="Cancelled"/>
    <s v="Did not provide any reason"/>
    <m/>
    <m/>
    <m/>
    <m/>
  </r>
  <r>
    <d v="2026-02-06T00:00:00"/>
    <x v="10"/>
    <d v="1899-12-30T10:00:00"/>
    <s v="Zach"/>
    <s v="Options IT"/>
    <n v="8"/>
    <m/>
    <m/>
    <s v="Rishi"/>
    <m/>
    <m/>
    <m/>
    <m/>
    <m/>
    <m/>
    <m/>
    <s v="No Show"/>
    <m/>
    <m/>
    <m/>
    <m/>
    <m/>
  </r>
  <r>
    <d v="2026-02-06T00:00:00"/>
    <x v="10"/>
    <d v="1899-12-30T16:00:00"/>
    <s v="James"/>
    <s v="Options IT"/>
    <n v="8"/>
    <s v="The Switch"/>
    <m/>
    <s v="Rishi"/>
    <m/>
    <m/>
    <n v="10"/>
    <s v="Amazing drill. Wasn't expecting it to be combo of networks and security. Network incidents are always trivial for him "/>
    <n v="7661"/>
    <m/>
    <m/>
    <s v="Attended"/>
    <m/>
    <m/>
    <m/>
    <m/>
    <m/>
  </r>
  <r>
    <d v="2026-02-09T00:00:00"/>
    <x v="10"/>
    <d v="1899-12-30T15:00:00"/>
    <s v="Jessica"/>
    <s v="Options IT"/>
    <n v="6"/>
    <s v="The Big Investors"/>
    <m/>
    <s v="Rishi"/>
    <m/>
    <m/>
    <n v="10"/>
    <s v="Enjoyed it. Much better than the last time. This time, Bez was calm, which is good. "/>
    <n v="7668"/>
    <m/>
    <m/>
    <s v="Attended"/>
    <m/>
    <m/>
    <m/>
    <m/>
    <m/>
  </r>
  <r>
    <d v="2026-02-10T00:00:00"/>
    <x v="10"/>
    <d v="1899-12-30T15:00:00"/>
    <s v="Leah"/>
    <s v="Options IT"/>
    <n v="10"/>
    <m/>
    <m/>
    <s v="Rishi"/>
    <m/>
    <m/>
    <m/>
    <m/>
    <m/>
    <m/>
    <m/>
    <s v="No Show"/>
    <m/>
    <m/>
    <m/>
    <m/>
    <m/>
  </r>
  <r>
    <d v="2026-02-11T00:00:00"/>
    <x v="10"/>
    <d v="1899-12-30T11:00:00"/>
    <s v="Caoimhe"/>
    <s v="Options IT"/>
    <n v="10"/>
    <m/>
    <m/>
    <s v="Charlene"/>
    <m/>
    <m/>
    <m/>
    <m/>
    <m/>
    <m/>
    <m/>
    <s v="No Show"/>
    <m/>
    <m/>
    <m/>
    <m/>
    <m/>
  </r>
  <r>
    <d v="2026-02-11T00:00:00"/>
    <x v="10"/>
    <d v="1899-12-30T13:00:00"/>
    <s v="Emma"/>
    <s v="Options IT"/>
    <n v="13"/>
    <s v="PIR on Switch"/>
    <m/>
    <s v="Charlene"/>
    <m/>
    <m/>
    <s v="No Score"/>
    <s v="seemed postive throughout the session - I kept the session interactive asking questions on the scenario to ensure you understood the root cause thoroughly as she completed the drill quickly"/>
    <m/>
    <m/>
    <m/>
    <s v="Attended"/>
    <m/>
    <m/>
    <m/>
    <m/>
    <m/>
  </r>
  <r>
    <d v="2026-02-12T00:00:00"/>
    <x v="10"/>
    <d v="1899-12-30T10:00:00"/>
    <s v="Amelia"/>
    <s v="Options IT"/>
    <n v="9"/>
    <s v="Roblox"/>
    <m/>
    <s v="Ed"/>
    <m/>
    <m/>
    <n v="9"/>
    <s v="Drill was great, can't think of anything that it's missing. It was realistic enough"/>
    <n v="7698"/>
    <m/>
    <m/>
    <s v="Attended"/>
    <m/>
    <s v="INC-402 Roblox (OB showed 500 error in cart)"/>
    <s v="checked"/>
    <s v="During drill player was trying to reproduce an issue and  was facing 500 error during the placing order stage._x000a_After recovered and end drill states were triggered, the error was still persistent "/>
    <m/>
  </r>
  <r>
    <d v="2026-02-12T00:00:00"/>
    <x v="10"/>
    <d v="1899-12-30T16:00:00"/>
    <s v="Ritchie"/>
    <s v="Options IT"/>
    <n v="13"/>
    <m/>
    <m/>
    <m/>
    <m/>
    <m/>
    <m/>
    <m/>
    <m/>
    <m/>
    <m/>
    <s v="Cancelled"/>
    <s v="A few of his teammates are on AL this week so its quite busy"/>
    <m/>
    <m/>
    <m/>
    <m/>
  </r>
  <r>
    <d v="2026-02-13T00:00:00"/>
    <x v="10"/>
    <d v="1899-12-30T10:00:00"/>
    <s v="Aoife"/>
    <s v="Options IT"/>
    <n v="14"/>
    <s v="PIR on Switch"/>
    <m/>
    <s v="Ed"/>
    <m/>
    <m/>
    <n v="9"/>
    <s v="Good to have everything explained in details for PIR"/>
    <m/>
    <m/>
    <m/>
    <s v="Attended"/>
    <m/>
    <m/>
    <m/>
    <m/>
    <m/>
  </r>
  <r>
    <d v="2026-02-13T00:00:00"/>
    <x v="10"/>
    <d v="1899-12-30T11:00:00"/>
    <s v="Ciara"/>
    <s v="Options IT"/>
    <n v="16"/>
    <m/>
    <m/>
    <s v="Rishi"/>
    <m/>
    <m/>
    <m/>
    <m/>
    <m/>
    <m/>
    <m/>
    <s v="Late Cancellation"/>
    <s v="Unable to join today."/>
    <m/>
    <m/>
    <m/>
    <m/>
  </r>
  <r>
    <d v="2026-02-16T00:00:00"/>
    <x v="10"/>
    <d v="1899-12-30T11:00:00"/>
    <s v="Patrick"/>
    <s v="Options IT"/>
    <n v="2"/>
    <s v="Intro"/>
    <m/>
    <s v="Naz"/>
    <m/>
    <m/>
    <s v="No Score"/>
    <m/>
    <m/>
    <m/>
    <m/>
    <s v="Attended"/>
    <m/>
    <m/>
    <m/>
    <m/>
    <m/>
  </r>
  <r>
    <d v="2026-02-16T00:00:00"/>
    <x v="10"/>
    <d v="1899-12-30T12:00:00"/>
    <s v="Jack"/>
    <s v="Options IT"/>
    <n v="17"/>
    <m/>
    <m/>
    <m/>
    <m/>
    <m/>
    <m/>
    <m/>
    <m/>
    <m/>
    <m/>
    <s v="Cancelled"/>
    <s v="Will not be able to join"/>
    <m/>
    <m/>
    <m/>
    <m/>
  </r>
  <r>
    <d v="2026-02-16T00:00:00"/>
    <x v="10"/>
    <d v="1899-12-30T15:00:00"/>
    <s v="Jessica"/>
    <s v="Options IT"/>
    <n v="6"/>
    <m/>
    <m/>
    <m/>
    <m/>
    <m/>
    <m/>
    <m/>
    <m/>
    <m/>
    <m/>
    <s v="Rescheduled"/>
    <s v="Out of office"/>
    <m/>
    <m/>
    <m/>
    <m/>
  </r>
  <r>
    <d v="2026-02-17T00:00:00"/>
    <x v="10"/>
    <d v="1899-12-30T15:00:00"/>
    <s v="Elsa"/>
    <s v="Options IT"/>
    <n v="11"/>
    <m/>
    <m/>
    <s v="Matthew"/>
    <m/>
    <m/>
    <m/>
    <m/>
    <m/>
    <m/>
    <m/>
    <s v="No Show"/>
    <m/>
    <m/>
    <m/>
    <m/>
    <m/>
  </r>
  <r>
    <d v="2026-02-18T00:00:00"/>
    <x v="10"/>
    <d v="1899-12-30T09:30:00"/>
    <s v="Mark"/>
    <s v="Options IT"/>
    <n v="11"/>
    <s v="PIR on Switch"/>
    <m/>
    <s v="Matthew"/>
    <m/>
    <m/>
    <n v="7"/>
    <s v="Does PIR timelines all the time, i could see this score improving over time with the more in depth PIR's we have"/>
    <m/>
    <m/>
    <m/>
    <s v="Attended"/>
    <m/>
    <m/>
    <m/>
    <m/>
    <m/>
  </r>
  <r>
    <d v="2026-02-19T00:00:00"/>
    <x v="10"/>
    <d v="1899-12-30T16:00:00"/>
    <s v="Ritchie"/>
    <s v="Options IT"/>
    <n v="13"/>
    <m/>
    <m/>
    <m/>
    <m/>
    <m/>
    <m/>
    <m/>
    <m/>
    <m/>
    <m/>
    <s v="Rescheduled"/>
    <s v="He now has meetings on Thursdays"/>
    <m/>
    <m/>
    <m/>
    <m/>
  </r>
  <r>
    <d v="2026-02-20T00:00:00"/>
    <x v="10"/>
    <d v="1899-12-30T10:00:00"/>
    <s v="Zach"/>
    <s v="Options IT"/>
    <n v="8"/>
    <m/>
    <m/>
    <s v="Ed"/>
    <m/>
    <m/>
    <m/>
    <m/>
    <m/>
    <m/>
    <m/>
    <s v="No Show"/>
    <m/>
    <m/>
    <m/>
    <m/>
    <m/>
  </r>
  <r>
    <d v="2026-02-20T00:00:00"/>
    <x v="10"/>
    <d v="1899-12-30T11:00:00"/>
    <s v="Ciara"/>
    <s v="Options IT"/>
    <n v="16"/>
    <m/>
    <m/>
    <m/>
    <m/>
    <m/>
    <m/>
    <m/>
    <m/>
    <m/>
    <m/>
    <s v="Late Cancellation"/>
    <s v="An incident has just come up on their side"/>
    <m/>
    <m/>
    <m/>
    <m/>
  </r>
  <r>
    <d v="2026-02-23T00:00:00"/>
    <x v="10"/>
    <d v="1899-12-30T11:30:00"/>
    <s v="Jack"/>
    <s v="Options IT"/>
    <n v="17"/>
    <s v="Cart-astroph"/>
    <m/>
    <s v="Matthew"/>
    <m/>
    <m/>
    <n v="9"/>
    <s v="He likes matter most over slack._x000a_"/>
    <n v="7794"/>
    <m/>
    <m/>
    <s v="Attended"/>
    <m/>
    <m/>
    <m/>
    <m/>
    <m/>
  </r>
  <r>
    <d v="2026-02-23T00:00:00"/>
    <x v="10"/>
    <d v="1899-12-30T15:00:00"/>
    <s v="Jessica"/>
    <s v="Options IT"/>
    <n v="6"/>
    <s v="Missing Delivery V2"/>
    <s v="checked"/>
    <s v="Matthew"/>
    <m/>
    <m/>
    <n v="9"/>
    <s v="Liked the drill and was happy to see a change from the regular narratives where they are always change related, this being 3rd party was refreshing "/>
    <n v="7800"/>
    <m/>
    <m/>
    <s v="Attended"/>
    <m/>
    <m/>
    <m/>
    <m/>
    <m/>
  </r>
  <r>
    <d v="2026-02-24T00:00:00"/>
    <x v="10"/>
    <d v="1899-12-30T15:00:00"/>
    <s v="Leah"/>
    <s v="Options IT"/>
    <n v="10"/>
    <s v="The Chain,Grounding Workshop"/>
    <m/>
    <s v="Matthew"/>
    <m/>
    <m/>
    <n v="10"/>
    <s v="Really enjoyed the session today, she was a bit rusty as its been a month from her last session but she got the drill in the end"/>
    <n v="7811"/>
    <m/>
    <m/>
    <s v="Attended"/>
    <m/>
    <m/>
    <m/>
    <m/>
    <m/>
  </r>
  <r>
    <d v="2026-02-25T00:00:00"/>
    <x v="10"/>
    <d v="1899-12-30T10:00:00"/>
    <s v="Ciaran"/>
    <s v="Options IT"/>
    <n v="1"/>
    <m/>
    <m/>
    <s v="Ed"/>
    <m/>
    <m/>
    <m/>
    <m/>
    <m/>
    <m/>
    <m/>
    <s v="Late Cancellation"/>
    <s v="clash of meeting, they have corparate dinner and meeting at the same time, asked to resheedule for later or earlier since he is in asia"/>
    <m/>
    <m/>
    <m/>
    <m/>
  </r>
  <r>
    <d v="2026-02-25T00:00:00"/>
    <x v="10"/>
    <d v="1899-12-30T11:00:00"/>
    <s v="Aoife"/>
    <s v="Options IT"/>
    <n v="14"/>
    <s v="Version Confusion"/>
    <m/>
    <s v="Ed"/>
    <m/>
    <m/>
    <n v="10"/>
    <s v="mentioned that session was relevant ot her job"/>
    <n v="7816"/>
    <m/>
    <m/>
    <s v="Attended"/>
    <m/>
    <m/>
    <m/>
    <m/>
    <m/>
  </r>
  <r>
    <d v="2026-02-25T00:00:00"/>
    <x v="10"/>
    <d v="1899-12-30T11:00:00"/>
    <s v="Caoimhe"/>
    <s v="Options IT"/>
    <n v="10"/>
    <m/>
    <m/>
    <m/>
    <m/>
    <m/>
    <m/>
    <m/>
    <m/>
    <m/>
    <m/>
    <s v="Cancelled"/>
    <s v="Did not provide any reason"/>
    <m/>
    <m/>
    <m/>
    <m/>
  </r>
  <r>
    <d v="2026-02-25T00:00:00"/>
    <x v="10"/>
    <d v="1899-12-30T13:00:00"/>
    <s v="Emma"/>
    <s v="Options IT"/>
    <n v="13"/>
    <s v="Version Confusion"/>
    <m/>
    <s v="Ed"/>
    <m/>
    <m/>
    <n v="8"/>
    <s v="didn't have too much time to talk about drill since she had to drop to another meeting"/>
    <n v="7819"/>
    <m/>
    <m/>
    <s v="Attended"/>
    <m/>
    <m/>
    <m/>
    <m/>
    <m/>
  </r>
  <r>
    <d v="2026-02-26T00:00:00"/>
    <x v="10"/>
    <d v="1899-12-30T10:00:00"/>
    <s v="Amelia"/>
    <s v="Options IT"/>
    <n v="9"/>
    <m/>
    <m/>
    <m/>
    <m/>
    <m/>
    <m/>
    <m/>
    <m/>
    <m/>
    <m/>
    <s v="Cancelled"/>
    <s v="In the middle of something"/>
    <m/>
    <m/>
    <m/>
    <m/>
  </r>
  <r>
    <d v="2026-02-26T00:00:00"/>
    <x v="10"/>
    <d v="1899-12-30T11:00:00"/>
    <s v="Patrick"/>
    <s v="Options IT"/>
    <n v="2"/>
    <m/>
    <m/>
    <s v="Rishi"/>
    <m/>
    <s v="Double check to use not AI version"/>
    <m/>
    <m/>
    <m/>
    <m/>
    <m/>
    <s v="No Show"/>
    <m/>
    <m/>
    <m/>
    <m/>
    <m/>
  </r>
  <r>
    <d v="2026-02-27T00:00:00"/>
    <x v="10"/>
    <d v="1899-12-30T11:00:00"/>
    <s v="Ciara"/>
    <s v="Options IT"/>
    <n v="16"/>
    <m/>
    <m/>
    <s v="Ed"/>
    <m/>
    <m/>
    <m/>
    <m/>
    <m/>
    <m/>
    <m/>
    <s v="No Show"/>
    <m/>
    <m/>
    <m/>
    <m/>
    <m/>
  </r>
  <r>
    <d v="2026-03-02T00:00:00"/>
    <x v="11"/>
    <d v="1899-12-30T11:00:00"/>
    <s v="Patrick"/>
    <s v="Options IT"/>
    <n v="2"/>
    <s v="Onboarding,Too Good To Be True V2"/>
    <s v="checked"/>
    <s v="Rishi"/>
    <m/>
    <s v="Double check to use not AI version"/>
    <n v="10"/>
    <s v="Felt human-like interactions with bots. This is very cool. He enjoyed it"/>
    <n v="7859"/>
    <m/>
    <m/>
    <s v="Attended"/>
    <m/>
    <m/>
    <m/>
    <m/>
    <m/>
  </r>
  <r>
    <d v="2026-03-02T00:00:00"/>
    <x v="11"/>
    <d v="1899-12-30T15:00:00"/>
    <s v="Jessica"/>
    <s v="Options IT"/>
    <n v="6"/>
    <m/>
    <m/>
    <m/>
    <m/>
    <m/>
    <m/>
    <m/>
    <m/>
    <m/>
    <m/>
    <s v="Cancelled"/>
    <s v="Declined the invite"/>
    <m/>
    <m/>
    <m/>
    <m/>
  </r>
  <r>
    <d v="2026-03-03T00:00:00"/>
    <x v="11"/>
    <d v="1899-12-30T10:00:00"/>
    <s v="Ellie"/>
    <s v="Options IT"/>
    <n v="11"/>
    <s v="The Big Investors"/>
    <m/>
    <s v="Charlene"/>
    <m/>
    <s v="play Bez Beatles Day V2 next"/>
    <n v="9"/>
    <s v="it didn't seem like she remembered this drill which was good, accidentally had her play the big investor v2. regardless she liked the drill and the fact it wasn't too difficult"/>
    <n v="7866"/>
    <m/>
    <m/>
    <s v="Attended"/>
    <m/>
    <m/>
    <m/>
    <m/>
    <m/>
  </r>
  <r>
    <d v="2026-03-04T00:00:00"/>
    <x v="11"/>
    <d v="1899-12-30T09:30:00"/>
    <s v="Mark"/>
    <s v="Options IT"/>
    <n v="11"/>
    <m/>
    <m/>
    <m/>
    <m/>
    <m/>
    <m/>
    <m/>
    <m/>
    <m/>
    <m/>
    <s v="Rescheduled"/>
    <s v="Had a last minute clash"/>
    <m/>
    <m/>
    <m/>
    <m/>
  </r>
  <r>
    <d v="2026-03-05T00:00:00"/>
    <x v="11"/>
    <d v="1899-12-30T09:30:00"/>
    <s v="Mark"/>
    <s v="Options IT"/>
    <n v="11"/>
    <s v="Roblox"/>
    <m/>
    <s v="Ed"/>
    <m/>
    <s v="Next session should be profile ? @Mildred Ranque _x000a__x000a_Yes, that is correct @Eduards Stalmaconoks "/>
    <n v="9"/>
    <s v="it was nice to see 2 separate issues, it was different from other drills"/>
    <n v="7887"/>
    <m/>
    <m/>
    <s v="Attended"/>
    <m/>
    <m/>
    <m/>
    <m/>
    <m/>
  </r>
  <r>
    <d v="2026-03-05T00:00:00"/>
    <x v="11"/>
    <d v="1899-12-30T10:00:00"/>
    <s v="Amelia"/>
    <s v="Options IT"/>
    <n v="9"/>
    <s v="Profile Report"/>
    <m/>
    <s v="Charlene"/>
    <m/>
    <s v="Maybe play an older drill before advancing to the harder ones, hasn't played in a few weeks"/>
    <s v="No Score"/>
    <s v="she found the session helpful, liked the suggestion of playing an older drill "/>
    <m/>
    <m/>
    <m/>
    <s v="Attended"/>
    <m/>
    <m/>
    <m/>
    <m/>
    <m/>
  </r>
  <r>
    <d v="2026-03-06T00:00:00"/>
    <x v="11"/>
    <d v="1899-12-30T10:00:00"/>
    <s v="Zach"/>
    <s v="Options IT"/>
    <n v="8"/>
    <m/>
    <m/>
    <s v="Ed"/>
    <m/>
    <m/>
    <m/>
    <m/>
    <m/>
    <m/>
    <m/>
    <s v="No Show"/>
    <m/>
    <m/>
    <m/>
    <m/>
    <m/>
  </r>
  <r>
    <d v="2026-03-09T00:00:00"/>
    <x v="11"/>
    <d v="1899-12-30T11:30:00"/>
    <s v="Jack"/>
    <s v="Options IT"/>
    <n v="17"/>
    <m/>
    <m/>
    <m/>
    <m/>
    <s v="Feedback @Naz Mostoufi check session plan"/>
    <m/>
    <m/>
    <m/>
    <m/>
    <m/>
    <s v="Cancelled"/>
    <s v="He is OOO"/>
    <m/>
    <m/>
    <m/>
    <m/>
  </r>
  <r>
    <d v="2026-03-09T00:00:00"/>
    <x v="11"/>
    <d v="1899-12-30T15:00:00"/>
    <s v="Jessica"/>
    <s v="Options IT"/>
    <n v="6"/>
    <m/>
    <m/>
    <m/>
    <m/>
    <s v="Feedback please"/>
    <m/>
    <m/>
    <m/>
    <m/>
    <m/>
    <s v="Cancelled"/>
    <s v="Out this week due to bereavement"/>
    <m/>
    <m/>
    <m/>
    <m/>
  </r>
  <r>
    <d v="2026-03-10T00:00:00"/>
    <x v="11"/>
    <d v="1899-12-30T10:00:00"/>
    <s v="Jamie"/>
    <s v="Options IT"/>
    <n v="17"/>
    <s v="Cart-astroph"/>
    <m/>
    <s v="Matthew"/>
    <m/>
    <m/>
    <n v="10"/>
    <s v="he said it was a chaotic drill and enjoyed it "/>
    <n v="7943"/>
    <m/>
    <m/>
    <s v="Attended"/>
    <m/>
    <m/>
    <m/>
    <m/>
    <m/>
  </r>
  <r>
    <d v="2026-03-10T00:00:00"/>
    <x v="11"/>
    <d v="1899-12-30T15:00:00"/>
    <s v="Leah"/>
    <s v="Options IT"/>
    <n v="10"/>
    <m/>
    <m/>
    <s v="Rishi"/>
    <m/>
    <m/>
    <m/>
    <m/>
    <m/>
    <m/>
    <m/>
    <s v="Late Cancellation"/>
    <s v="She's been pulled into something urgent"/>
    <m/>
    <m/>
    <m/>
    <m/>
  </r>
  <r>
    <d v="2026-03-11T00:00:00"/>
    <x v="11"/>
    <d v="1899-12-30T10:00:00"/>
    <s v="Ciaran"/>
    <s v="Options IT"/>
    <n v="1"/>
    <s v="Intro"/>
    <m/>
    <s v="Ed"/>
    <m/>
    <s v="mentioned that this time suits him but also if it's possible he would like a session at 8;30 UK if possible. @Mildred Ranque "/>
    <s v="No Score"/>
    <m/>
    <m/>
    <m/>
    <m/>
    <s v="Attended"/>
    <m/>
    <m/>
    <m/>
    <m/>
    <m/>
  </r>
  <r>
    <d v="2026-03-11T00:00:00"/>
    <x v="11"/>
    <d v="1899-12-30T11:00:00"/>
    <s v="Caoimhe"/>
    <s v="Options IT"/>
    <n v="10"/>
    <m/>
    <m/>
    <m/>
    <m/>
    <m/>
    <m/>
    <m/>
    <m/>
    <m/>
    <m/>
    <s v="Cancelled"/>
    <s v="On a business trip to HK"/>
    <m/>
    <m/>
    <m/>
    <m/>
  </r>
  <r>
    <d v="2026-03-11T00:00:00"/>
    <x v="11"/>
    <d v="1899-12-30T13:00:00"/>
    <s v="Emma"/>
    <s v="Options IT"/>
    <n v="13"/>
    <m/>
    <m/>
    <s v="Ed"/>
    <m/>
    <m/>
    <m/>
    <m/>
    <m/>
    <m/>
    <m/>
    <s v="Late Cancellation"/>
    <s v="Currently busy in the office at the minute after moving building"/>
    <m/>
    <m/>
    <m/>
    <m/>
  </r>
  <r>
    <d v="2026-03-12T00:00:00"/>
    <x v="11"/>
    <d v="1899-12-30T09:00:00"/>
    <s v="Donnchadh"/>
    <s v="Options IT"/>
    <n v="7"/>
    <m/>
    <m/>
    <m/>
    <m/>
    <m/>
    <m/>
    <m/>
    <m/>
    <m/>
    <m/>
    <s v="Cancelled"/>
    <s v="Declined the invite"/>
    <m/>
    <m/>
    <m/>
    <m/>
  </r>
  <r>
    <d v="2026-03-12T00:00:00"/>
    <x v="11"/>
    <d v="1899-12-30T10:00:00"/>
    <s v="Amelia"/>
    <s v="Options IT"/>
    <n v="9"/>
    <m/>
    <m/>
    <s v="Ed"/>
    <m/>
    <m/>
    <m/>
    <m/>
    <m/>
    <m/>
    <m/>
    <s v="Late Cancellation"/>
    <s v="busy with work"/>
    <m/>
    <m/>
    <m/>
    <m/>
  </r>
  <r>
    <d v="2026-03-12T00:00:00"/>
    <x v="11"/>
    <d v="1899-12-30T11:00:00"/>
    <s v="Aoife"/>
    <s v="Options IT"/>
    <n v="14"/>
    <m/>
    <m/>
    <m/>
    <m/>
    <m/>
    <m/>
    <m/>
    <m/>
    <m/>
    <m/>
    <s v="Cancelled"/>
    <s v="She now has work scheduled at this time"/>
    <m/>
    <m/>
    <m/>
    <m/>
  </r>
  <r>
    <d v="2026-03-13T00:00:00"/>
    <x v="11"/>
    <d v="1899-12-30T11:00:00"/>
    <s v="Ciara"/>
    <s v="Options IT"/>
    <n v="16"/>
    <m/>
    <m/>
    <s v="Rishi"/>
    <m/>
    <m/>
    <m/>
    <m/>
    <m/>
    <m/>
    <m/>
    <s v="Late Cancellation"/>
    <s v="An incident came up"/>
    <m/>
    <m/>
    <m/>
    <m/>
  </r>
  <r>
    <d v="2026-03-13T00:00:00"/>
    <x v="11"/>
    <d v="1899-12-30T15:00:00"/>
    <s v="Elsa"/>
    <s v="Options IT"/>
    <n v="11"/>
    <m/>
    <m/>
    <s v="Rishi"/>
    <m/>
    <m/>
    <m/>
    <m/>
    <m/>
    <m/>
    <m/>
    <s v="No Show"/>
    <m/>
    <m/>
    <m/>
    <m/>
    <m/>
  </r>
  <r>
    <d v="2026-03-16T00:00:00"/>
    <x v="11"/>
    <d v="1899-12-30T11:00:00"/>
    <s v="Patrick"/>
    <s v="Options IT"/>
    <n v="2"/>
    <m/>
    <m/>
    <s v="Karan"/>
    <m/>
    <m/>
    <m/>
    <m/>
    <m/>
    <m/>
    <m/>
    <s v="No Show"/>
    <m/>
    <m/>
    <m/>
    <m/>
    <m/>
  </r>
  <r>
    <d v="2026-03-16T00:00:00"/>
    <x v="11"/>
    <d v="1899-12-30T11:30:00"/>
    <s v="Jack"/>
    <s v="Options IT"/>
    <n v="17"/>
    <s v="Details Matter"/>
    <m/>
    <s v="Rishi"/>
    <m/>
    <m/>
    <n v="9"/>
    <s v="Good one. I could have asked more specific questions to Hamed about his change, asking for more evidences like logs"/>
    <n v="8027"/>
    <m/>
    <m/>
    <s v="Attended"/>
    <m/>
    <m/>
    <m/>
    <m/>
    <m/>
  </r>
  <r>
    <d v="2026-03-16T00:00:00"/>
    <x v="11"/>
    <d v="1899-12-30T15:00:00"/>
    <s v="Jessica"/>
    <s v="Options IT"/>
    <n v="6"/>
    <s v="Radio Silence"/>
    <m/>
    <s v="Rishi"/>
    <m/>
    <s v="Ask for feedback, she is canceling too much maybe move her to 2 weeks"/>
    <n v="8"/>
    <s v="Nice drill. Easy to find a resolution, but difficult to pull people on board . Didnt share her screen to ask about the score and improvements "/>
    <n v="8037"/>
    <m/>
    <m/>
    <s v="Attended"/>
    <m/>
    <m/>
    <m/>
    <m/>
    <m/>
  </r>
  <r>
    <d v="2026-03-17T00:00:00"/>
    <x v="11"/>
    <d v="1899-12-30T10:00:00"/>
    <s v="Ellie"/>
    <s v="Options IT"/>
    <n v="11"/>
    <m/>
    <m/>
    <m/>
    <m/>
    <m/>
    <m/>
    <m/>
    <m/>
    <m/>
    <m/>
    <s v="Cancelled"/>
    <s v="Declined the invite"/>
    <m/>
    <m/>
    <m/>
    <m/>
  </r>
  <r>
    <d v="2026-03-18T00:00:00"/>
    <x v="11"/>
    <d v="1899-12-30T08:30:00"/>
    <s v="Ciaran"/>
    <s v="Options IT"/>
    <n v="1"/>
    <m/>
    <m/>
    <s v="Karan"/>
    <m/>
    <m/>
    <m/>
    <m/>
    <m/>
    <m/>
    <m/>
    <s v="No Show"/>
    <m/>
    <m/>
    <m/>
    <m/>
    <m/>
  </r>
  <r>
    <d v="2026-03-18T00:00:00"/>
    <x v="11"/>
    <d v="1899-12-30T09:30:00"/>
    <s v="Mark"/>
    <s v="Options IT"/>
    <n v="11"/>
    <s v="Profile Report"/>
    <m/>
    <s v="Ed"/>
    <m/>
    <s v="Asked about the score but didn't get a number , didn't want to ruin a good session with a pushed answered from customer"/>
    <s v="No Score"/>
    <s v="Mentioned it is worth doing these sessions every 6-9 sessions, sees the benefit of them"/>
    <m/>
    <m/>
    <m/>
    <s v="Attended"/>
    <m/>
    <m/>
    <m/>
    <m/>
    <m/>
  </r>
  <r>
    <d v="2026-03-20T00:00:00"/>
    <x v="11"/>
    <d v="1899-12-30T11:00:00"/>
    <s v="Ciara"/>
    <s v="Options IT"/>
    <n v="16"/>
    <m/>
    <m/>
    <s v="Ed"/>
    <m/>
    <m/>
    <m/>
    <m/>
    <m/>
    <m/>
    <m/>
    <s v="No Show"/>
    <m/>
    <m/>
    <m/>
    <m/>
    <m/>
  </r>
  <r>
    <d v="2026-03-23T00:00:00"/>
    <x v="11"/>
    <d v="1899-12-30T11:00:00"/>
    <s v="Patrick"/>
    <s v="Options IT"/>
    <n v="2"/>
    <s v="Bez Beatles Day V2"/>
    <s v="checked"/>
    <s v="Rishi"/>
    <m/>
    <m/>
    <m/>
    <m/>
    <m/>
    <m/>
    <m/>
    <m/>
    <m/>
    <m/>
    <m/>
    <m/>
    <m/>
  </r>
  <r>
    <d v="2026-03-23T00:00:00"/>
    <x v="11"/>
    <d v="1899-12-30T15:00:00"/>
    <s v="Jessica"/>
    <s v="Options IT"/>
    <n v="6"/>
    <s v="Rumours V2"/>
    <s v="checked"/>
    <s v="Rishi"/>
    <m/>
    <s v="Move to every 2 weeks"/>
    <m/>
    <m/>
    <m/>
    <m/>
    <m/>
    <m/>
    <m/>
    <m/>
    <m/>
    <m/>
    <m/>
  </r>
  <r>
    <d v="2026-03-24T00:00:00"/>
    <x v="11"/>
    <d v="1899-12-30T15:00:00"/>
    <s v="Account Meeting"/>
    <s v="Options IT"/>
    <m/>
    <s v="Account Meeting"/>
    <m/>
    <m/>
    <m/>
    <m/>
    <m/>
    <m/>
    <m/>
    <m/>
    <m/>
    <m/>
    <m/>
    <m/>
    <m/>
    <m/>
    <m/>
  </r>
  <r>
    <d v="2026-03-24T00:00:00"/>
    <x v="11"/>
    <d v="1899-12-30T15:00:00"/>
    <s v="Elsa"/>
    <s v="Options IT"/>
    <n v="11"/>
    <s v="Breaking Bez"/>
    <m/>
    <s v="Matthew"/>
    <m/>
    <m/>
    <m/>
    <m/>
    <m/>
    <m/>
    <m/>
    <m/>
    <m/>
    <m/>
    <m/>
    <m/>
    <m/>
  </r>
  <r>
    <d v="2026-03-24T00:00:00"/>
    <x v="11"/>
    <d v="1899-12-30T15:00:00"/>
    <s v="Leah"/>
    <s v="Options IT"/>
    <n v="10"/>
    <s v="The Switch"/>
    <m/>
    <s v="Karan"/>
    <m/>
    <m/>
    <m/>
    <m/>
    <m/>
    <m/>
    <m/>
    <m/>
    <m/>
    <m/>
    <m/>
    <m/>
    <m/>
  </r>
  <r>
    <d v="2026-03-25T00:00:00"/>
    <x v="11"/>
    <d v="1899-12-30T08:30:00"/>
    <s v="Ciaran"/>
    <s v="Options IT"/>
    <n v="1"/>
    <s v="Onboarding,Too Good To Be True V2"/>
    <s v="checked"/>
    <s v="Karan"/>
    <m/>
    <s v="Double check if he is going to attend"/>
    <m/>
    <m/>
    <m/>
    <m/>
    <m/>
    <m/>
    <m/>
    <m/>
    <m/>
    <m/>
    <m/>
  </r>
  <r>
    <d v="2026-03-25T00:00:00"/>
    <x v="11"/>
    <d v="1899-12-30T11:00:00"/>
    <s v="Aoife"/>
    <s v="Options IT"/>
    <n v="14"/>
    <s v="Breaking Bez"/>
    <m/>
    <s v="Ed"/>
    <m/>
    <m/>
    <m/>
    <m/>
    <m/>
    <m/>
    <m/>
    <m/>
    <m/>
    <m/>
    <m/>
    <m/>
    <m/>
  </r>
  <r>
    <d v="2026-03-25T00:00:00"/>
    <x v="11"/>
    <d v="1899-12-30T11:00:00"/>
    <s v="Caoimhe"/>
    <s v="Options IT"/>
    <n v="10"/>
    <s v="The Switch"/>
    <m/>
    <s v="Rishi"/>
    <m/>
    <m/>
    <m/>
    <m/>
    <m/>
    <m/>
    <m/>
    <m/>
    <m/>
    <m/>
    <m/>
    <m/>
    <m/>
  </r>
  <r>
    <d v="2026-03-25T00:00:00"/>
    <x v="11"/>
    <d v="1899-12-30T13:00:00"/>
    <s v="Emma"/>
    <s v="Options IT"/>
    <n v="13"/>
    <s v="Breaking Bez"/>
    <m/>
    <s v="Ed"/>
    <m/>
    <m/>
    <m/>
    <m/>
    <m/>
    <m/>
    <m/>
    <m/>
    <m/>
    <m/>
    <m/>
    <m/>
    <m/>
  </r>
  <r>
    <d v="2026-03-26T00:00:00"/>
    <x v="11"/>
    <d v="1899-12-30T09:00:00"/>
    <s v="Donnchadh"/>
    <s v="Options IT"/>
    <n v="7"/>
    <s v="Roblox"/>
    <m/>
    <s v="Rishi"/>
    <m/>
    <m/>
    <m/>
    <m/>
    <m/>
    <m/>
    <m/>
    <m/>
    <m/>
    <m/>
    <m/>
    <m/>
    <m/>
  </r>
  <r>
    <d v="2026-03-26T00:00:00"/>
    <x v="11"/>
    <d v="1899-12-30T10:00:00"/>
    <s v="Amelia"/>
    <s v="Options IT"/>
    <n v="9"/>
    <s v="The Chain,Grounding Workshop"/>
    <m/>
    <s v="Karan"/>
    <m/>
    <m/>
    <m/>
    <m/>
    <m/>
    <m/>
    <m/>
    <m/>
    <m/>
    <m/>
    <m/>
    <m/>
    <m/>
  </r>
  <r>
    <d v="2026-03-27T00:00:00"/>
    <x v="11"/>
    <d v="1899-12-30T11:00:00"/>
    <s v="Ruairi"/>
    <s v="Options IT"/>
    <n v="0"/>
    <s v="Intro"/>
    <m/>
    <s v="Ed"/>
    <m/>
    <m/>
    <m/>
    <m/>
    <m/>
    <m/>
    <m/>
    <m/>
    <m/>
    <m/>
    <m/>
    <m/>
    <m/>
  </r>
  <r>
    <d v="2026-03-27T00:00:00"/>
    <x v="11"/>
    <d v="1899-12-30T16:00:00"/>
    <s v="James"/>
    <s v="Options IT"/>
    <n v="8"/>
    <s v="Roblox"/>
    <m/>
    <s v="Rishi"/>
    <m/>
    <m/>
    <m/>
    <m/>
    <m/>
    <m/>
    <m/>
    <m/>
    <m/>
    <m/>
    <m/>
    <m/>
    <m/>
  </r>
  <r>
    <d v="2026-03-27T00:00:00"/>
    <x v="11"/>
    <d v="1899-12-30T16:00:00"/>
    <s v="Ritchie"/>
    <s v="Options IT"/>
    <n v="13"/>
    <s v="Breaking Bez"/>
    <m/>
    <s v="Karan"/>
    <m/>
    <m/>
    <m/>
    <m/>
    <m/>
    <m/>
    <m/>
    <m/>
    <m/>
    <m/>
    <m/>
    <m/>
    <m/>
  </r>
  <r>
    <m/>
    <x v="12"/>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04268-7C8F-2C46-93B6-A2DAD4FA388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7" firstHeaderRow="1" firstDataRow="1" firstDataCol="1"/>
  <pivotFields count="22">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Average of GUOT" fld="11"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2B166-7D20-8649-8BFB-383E1D1518F0}"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2:G52" firstHeaderRow="0" firstDataRow="1" firstDataCol="1" rowPageCount="1" colPageCount="1"/>
  <pivotFields count="46">
    <pivotField dataField="1" showAll="0" defaultSubtotal="0"/>
    <pivotField axis="axisPage" showAll="0" defaultSubtotal="0">
      <items count="13">
        <item x="0"/>
        <item x="1"/>
        <item x="2"/>
        <item x="3"/>
        <item x="4"/>
        <item x="5"/>
        <item x="6"/>
        <item x="7"/>
        <item x="8"/>
        <item x="9"/>
        <item x="10"/>
        <item x="11"/>
        <item x="12"/>
      </items>
    </pivotField>
    <pivotField showAll="0" defaultSubtotal="0"/>
    <pivotField showAll="0" defaultSubtotal="0"/>
    <pivotField showAll="0" defaultSubtotal="0"/>
    <pivotField showAll="0" defaultSubtotal="0"/>
    <pivotField axis="axisRow" showAll="0" defaultSubtotal="0">
      <items count="21">
        <item x="14"/>
        <item x="6"/>
        <item x="9"/>
        <item x="1"/>
        <item x="16"/>
        <item x="15"/>
        <item x="11"/>
        <item x="7"/>
        <item x="0"/>
        <item x="12"/>
        <item x="2"/>
        <item x="18"/>
        <item x="13"/>
        <item x="17"/>
        <item x="19"/>
        <item x="5"/>
        <item x="4"/>
        <item x="10"/>
        <item x="8"/>
        <item x="3"/>
        <item h="1" x="20"/>
      </items>
    </pivotField>
    <pivotField showAll="0" defaultSubtotal="0">
      <items count="6">
        <item x="0"/>
        <item x="2"/>
        <item x="3"/>
        <item x="4"/>
        <item h="1" x="1"/>
        <item h="1" x="5"/>
      </items>
    </pivotField>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6"/>
  </rowFields>
  <rowItems count="20">
    <i>
      <x/>
    </i>
    <i>
      <x v="1"/>
    </i>
    <i>
      <x v="2"/>
    </i>
    <i>
      <x v="3"/>
    </i>
    <i>
      <x v="4"/>
    </i>
    <i>
      <x v="5"/>
    </i>
    <i>
      <x v="6"/>
    </i>
    <i>
      <x v="7"/>
    </i>
    <i>
      <x v="8"/>
    </i>
    <i>
      <x v="9"/>
    </i>
    <i>
      <x v="10"/>
    </i>
    <i>
      <x v="11"/>
    </i>
    <i>
      <x v="12"/>
    </i>
    <i>
      <x v="13"/>
    </i>
    <i>
      <x v="14"/>
    </i>
    <i>
      <x v="15"/>
    </i>
    <i>
      <x v="16"/>
    </i>
    <i>
      <x v="17"/>
    </i>
    <i>
      <x v="18"/>
    </i>
    <i>
      <x v="19"/>
    </i>
  </rowItems>
  <colFields count="1">
    <field x="-2"/>
  </colFields>
  <colItems count="6">
    <i>
      <x/>
    </i>
    <i i="1">
      <x v="1"/>
    </i>
    <i i="2">
      <x v="2"/>
    </i>
    <i i="3">
      <x v="3"/>
    </i>
    <i i="4">
      <x v="4"/>
    </i>
    <i i="5">
      <x v="5"/>
    </i>
  </colItems>
  <pageFields count="1">
    <pageField fld="1" hier="-1"/>
  </pageFields>
  <dataFields count="6">
    <dataField name="Incident Mechanics" fld="10" subtotal="average" baseField="0" baseItem="0"/>
    <dataField name="Commanding The Incident" fld="13" subtotal="average" baseField="0" baseItem="0"/>
    <dataField name="Internal Comms" fld="12" subtotal="average" baseField="0" baseItem="0"/>
    <dataField name="External Comms" fld="11" subtotal="average" baseField="0" baseItem="0"/>
    <dataField name="Identify Scope" fld="9" subtotal="average" baseField="0" baseItem="0"/>
    <dataField name="Session Count" fld="0" subtotal="count" baseField="0" baseItem="0"/>
  </dataFields>
  <chartFormats count="1">
    <chartFormat chart="0" format="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4812B7-48E6-C940-B5F5-887BCECFF33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6" firstHeaderRow="1" firstDataRow="1" firstDataCol="1" rowPageCount="1" colPageCount="1"/>
  <pivotFields count="46">
    <pivotField dataField="1" showAll="0"/>
    <pivotField axis="axisPage" showAll="0">
      <items count="14">
        <item x="0"/>
        <item x="1"/>
        <item x="2"/>
        <item x="3"/>
        <item x="4"/>
        <item x="5"/>
        <item x="6"/>
        <item x="7"/>
        <item x="8"/>
        <item x="9"/>
        <item x="10"/>
        <item x="11"/>
        <item x="12"/>
        <item t="default"/>
      </items>
    </pivotField>
    <pivotField showAll="0"/>
    <pivotField showAll="0"/>
    <pivotField showAll="0"/>
    <pivotField showAll="0"/>
    <pivotField axis="axisRow" showAll="0">
      <items count="22">
        <item x="14"/>
        <item x="6"/>
        <item x="9"/>
        <item x="1"/>
        <item x="16"/>
        <item x="15"/>
        <item x="11"/>
        <item x="7"/>
        <item x="0"/>
        <item x="12"/>
        <item x="2"/>
        <item x="18"/>
        <item x="13"/>
        <item x="17"/>
        <item x="19"/>
        <item x="5"/>
        <item x="4"/>
        <item x="10"/>
        <item x="8"/>
        <item x="3"/>
        <item h="1" x="20"/>
        <item t="default"/>
      </items>
    </pivotField>
    <pivotField axis="axisRow" showAll="0">
      <items count="7">
        <item x="0"/>
        <item x="2"/>
        <item x="3"/>
        <item x="4"/>
        <item h="1"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6"/>
  </rowFields>
  <rowItems count="23">
    <i>
      <x/>
    </i>
    <i r="1">
      <x v="3"/>
    </i>
    <i r="1">
      <x v="8"/>
    </i>
    <i r="1">
      <x v="10"/>
    </i>
    <i r="1">
      <x v="16"/>
    </i>
    <i r="1">
      <x v="19"/>
    </i>
    <i>
      <x v="1"/>
    </i>
    <i r="1">
      <x v="1"/>
    </i>
    <i r="1">
      <x v="5"/>
    </i>
    <i r="1">
      <x v="6"/>
    </i>
    <i r="1">
      <x v="7"/>
    </i>
    <i r="1">
      <x v="17"/>
    </i>
    <i r="1">
      <x v="18"/>
    </i>
    <i>
      <x v="2"/>
    </i>
    <i r="1">
      <x/>
    </i>
    <i r="1">
      <x v="4"/>
    </i>
    <i r="1">
      <x v="9"/>
    </i>
    <i r="1">
      <x v="12"/>
    </i>
    <i r="1">
      <x v="13"/>
    </i>
    <i>
      <x v="3"/>
    </i>
    <i r="1">
      <x v="11"/>
    </i>
    <i r="1">
      <x v="14"/>
    </i>
    <i t="grand">
      <x/>
    </i>
  </rowItems>
  <colItems count="1">
    <i/>
  </colItems>
  <pageFields count="1">
    <pageField fld="1" hier="-1"/>
  </pageFields>
  <dataFields count="1">
    <dataField name="Count of session_start"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5D6BF-341B-7746-B557-B0CDB54C10AF}">
  <dimension ref="A3:B17"/>
  <sheetViews>
    <sheetView workbookViewId="0">
      <selection activeCell="M6" sqref="M6"/>
    </sheetView>
  </sheetViews>
  <sheetFormatPr baseColWidth="10" defaultRowHeight="16" x14ac:dyDescent="0.2"/>
  <cols>
    <col min="1" max="1" width="13" bestFit="1" customWidth="1"/>
    <col min="2" max="2" width="14.83203125" bestFit="1" customWidth="1"/>
  </cols>
  <sheetData>
    <row r="3" spans="1:2" x14ac:dyDescent="0.2">
      <c r="A3" s="3" t="s">
        <v>203</v>
      </c>
      <c r="B3" t="s">
        <v>632</v>
      </c>
    </row>
    <row r="4" spans="1:2" x14ac:dyDescent="0.2">
      <c r="A4" s="12">
        <v>45748</v>
      </c>
      <c r="B4" s="5">
        <v>8</v>
      </c>
    </row>
    <row r="5" spans="1:2" x14ac:dyDescent="0.2">
      <c r="A5" s="12">
        <v>45778</v>
      </c>
      <c r="B5" s="5">
        <v>9</v>
      </c>
    </row>
    <row r="6" spans="1:2" x14ac:dyDescent="0.2">
      <c r="A6" s="12">
        <v>45809</v>
      </c>
      <c r="B6" s="5">
        <v>9.7272727272727266</v>
      </c>
    </row>
    <row r="7" spans="1:2" x14ac:dyDescent="0.2">
      <c r="A7" s="12">
        <v>45839</v>
      </c>
      <c r="B7" s="5">
        <v>9</v>
      </c>
    </row>
    <row r="8" spans="1:2" x14ac:dyDescent="0.2">
      <c r="A8" s="12">
        <v>45870</v>
      </c>
      <c r="B8" s="5">
        <v>9.1111111111111107</v>
      </c>
    </row>
    <row r="9" spans="1:2" x14ac:dyDescent="0.2">
      <c r="A9" s="12">
        <v>45901</v>
      </c>
      <c r="B9" s="5">
        <v>9.25</v>
      </c>
    </row>
    <row r="10" spans="1:2" x14ac:dyDescent="0.2">
      <c r="A10" s="12">
        <v>45931</v>
      </c>
      <c r="B10" s="5">
        <v>8.9259259259259256</v>
      </c>
    </row>
    <row r="11" spans="1:2" x14ac:dyDescent="0.2">
      <c r="A11" s="12">
        <v>45962</v>
      </c>
      <c r="B11" s="5">
        <v>8.8275862068965516</v>
      </c>
    </row>
    <row r="12" spans="1:2" x14ac:dyDescent="0.2">
      <c r="A12" s="12">
        <v>45992</v>
      </c>
      <c r="B12" s="5">
        <v>9.1428571428571423</v>
      </c>
    </row>
    <row r="13" spans="1:2" x14ac:dyDescent="0.2">
      <c r="A13" s="12">
        <v>46023</v>
      </c>
      <c r="B13" s="5">
        <v>9.0500000000000007</v>
      </c>
    </row>
    <row r="14" spans="1:2" x14ac:dyDescent="0.2">
      <c r="A14" s="12">
        <v>46054</v>
      </c>
      <c r="B14" s="5">
        <v>8.6666666666666661</v>
      </c>
    </row>
    <row r="15" spans="1:2" x14ac:dyDescent="0.2">
      <c r="A15" s="12">
        <v>46082</v>
      </c>
      <c r="B15" s="5">
        <v>9.1666666666666661</v>
      </c>
    </row>
    <row r="16" spans="1:2" x14ac:dyDescent="0.2">
      <c r="A16" s="4" t="s">
        <v>204</v>
      </c>
      <c r="B16" s="5"/>
    </row>
    <row r="17" spans="1:2" x14ac:dyDescent="0.2">
      <c r="A17" s="4" t="s">
        <v>205</v>
      </c>
      <c r="B17" s="5">
        <v>9.0178571428571423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242E-774C-1847-B3E7-349EF320305D}">
  <dimension ref="A1:V371"/>
  <sheetViews>
    <sheetView topLeftCell="A2" workbookViewId="0">
      <selection activeCell="A2" sqref="A1:XFD1048576"/>
    </sheetView>
  </sheetViews>
  <sheetFormatPr baseColWidth="10" defaultRowHeight="16" x14ac:dyDescent="0.2"/>
  <sheetData>
    <row r="1" spans="1:22" x14ac:dyDescent="0.2">
      <c r="A1" t="s">
        <v>631</v>
      </c>
      <c r="B1" t="s">
        <v>202</v>
      </c>
      <c r="C1" t="s">
        <v>630</v>
      </c>
      <c r="D1" t="s">
        <v>629</v>
      </c>
      <c r="E1" t="s">
        <v>628</v>
      </c>
      <c r="F1" t="s">
        <v>627</v>
      </c>
      <c r="G1" t="s">
        <v>626</v>
      </c>
      <c r="H1" t="s">
        <v>625</v>
      </c>
      <c r="I1" t="s">
        <v>624</v>
      </c>
      <c r="J1" t="s">
        <v>623</v>
      </c>
      <c r="K1" t="s">
        <v>622</v>
      </c>
      <c r="L1" t="s">
        <v>621</v>
      </c>
      <c r="M1" t="s">
        <v>620</v>
      </c>
      <c r="N1" t="s">
        <v>619</v>
      </c>
      <c r="O1" t="s">
        <v>618</v>
      </c>
      <c r="P1" t="s">
        <v>617</v>
      </c>
      <c r="Q1" t="s">
        <v>616</v>
      </c>
      <c r="R1" t="s">
        <v>615</v>
      </c>
      <c r="S1" t="s">
        <v>614</v>
      </c>
      <c r="T1" t="s">
        <v>613</v>
      </c>
      <c r="U1" t="s">
        <v>612</v>
      </c>
      <c r="V1" t="s">
        <v>611</v>
      </c>
    </row>
    <row r="2" spans="1:22" ht="409.6" x14ac:dyDescent="0.2">
      <c r="A2" s="2">
        <v>45776</v>
      </c>
      <c r="B2" s="2">
        <f>DATE(YEAR(A2), MONTH(A2), 1)</f>
        <v>45748</v>
      </c>
      <c r="C2" s="10">
        <v>0.45833333333333331</v>
      </c>
      <c r="D2" t="s">
        <v>262</v>
      </c>
      <c r="E2" t="s">
        <v>211</v>
      </c>
      <c r="F2">
        <v>17</v>
      </c>
      <c r="G2" t="s">
        <v>216</v>
      </c>
      <c r="I2" t="s">
        <v>210</v>
      </c>
      <c r="J2" t="s">
        <v>295</v>
      </c>
      <c r="L2" t="s">
        <v>241</v>
      </c>
      <c r="M2" s="11" t="s">
        <v>610</v>
      </c>
      <c r="Q2" t="s">
        <v>239</v>
      </c>
    </row>
    <row r="3" spans="1:22" ht="372" x14ac:dyDescent="0.2">
      <c r="A3" s="2">
        <v>45777</v>
      </c>
      <c r="B3" s="2">
        <f t="shared" ref="B3:B66" si="0">DATE(YEAR(A3), MONTH(A3), 1)</f>
        <v>45748</v>
      </c>
      <c r="C3" s="10">
        <v>0.41666666666666669</v>
      </c>
      <c r="D3" t="s">
        <v>251</v>
      </c>
      <c r="E3" t="s">
        <v>211</v>
      </c>
      <c r="F3">
        <v>17</v>
      </c>
      <c r="G3" t="s">
        <v>394</v>
      </c>
      <c r="I3" t="s">
        <v>436</v>
      </c>
      <c r="J3" t="s">
        <v>210</v>
      </c>
      <c r="L3">
        <v>8</v>
      </c>
      <c r="M3" s="11" t="s">
        <v>609</v>
      </c>
      <c r="N3">
        <v>4049</v>
      </c>
      <c r="Q3" t="s">
        <v>239</v>
      </c>
    </row>
    <row r="4" spans="1:22" x14ac:dyDescent="0.2">
      <c r="A4" s="2">
        <v>45777</v>
      </c>
      <c r="B4" s="2">
        <f t="shared" si="0"/>
        <v>45748</v>
      </c>
      <c r="C4" s="10">
        <v>0.625</v>
      </c>
      <c r="D4" t="s">
        <v>212</v>
      </c>
      <c r="E4" t="s">
        <v>211</v>
      </c>
      <c r="F4">
        <v>13</v>
      </c>
      <c r="I4" t="s">
        <v>295</v>
      </c>
      <c r="J4" t="s">
        <v>213</v>
      </c>
      <c r="Q4" t="s">
        <v>237</v>
      </c>
      <c r="R4" t="s">
        <v>608</v>
      </c>
    </row>
    <row r="5" spans="1:22" x14ac:dyDescent="0.2">
      <c r="A5" s="2">
        <v>45778</v>
      </c>
      <c r="B5" s="2">
        <f t="shared" si="0"/>
        <v>45778</v>
      </c>
      <c r="C5" s="10">
        <v>0.64583333333333337</v>
      </c>
      <c r="D5" t="s">
        <v>238</v>
      </c>
      <c r="E5" t="s">
        <v>211</v>
      </c>
      <c r="F5">
        <v>16</v>
      </c>
      <c r="G5" t="s">
        <v>394</v>
      </c>
      <c r="I5" t="s">
        <v>295</v>
      </c>
      <c r="J5" t="s">
        <v>213</v>
      </c>
      <c r="L5">
        <v>9</v>
      </c>
      <c r="M5" t="s">
        <v>607</v>
      </c>
      <c r="N5">
        <v>4085</v>
      </c>
      <c r="Q5" t="s">
        <v>239</v>
      </c>
    </row>
    <row r="6" spans="1:22" x14ac:dyDescent="0.2">
      <c r="A6" s="2">
        <v>45779</v>
      </c>
      <c r="B6" s="2">
        <f t="shared" si="0"/>
        <v>45778</v>
      </c>
      <c r="C6" s="10">
        <v>0.625</v>
      </c>
      <c r="D6" t="s">
        <v>262</v>
      </c>
      <c r="E6" t="s">
        <v>211</v>
      </c>
      <c r="F6">
        <v>17</v>
      </c>
      <c r="Q6" t="s">
        <v>246</v>
      </c>
      <c r="R6" t="s">
        <v>606</v>
      </c>
    </row>
    <row r="7" spans="1:22" x14ac:dyDescent="0.2">
      <c r="A7" s="2">
        <v>45784</v>
      </c>
      <c r="B7" s="2">
        <f t="shared" si="0"/>
        <v>45778</v>
      </c>
      <c r="C7" s="10">
        <v>0.41666666666666669</v>
      </c>
      <c r="D7" t="s">
        <v>251</v>
      </c>
      <c r="E7" t="s">
        <v>211</v>
      </c>
      <c r="F7">
        <v>17</v>
      </c>
      <c r="G7" t="s">
        <v>412</v>
      </c>
      <c r="I7" t="s">
        <v>210</v>
      </c>
      <c r="J7" t="s">
        <v>213</v>
      </c>
      <c r="L7">
        <v>10</v>
      </c>
      <c r="M7" t="s">
        <v>605</v>
      </c>
      <c r="N7">
        <v>4131</v>
      </c>
      <c r="Q7" t="s">
        <v>239</v>
      </c>
    </row>
    <row r="8" spans="1:22" ht="409.6" x14ac:dyDescent="0.2">
      <c r="A8" s="2">
        <v>45784</v>
      </c>
      <c r="B8" s="2">
        <f t="shared" si="0"/>
        <v>45778</v>
      </c>
      <c r="C8" s="10">
        <v>0.625</v>
      </c>
      <c r="D8" t="s">
        <v>212</v>
      </c>
      <c r="E8" t="s">
        <v>211</v>
      </c>
      <c r="F8">
        <v>13</v>
      </c>
      <c r="G8" t="s">
        <v>216</v>
      </c>
      <c r="I8" t="s">
        <v>210</v>
      </c>
      <c r="L8" t="s">
        <v>241</v>
      </c>
      <c r="M8" s="11" t="s">
        <v>604</v>
      </c>
      <c r="Q8" t="s">
        <v>239</v>
      </c>
    </row>
    <row r="9" spans="1:22" ht="409.6" x14ac:dyDescent="0.2">
      <c r="A9" s="2">
        <v>45785</v>
      </c>
      <c r="B9" s="2">
        <f t="shared" si="0"/>
        <v>45778</v>
      </c>
      <c r="C9" s="10">
        <v>0.64583333333333337</v>
      </c>
      <c r="D9" t="s">
        <v>238</v>
      </c>
      <c r="E9" t="s">
        <v>211</v>
      </c>
      <c r="F9">
        <v>16</v>
      </c>
      <c r="G9" t="s">
        <v>412</v>
      </c>
      <c r="I9" t="s">
        <v>213</v>
      </c>
      <c r="J9" t="s">
        <v>536</v>
      </c>
      <c r="L9">
        <v>9</v>
      </c>
      <c r="M9" s="11" t="s">
        <v>603</v>
      </c>
      <c r="N9">
        <v>4150</v>
      </c>
      <c r="Q9" t="s">
        <v>239</v>
      </c>
    </row>
    <row r="10" spans="1:22" ht="409.6" x14ac:dyDescent="0.2">
      <c r="A10" s="2">
        <v>45789</v>
      </c>
      <c r="B10" s="2">
        <f t="shared" si="0"/>
        <v>45778</v>
      </c>
      <c r="C10" s="10">
        <v>0.54166666666666663</v>
      </c>
      <c r="D10" t="s">
        <v>262</v>
      </c>
      <c r="E10" t="s">
        <v>211</v>
      </c>
      <c r="F10">
        <v>17</v>
      </c>
      <c r="G10" t="s">
        <v>46</v>
      </c>
      <c r="I10" t="s">
        <v>210</v>
      </c>
      <c r="J10" t="s">
        <v>213</v>
      </c>
      <c r="L10">
        <v>8</v>
      </c>
      <c r="M10" s="11" t="s">
        <v>602</v>
      </c>
      <c r="N10">
        <v>4172</v>
      </c>
      <c r="Q10" t="s">
        <v>239</v>
      </c>
    </row>
    <row r="11" spans="1:22" x14ac:dyDescent="0.2">
      <c r="A11" s="2">
        <v>45791</v>
      </c>
      <c r="B11" s="2">
        <f t="shared" si="0"/>
        <v>45778</v>
      </c>
      <c r="C11" s="10">
        <v>0.41666666666666669</v>
      </c>
      <c r="D11" t="s">
        <v>251</v>
      </c>
      <c r="E11" t="s">
        <v>211</v>
      </c>
      <c r="F11">
        <v>17</v>
      </c>
      <c r="Q11" t="s">
        <v>353</v>
      </c>
      <c r="R11" t="s">
        <v>601</v>
      </c>
    </row>
    <row r="12" spans="1:22" x14ac:dyDescent="0.2">
      <c r="A12" s="2">
        <v>45791</v>
      </c>
      <c r="B12" s="2">
        <f t="shared" si="0"/>
        <v>45778</v>
      </c>
      <c r="C12" s="10">
        <v>0.625</v>
      </c>
      <c r="D12" t="s">
        <v>212</v>
      </c>
      <c r="E12" t="s">
        <v>211</v>
      </c>
      <c r="F12">
        <v>13</v>
      </c>
      <c r="Q12" t="s">
        <v>353</v>
      </c>
      <c r="R12" t="s">
        <v>601</v>
      </c>
    </row>
    <row r="13" spans="1:22" x14ac:dyDescent="0.2">
      <c r="A13" s="2">
        <v>45792</v>
      </c>
      <c r="B13" s="2">
        <f t="shared" si="0"/>
        <v>45778</v>
      </c>
      <c r="C13" s="10">
        <v>0.64583333333333337</v>
      </c>
      <c r="D13" t="s">
        <v>238</v>
      </c>
      <c r="E13" t="s">
        <v>211</v>
      </c>
      <c r="F13">
        <v>16</v>
      </c>
      <c r="Q13" t="s">
        <v>353</v>
      </c>
      <c r="R13" t="s">
        <v>601</v>
      </c>
    </row>
    <row r="14" spans="1:22" ht="170" x14ac:dyDescent="0.2">
      <c r="A14" s="2">
        <v>45793</v>
      </c>
      <c r="B14" s="2">
        <f t="shared" si="0"/>
        <v>45778</v>
      </c>
      <c r="C14" s="10">
        <v>0.64583333333333337</v>
      </c>
      <c r="D14" t="s">
        <v>267</v>
      </c>
      <c r="E14" t="s">
        <v>211</v>
      </c>
      <c r="F14">
        <v>8</v>
      </c>
      <c r="G14" t="s">
        <v>600</v>
      </c>
      <c r="I14" t="s">
        <v>295</v>
      </c>
      <c r="J14" t="s">
        <v>599</v>
      </c>
      <c r="L14">
        <v>10</v>
      </c>
      <c r="M14" s="11" t="s">
        <v>598</v>
      </c>
      <c r="N14">
        <v>4271</v>
      </c>
      <c r="Q14" t="s">
        <v>239</v>
      </c>
    </row>
    <row r="15" spans="1:22" ht="409.6" x14ac:dyDescent="0.2">
      <c r="A15" s="2">
        <v>45796</v>
      </c>
      <c r="B15" s="2">
        <f t="shared" si="0"/>
        <v>45778</v>
      </c>
      <c r="C15" s="10">
        <v>0.54166666666666663</v>
      </c>
      <c r="D15" t="s">
        <v>262</v>
      </c>
      <c r="E15" t="s">
        <v>211</v>
      </c>
      <c r="F15">
        <v>17</v>
      </c>
      <c r="G15" t="s">
        <v>412</v>
      </c>
      <c r="I15" t="s">
        <v>210</v>
      </c>
      <c r="J15" t="s">
        <v>213</v>
      </c>
      <c r="L15">
        <v>8</v>
      </c>
      <c r="M15" s="11" t="s">
        <v>597</v>
      </c>
      <c r="N15">
        <v>4275</v>
      </c>
      <c r="Q15" t="s">
        <v>239</v>
      </c>
    </row>
    <row r="16" spans="1:22" x14ac:dyDescent="0.2">
      <c r="A16" s="2">
        <v>45798</v>
      </c>
      <c r="B16" s="2">
        <f t="shared" si="0"/>
        <v>45778</v>
      </c>
      <c r="C16" s="10">
        <v>0.41666666666666669</v>
      </c>
      <c r="D16" t="s">
        <v>251</v>
      </c>
      <c r="E16" t="s">
        <v>211</v>
      </c>
      <c r="F16">
        <v>17</v>
      </c>
      <c r="Q16" t="s">
        <v>246</v>
      </c>
      <c r="R16" t="s">
        <v>265</v>
      </c>
    </row>
    <row r="17" spans="1:21" ht="409.6" x14ac:dyDescent="0.2">
      <c r="A17" s="2">
        <v>45798</v>
      </c>
      <c r="B17" s="2">
        <f t="shared" si="0"/>
        <v>45778</v>
      </c>
      <c r="C17" s="10">
        <v>0.625</v>
      </c>
      <c r="D17" t="s">
        <v>212</v>
      </c>
      <c r="E17" t="s">
        <v>211</v>
      </c>
      <c r="F17">
        <v>13</v>
      </c>
      <c r="G17" t="s">
        <v>394</v>
      </c>
      <c r="I17" t="s">
        <v>210</v>
      </c>
      <c r="J17" t="s">
        <v>295</v>
      </c>
      <c r="L17">
        <v>9</v>
      </c>
      <c r="M17" s="11" t="s">
        <v>596</v>
      </c>
      <c r="N17">
        <v>4315</v>
      </c>
      <c r="Q17" t="s">
        <v>239</v>
      </c>
    </row>
    <row r="18" spans="1:21" x14ac:dyDescent="0.2">
      <c r="A18" s="2">
        <v>45799</v>
      </c>
      <c r="B18" s="2">
        <f t="shared" si="0"/>
        <v>45778</v>
      </c>
      <c r="C18" s="10">
        <v>0.64583333333333337</v>
      </c>
      <c r="D18" t="s">
        <v>238</v>
      </c>
      <c r="E18" t="s">
        <v>211</v>
      </c>
      <c r="F18">
        <v>16</v>
      </c>
      <c r="G18" t="s">
        <v>277</v>
      </c>
      <c r="I18" t="s">
        <v>213</v>
      </c>
      <c r="J18" t="s">
        <v>270</v>
      </c>
      <c r="L18">
        <v>10</v>
      </c>
      <c r="M18" t="s">
        <v>595</v>
      </c>
      <c r="N18">
        <v>4332</v>
      </c>
      <c r="Q18" t="s">
        <v>239</v>
      </c>
    </row>
    <row r="19" spans="1:21" x14ac:dyDescent="0.2">
      <c r="A19" s="2">
        <v>45800</v>
      </c>
      <c r="B19" s="2">
        <f t="shared" si="0"/>
        <v>45778</v>
      </c>
      <c r="C19" s="10">
        <v>0.64583333333333337</v>
      </c>
      <c r="D19" t="s">
        <v>267</v>
      </c>
      <c r="E19" t="s">
        <v>211</v>
      </c>
      <c r="F19">
        <v>8</v>
      </c>
      <c r="Q19" t="s">
        <v>246</v>
      </c>
      <c r="R19" t="s">
        <v>265</v>
      </c>
    </row>
    <row r="20" spans="1:21" ht="272" x14ac:dyDescent="0.2">
      <c r="A20" s="2">
        <v>45805</v>
      </c>
      <c r="B20" s="2">
        <f t="shared" si="0"/>
        <v>45778</v>
      </c>
      <c r="C20" s="10">
        <v>0.41666666666666669</v>
      </c>
      <c r="D20" t="s">
        <v>251</v>
      </c>
      <c r="E20" t="s">
        <v>211</v>
      </c>
      <c r="F20">
        <v>17</v>
      </c>
      <c r="G20" t="s">
        <v>277</v>
      </c>
      <c r="I20" t="s">
        <v>210</v>
      </c>
      <c r="J20" t="s">
        <v>215</v>
      </c>
      <c r="L20">
        <v>9</v>
      </c>
      <c r="M20" s="11" t="s">
        <v>594</v>
      </c>
      <c r="N20">
        <v>4370</v>
      </c>
      <c r="Q20" t="s">
        <v>239</v>
      </c>
    </row>
    <row r="21" spans="1:21" x14ac:dyDescent="0.2">
      <c r="A21" s="2">
        <v>45805</v>
      </c>
      <c r="B21" s="2">
        <f t="shared" si="0"/>
        <v>45778</v>
      </c>
      <c r="C21" s="10">
        <v>0.625</v>
      </c>
      <c r="D21" t="s">
        <v>212</v>
      </c>
      <c r="E21" t="s">
        <v>211</v>
      </c>
      <c r="F21">
        <v>13</v>
      </c>
      <c r="I21" t="s">
        <v>213</v>
      </c>
      <c r="J21" t="s">
        <v>210</v>
      </c>
      <c r="Q21" t="s">
        <v>253</v>
      </c>
      <c r="R21" t="s">
        <v>593</v>
      </c>
    </row>
    <row r="22" spans="1:21" ht="306" x14ac:dyDescent="0.2">
      <c r="A22" s="2">
        <v>45806</v>
      </c>
      <c r="B22" s="2">
        <f t="shared" si="0"/>
        <v>45778</v>
      </c>
      <c r="C22" s="10">
        <v>0.64583333333333337</v>
      </c>
      <c r="D22" t="s">
        <v>238</v>
      </c>
      <c r="E22" t="s">
        <v>211</v>
      </c>
      <c r="F22">
        <v>16</v>
      </c>
      <c r="G22" t="s">
        <v>70</v>
      </c>
      <c r="I22" t="s">
        <v>213</v>
      </c>
      <c r="J22" t="s">
        <v>215</v>
      </c>
      <c r="L22">
        <v>8</v>
      </c>
      <c r="M22" s="11" t="s">
        <v>592</v>
      </c>
      <c r="N22">
        <v>4391</v>
      </c>
      <c r="Q22" t="s">
        <v>239</v>
      </c>
    </row>
    <row r="23" spans="1:21" x14ac:dyDescent="0.2">
      <c r="A23" s="2">
        <v>45807</v>
      </c>
      <c r="B23" s="2">
        <f t="shared" si="0"/>
        <v>45778</v>
      </c>
      <c r="C23" s="10">
        <v>0.64583333333333337</v>
      </c>
      <c r="D23" t="s">
        <v>267</v>
      </c>
      <c r="E23" t="s">
        <v>211</v>
      </c>
      <c r="F23">
        <v>8</v>
      </c>
      <c r="I23" t="s">
        <v>215</v>
      </c>
      <c r="J23" t="s">
        <v>213</v>
      </c>
      <c r="Q23" t="s">
        <v>253</v>
      </c>
      <c r="R23" t="s">
        <v>591</v>
      </c>
    </row>
    <row r="24" spans="1:21" x14ac:dyDescent="0.2">
      <c r="A24" s="2">
        <v>45810</v>
      </c>
      <c r="B24" s="2">
        <f t="shared" si="0"/>
        <v>45809</v>
      </c>
      <c r="C24" s="10">
        <v>0.54166666666666663</v>
      </c>
      <c r="D24" t="s">
        <v>262</v>
      </c>
      <c r="E24" t="s">
        <v>211</v>
      </c>
      <c r="F24">
        <v>17</v>
      </c>
      <c r="Q24" t="s">
        <v>590</v>
      </c>
      <c r="R24" t="s">
        <v>265</v>
      </c>
    </row>
    <row r="25" spans="1:21" x14ac:dyDescent="0.2">
      <c r="A25" s="2">
        <v>45812</v>
      </c>
      <c r="B25" s="2">
        <f t="shared" si="0"/>
        <v>45809</v>
      </c>
      <c r="C25" s="10">
        <v>0.41666666666666669</v>
      </c>
      <c r="D25" t="s">
        <v>251</v>
      </c>
      <c r="E25" t="s">
        <v>211</v>
      </c>
      <c r="F25">
        <v>17</v>
      </c>
      <c r="Q25" t="s">
        <v>246</v>
      </c>
      <c r="R25" t="s">
        <v>589</v>
      </c>
    </row>
    <row r="26" spans="1:21" ht="372" x14ac:dyDescent="0.2">
      <c r="A26" s="2">
        <v>45812</v>
      </c>
      <c r="B26" s="2">
        <f t="shared" si="0"/>
        <v>45809</v>
      </c>
      <c r="C26" s="10">
        <v>0.625</v>
      </c>
      <c r="D26" t="s">
        <v>212</v>
      </c>
      <c r="E26" t="s">
        <v>211</v>
      </c>
      <c r="F26">
        <v>13</v>
      </c>
      <c r="G26" t="s">
        <v>412</v>
      </c>
      <c r="I26" t="s">
        <v>210</v>
      </c>
      <c r="J26" t="s">
        <v>270</v>
      </c>
      <c r="L26">
        <v>9</v>
      </c>
      <c r="M26" s="11" t="s">
        <v>588</v>
      </c>
      <c r="N26">
        <v>4474</v>
      </c>
      <c r="Q26" t="s">
        <v>239</v>
      </c>
      <c r="S26" t="s">
        <v>587</v>
      </c>
      <c r="T26" t="s">
        <v>225</v>
      </c>
      <c r="U26" s="11" t="s">
        <v>586</v>
      </c>
    </row>
    <row r="27" spans="1:21" x14ac:dyDescent="0.2">
      <c r="A27" s="2">
        <v>45813</v>
      </c>
      <c r="B27" s="2">
        <f t="shared" si="0"/>
        <v>45809</v>
      </c>
      <c r="C27" s="10">
        <v>0.64583333333333337</v>
      </c>
      <c r="D27" t="s">
        <v>238</v>
      </c>
      <c r="E27" t="s">
        <v>211</v>
      </c>
      <c r="F27">
        <v>16</v>
      </c>
      <c r="Q27" t="s">
        <v>274</v>
      </c>
      <c r="R27" t="s">
        <v>585</v>
      </c>
    </row>
    <row r="28" spans="1:21" x14ac:dyDescent="0.2">
      <c r="A28" s="2">
        <v>45814</v>
      </c>
      <c r="B28" s="2">
        <f t="shared" si="0"/>
        <v>45809</v>
      </c>
      <c r="C28" s="10">
        <v>0.5</v>
      </c>
      <c r="D28" t="s">
        <v>238</v>
      </c>
      <c r="E28" t="s">
        <v>211</v>
      </c>
      <c r="F28">
        <v>16</v>
      </c>
      <c r="G28" t="s">
        <v>73</v>
      </c>
      <c r="I28" t="s">
        <v>213</v>
      </c>
      <c r="J28" t="s">
        <v>445</v>
      </c>
      <c r="L28">
        <v>10</v>
      </c>
      <c r="M28" t="s">
        <v>584</v>
      </c>
      <c r="N28">
        <v>4500</v>
      </c>
      <c r="Q28" t="s">
        <v>239</v>
      </c>
    </row>
    <row r="29" spans="1:21" x14ac:dyDescent="0.2">
      <c r="A29" s="2">
        <v>45814</v>
      </c>
      <c r="B29" s="2">
        <f t="shared" si="0"/>
        <v>45809</v>
      </c>
      <c r="C29" s="10">
        <v>0.64583333333333337</v>
      </c>
      <c r="D29" t="s">
        <v>267</v>
      </c>
      <c r="E29" t="s">
        <v>211</v>
      </c>
      <c r="F29">
        <v>8</v>
      </c>
      <c r="G29" t="s">
        <v>412</v>
      </c>
      <c r="I29" t="s">
        <v>215</v>
      </c>
      <c r="J29" t="s">
        <v>210</v>
      </c>
      <c r="L29">
        <v>10</v>
      </c>
      <c r="M29" t="s">
        <v>583</v>
      </c>
      <c r="N29">
        <v>4504</v>
      </c>
      <c r="Q29" t="s">
        <v>239</v>
      </c>
    </row>
    <row r="30" spans="1:21" x14ac:dyDescent="0.2">
      <c r="A30" s="2">
        <v>45817</v>
      </c>
      <c r="B30" s="2">
        <f t="shared" si="0"/>
        <v>45809</v>
      </c>
      <c r="C30" s="10">
        <v>0.54166666666666663</v>
      </c>
      <c r="D30" t="s">
        <v>262</v>
      </c>
      <c r="E30" t="s">
        <v>211</v>
      </c>
      <c r="F30">
        <v>17</v>
      </c>
      <c r="G30" t="s">
        <v>277</v>
      </c>
      <c r="I30" t="s">
        <v>213</v>
      </c>
      <c r="J30" t="s">
        <v>522</v>
      </c>
      <c r="L30">
        <v>10</v>
      </c>
      <c r="M30" t="s">
        <v>582</v>
      </c>
      <c r="N30">
        <v>4514</v>
      </c>
      <c r="Q30" t="s">
        <v>239</v>
      </c>
    </row>
    <row r="31" spans="1:21" ht="409.6" x14ac:dyDescent="0.2">
      <c r="A31" s="2">
        <v>45819</v>
      </c>
      <c r="B31" s="2">
        <f t="shared" si="0"/>
        <v>45809</v>
      </c>
      <c r="C31" s="10">
        <v>0.41666666666666669</v>
      </c>
      <c r="D31" t="s">
        <v>251</v>
      </c>
      <c r="E31" t="s">
        <v>211</v>
      </c>
      <c r="F31">
        <v>17</v>
      </c>
      <c r="G31" t="s">
        <v>70</v>
      </c>
      <c r="I31" t="s">
        <v>215</v>
      </c>
      <c r="J31" t="s">
        <v>436</v>
      </c>
      <c r="L31">
        <v>10</v>
      </c>
      <c r="M31" s="11" t="s">
        <v>581</v>
      </c>
      <c r="N31">
        <v>4540</v>
      </c>
      <c r="Q31" t="s">
        <v>239</v>
      </c>
    </row>
    <row r="32" spans="1:21" ht="340" x14ac:dyDescent="0.2">
      <c r="A32" s="2">
        <v>45819</v>
      </c>
      <c r="B32" s="2">
        <f t="shared" si="0"/>
        <v>45809</v>
      </c>
      <c r="C32" s="10">
        <v>0.625</v>
      </c>
      <c r="D32" t="s">
        <v>212</v>
      </c>
      <c r="E32" t="s">
        <v>211</v>
      </c>
      <c r="F32">
        <v>13</v>
      </c>
      <c r="G32" t="s">
        <v>277</v>
      </c>
      <c r="I32" t="s">
        <v>213</v>
      </c>
      <c r="J32" t="s">
        <v>445</v>
      </c>
      <c r="L32">
        <v>8</v>
      </c>
      <c r="M32" s="11" t="s">
        <v>580</v>
      </c>
      <c r="N32">
        <v>4548</v>
      </c>
      <c r="Q32" t="s">
        <v>239</v>
      </c>
      <c r="T32" t="s">
        <v>225</v>
      </c>
      <c r="U32" t="s">
        <v>579</v>
      </c>
    </row>
    <row r="33" spans="1:21" x14ac:dyDescent="0.2">
      <c r="A33" s="2">
        <v>45820</v>
      </c>
      <c r="B33" s="2">
        <f t="shared" si="0"/>
        <v>45809</v>
      </c>
      <c r="C33" s="10">
        <v>0.64583333333333337</v>
      </c>
      <c r="D33" t="s">
        <v>238</v>
      </c>
      <c r="E33" t="s">
        <v>211</v>
      </c>
      <c r="F33">
        <v>16</v>
      </c>
      <c r="K33" t="s">
        <v>578</v>
      </c>
      <c r="Q33" t="s">
        <v>274</v>
      </c>
      <c r="R33" t="s">
        <v>283</v>
      </c>
    </row>
    <row r="34" spans="1:21" x14ac:dyDescent="0.2">
      <c r="A34" s="2">
        <v>45821</v>
      </c>
      <c r="B34" s="2">
        <f t="shared" si="0"/>
        <v>45809</v>
      </c>
      <c r="C34" s="10">
        <v>0.5</v>
      </c>
      <c r="D34" t="s">
        <v>238</v>
      </c>
      <c r="E34" t="s">
        <v>211</v>
      </c>
      <c r="F34">
        <v>16</v>
      </c>
      <c r="G34" t="s">
        <v>77</v>
      </c>
      <c r="I34" t="s">
        <v>270</v>
      </c>
      <c r="J34" t="s">
        <v>532</v>
      </c>
      <c r="L34">
        <v>10</v>
      </c>
      <c r="M34" t="s">
        <v>577</v>
      </c>
      <c r="N34">
        <v>4586</v>
      </c>
      <c r="Q34" t="s">
        <v>239</v>
      </c>
    </row>
    <row r="35" spans="1:21" x14ac:dyDescent="0.2">
      <c r="A35" s="2">
        <v>45821</v>
      </c>
      <c r="B35" s="2">
        <f t="shared" si="0"/>
        <v>45809</v>
      </c>
      <c r="C35" s="10">
        <v>0.64583333333333337</v>
      </c>
      <c r="D35" t="s">
        <v>267</v>
      </c>
      <c r="E35" t="s">
        <v>211</v>
      </c>
      <c r="F35">
        <v>8</v>
      </c>
      <c r="Q35" t="s">
        <v>246</v>
      </c>
    </row>
    <row r="36" spans="1:21" x14ac:dyDescent="0.2">
      <c r="A36" s="2">
        <v>45824</v>
      </c>
      <c r="B36" s="2">
        <f t="shared" si="0"/>
        <v>45809</v>
      </c>
      <c r="C36" s="10">
        <v>0.54166666666666663</v>
      </c>
      <c r="D36" t="s">
        <v>262</v>
      </c>
      <c r="E36" t="s">
        <v>211</v>
      </c>
      <c r="F36">
        <v>17</v>
      </c>
      <c r="Q36" t="s">
        <v>246</v>
      </c>
      <c r="R36" t="s">
        <v>576</v>
      </c>
    </row>
    <row r="37" spans="1:21" ht="409.6" x14ac:dyDescent="0.2">
      <c r="A37" s="2">
        <v>45826</v>
      </c>
      <c r="B37" s="2">
        <f t="shared" si="0"/>
        <v>45809</v>
      </c>
      <c r="C37" s="10">
        <v>0.41666666666666669</v>
      </c>
      <c r="D37" t="s">
        <v>251</v>
      </c>
      <c r="E37" t="s">
        <v>211</v>
      </c>
      <c r="F37">
        <v>17</v>
      </c>
      <c r="G37" t="s">
        <v>77</v>
      </c>
      <c r="I37" t="s">
        <v>215</v>
      </c>
      <c r="J37" t="s">
        <v>210</v>
      </c>
      <c r="K37" t="s">
        <v>575</v>
      </c>
      <c r="L37">
        <v>10</v>
      </c>
      <c r="M37" s="11" t="s">
        <v>574</v>
      </c>
      <c r="N37">
        <v>4624</v>
      </c>
      <c r="Q37" t="s">
        <v>239</v>
      </c>
    </row>
    <row r="38" spans="1:21" x14ac:dyDescent="0.2">
      <c r="A38" s="2">
        <v>45826</v>
      </c>
      <c r="B38" s="2">
        <f t="shared" si="0"/>
        <v>45809</v>
      </c>
      <c r="C38" s="10">
        <v>0.625</v>
      </c>
      <c r="D38" t="s">
        <v>212</v>
      </c>
      <c r="E38" t="s">
        <v>211</v>
      </c>
      <c r="F38">
        <v>13</v>
      </c>
      <c r="Q38" t="s">
        <v>246</v>
      </c>
      <c r="R38" t="s">
        <v>283</v>
      </c>
    </row>
    <row r="39" spans="1:21" x14ac:dyDescent="0.2">
      <c r="A39" s="2">
        <v>45826</v>
      </c>
      <c r="B39" s="2">
        <f t="shared" si="0"/>
        <v>45809</v>
      </c>
      <c r="C39" s="10">
        <v>0.66666666666666663</v>
      </c>
      <c r="D39" t="s">
        <v>231</v>
      </c>
      <c r="E39" t="s">
        <v>211</v>
      </c>
      <c r="G39" t="s">
        <v>231</v>
      </c>
    </row>
    <row r="40" spans="1:21" x14ac:dyDescent="0.2">
      <c r="A40" s="2">
        <v>45827</v>
      </c>
      <c r="B40" s="2">
        <f t="shared" si="0"/>
        <v>45809</v>
      </c>
      <c r="C40" s="10">
        <v>0.64583333333333337</v>
      </c>
      <c r="D40" t="s">
        <v>238</v>
      </c>
      <c r="E40" t="s">
        <v>211</v>
      </c>
      <c r="F40">
        <v>16</v>
      </c>
      <c r="Q40" t="s">
        <v>246</v>
      </c>
    </row>
    <row r="41" spans="1:21" x14ac:dyDescent="0.2">
      <c r="A41" s="2">
        <v>45828</v>
      </c>
      <c r="B41" s="2">
        <f t="shared" si="0"/>
        <v>45809</v>
      </c>
      <c r="C41" s="10">
        <v>0.64583333333333337</v>
      </c>
      <c r="D41" t="s">
        <v>267</v>
      </c>
      <c r="E41" t="s">
        <v>211</v>
      </c>
      <c r="F41">
        <v>8</v>
      </c>
      <c r="Q41" t="s">
        <v>246</v>
      </c>
      <c r="R41" t="s">
        <v>543</v>
      </c>
    </row>
    <row r="42" spans="1:21" x14ac:dyDescent="0.2">
      <c r="A42" s="2">
        <v>45831</v>
      </c>
      <c r="B42" s="2">
        <f t="shared" si="0"/>
        <v>45809</v>
      </c>
      <c r="C42" s="10">
        <v>0.54166666666666663</v>
      </c>
      <c r="D42" t="s">
        <v>262</v>
      </c>
      <c r="E42" t="s">
        <v>211</v>
      </c>
      <c r="F42">
        <v>17</v>
      </c>
      <c r="G42" t="s">
        <v>70</v>
      </c>
      <c r="I42" t="s">
        <v>215</v>
      </c>
      <c r="J42" t="s">
        <v>210</v>
      </c>
      <c r="L42">
        <v>10</v>
      </c>
      <c r="M42" t="s">
        <v>573</v>
      </c>
      <c r="N42">
        <v>4666</v>
      </c>
      <c r="Q42" t="s">
        <v>239</v>
      </c>
    </row>
    <row r="43" spans="1:21" x14ac:dyDescent="0.2">
      <c r="A43" s="2">
        <v>45831</v>
      </c>
      <c r="B43" s="2">
        <f t="shared" si="0"/>
        <v>45809</v>
      </c>
      <c r="C43" s="10">
        <v>0.67708333333333337</v>
      </c>
      <c r="D43" t="s">
        <v>238</v>
      </c>
      <c r="E43" t="s">
        <v>211</v>
      </c>
      <c r="F43">
        <v>16</v>
      </c>
      <c r="I43" t="s">
        <v>213</v>
      </c>
      <c r="J43" t="s">
        <v>534</v>
      </c>
      <c r="K43" t="s">
        <v>232</v>
      </c>
      <c r="Q43" t="s">
        <v>253</v>
      </c>
      <c r="R43" t="s">
        <v>572</v>
      </c>
    </row>
    <row r="44" spans="1:21" ht="187" x14ac:dyDescent="0.2">
      <c r="A44" s="2">
        <v>45833</v>
      </c>
      <c r="B44" s="2">
        <f t="shared" si="0"/>
        <v>45809</v>
      </c>
      <c r="C44" s="10">
        <v>0.41666666666666669</v>
      </c>
      <c r="D44" t="s">
        <v>251</v>
      </c>
      <c r="E44" t="s">
        <v>211</v>
      </c>
      <c r="F44">
        <v>17</v>
      </c>
      <c r="G44" t="s">
        <v>73</v>
      </c>
      <c r="I44" t="s">
        <v>215</v>
      </c>
      <c r="J44" t="s">
        <v>210</v>
      </c>
      <c r="L44">
        <v>10</v>
      </c>
      <c r="M44" t="s">
        <v>571</v>
      </c>
      <c r="N44">
        <v>4707</v>
      </c>
      <c r="Q44" t="s">
        <v>239</v>
      </c>
      <c r="S44" t="s">
        <v>570</v>
      </c>
      <c r="T44" t="s">
        <v>225</v>
      </c>
      <c r="U44" s="11" t="s">
        <v>569</v>
      </c>
    </row>
    <row r="45" spans="1:21" x14ac:dyDescent="0.2">
      <c r="A45" s="2">
        <v>45833</v>
      </c>
      <c r="B45" s="2">
        <f t="shared" si="0"/>
        <v>45809</v>
      </c>
      <c r="C45" s="10">
        <v>0.625</v>
      </c>
      <c r="D45" t="s">
        <v>212</v>
      </c>
      <c r="E45" t="s">
        <v>211</v>
      </c>
      <c r="F45">
        <v>13</v>
      </c>
      <c r="G45" t="s">
        <v>70</v>
      </c>
      <c r="I45" t="s">
        <v>215</v>
      </c>
      <c r="J45" t="s">
        <v>229</v>
      </c>
      <c r="K45" t="s">
        <v>568</v>
      </c>
      <c r="L45">
        <v>10</v>
      </c>
      <c r="M45" t="s">
        <v>567</v>
      </c>
      <c r="N45">
        <v>4714</v>
      </c>
      <c r="Q45" t="s">
        <v>239</v>
      </c>
    </row>
    <row r="46" spans="1:21" x14ac:dyDescent="0.2">
      <c r="A46" s="2">
        <v>45835</v>
      </c>
      <c r="B46" s="2">
        <f t="shared" si="0"/>
        <v>45809</v>
      </c>
      <c r="C46" s="10">
        <v>0.4375</v>
      </c>
      <c r="D46" t="s">
        <v>385</v>
      </c>
      <c r="E46" t="s">
        <v>211</v>
      </c>
      <c r="G46" t="s">
        <v>566</v>
      </c>
      <c r="I46" t="s">
        <v>436</v>
      </c>
      <c r="J46" t="s">
        <v>522</v>
      </c>
      <c r="N46">
        <v>4739</v>
      </c>
      <c r="Q46" t="s">
        <v>239</v>
      </c>
    </row>
    <row r="47" spans="1:21" x14ac:dyDescent="0.2">
      <c r="A47" s="2">
        <v>45835</v>
      </c>
      <c r="B47" s="2">
        <f t="shared" si="0"/>
        <v>45809</v>
      </c>
      <c r="C47" s="10">
        <v>0.64583333333333337</v>
      </c>
      <c r="D47" t="s">
        <v>267</v>
      </c>
      <c r="E47" t="s">
        <v>211</v>
      </c>
      <c r="F47">
        <v>8</v>
      </c>
      <c r="Q47" t="s">
        <v>253</v>
      </c>
      <c r="R47" t="s">
        <v>565</v>
      </c>
    </row>
    <row r="48" spans="1:21" x14ac:dyDescent="0.2">
      <c r="A48" s="2">
        <v>45838</v>
      </c>
      <c r="B48" s="2">
        <f t="shared" si="0"/>
        <v>45809</v>
      </c>
      <c r="C48" s="10">
        <v>0.54166666666666663</v>
      </c>
      <c r="D48" t="s">
        <v>262</v>
      </c>
      <c r="E48" t="s">
        <v>211</v>
      </c>
      <c r="F48">
        <v>17</v>
      </c>
      <c r="Q48" t="s">
        <v>246</v>
      </c>
      <c r="R48" t="s">
        <v>265</v>
      </c>
    </row>
    <row r="49" spans="1:18" x14ac:dyDescent="0.2">
      <c r="A49" s="2">
        <v>45840</v>
      </c>
      <c r="B49" s="2">
        <f t="shared" si="0"/>
        <v>45839</v>
      </c>
      <c r="C49" s="10">
        <v>0.41666666666666669</v>
      </c>
      <c r="D49" t="s">
        <v>251</v>
      </c>
      <c r="E49" t="s">
        <v>211</v>
      </c>
      <c r="F49">
        <v>17</v>
      </c>
      <c r="K49" t="s">
        <v>232</v>
      </c>
      <c r="Q49" t="s">
        <v>246</v>
      </c>
      <c r="R49" t="s">
        <v>564</v>
      </c>
    </row>
    <row r="50" spans="1:18" ht="404" x14ac:dyDescent="0.2">
      <c r="A50" s="2">
        <v>45840</v>
      </c>
      <c r="B50" s="2">
        <f t="shared" si="0"/>
        <v>45839</v>
      </c>
      <c r="C50" s="10">
        <v>0.625</v>
      </c>
      <c r="D50" t="s">
        <v>212</v>
      </c>
      <c r="E50" t="s">
        <v>211</v>
      </c>
      <c r="F50">
        <v>13</v>
      </c>
      <c r="G50" t="s">
        <v>243</v>
      </c>
      <c r="I50" t="s">
        <v>215</v>
      </c>
      <c r="K50" t="s">
        <v>563</v>
      </c>
      <c r="L50">
        <v>4</v>
      </c>
      <c r="M50" s="11" t="s">
        <v>562</v>
      </c>
      <c r="Q50" t="s">
        <v>239</v>
      </c>
    </row>
    <row r="51" spans="1:18" ht="409.6" x14ac:dyDescent="0.2">
      <c r="A51" s="2">
        <v>45841</v>
      </c>
      <c r="B51" s="2">
        <f t="shared" si="0"/>
        <v>45839</v>
      </c>
      <c r="C51" s="10">
        <v>0.41666666666666669</v>
      </c>
      <c r="D51" t="s">
        <v>385</v>
      </c>
      <c r="E51" t="s">
        <v>211</v>
      </c>
      <c r="G51" t="s">
        <v>561</v>
      </c>
      <c r="I51" t="s">
        <v>436</v>
      </c>
      <c r="J51" t="s">
        <v>522</v>
      </c>
      <c r="L51">
        <v>10</v>
      </c>
      <c r="M51" s="11" t="s">
        <v>560</v>
      </c>
      <c r="N51">
        <v>4819</v>
      </c>
      <c r="Q51" t="s">
        <v>239</v>
      </c>
    </row>
    <row r="52" spans="1:18" x14ac:dyDescent="0.2">
      <c r="A52" s="2">
        <v>45841</v>
      </c>
      <c r="B52" s="2">
        <f t="shared" si="0"/>
        <v>45839</v>
      </c>
      <c r="C52" s="10">
        <v>0.64583333333333337</v>
      </c>
      <c r="D52" t="s">
        <v>238</v>
      </c>
      <c r="E52" t="s">
        <v>211</v>
      </c>
      <c r="F52">
        <v>16</v>
      </c>
      <c r="I52" t="s">
        <v>213</v>
      </c>
      <c r="J52" t="s">
        <v>215</v>
      </c>
      <c r="Q52" t="s">
        <v>237</v>
      </c>
    </row>
    <row r="53" spans="1:18" x14ac:dyDescent="0.2">
      <c r="A53" s="2">
        <v>45842</v>
      </c>
      <c r="B53" s="2">
        <f t="shared" si="0"/>
        <v>45839</v>
      </c>
      <c r="C53" s="10">
        <v>0.64583333333333337</v>
      </c>
      <c r="D53" t="s">
        <v>267</v>
      </c>
      <c r="E53" t="s">
        <v>211</v>
      </c>
      <c r="F53">
        <v>8</v>
      </c>
      <c r="I53" t="s">
        <v>445</v>
      </c>
      <c r="J53" t="s">
        <v>215</v>
      </c>
      <c r="Q53" t="s">
        <v>253</v>
      </c>
    </row>
    <row r="54" spans="1:18" ht="289" x14ac:dyDescent="0.2">
      <c r="A54" s="2">
        <v>45845</v>
      </c>
      <c r="B54" s="2">
        <f t="shared" si="0"/>
        <v>45839</v>
      </c>
      <c r="C54" s="10">
        <v>0.54166666666666663</v>
      </c>
      <c r="D54" t="s">
        <v>262</v>
      </c>
      <c r="E54" t="s">
        <v>211</v>
      </c>
      <c r="F54">
        <v>17</v>
      </c>
      <c r="G54" t="s">
        <v>77</v>
      </c>
      <c r="I54" t="s">
        <v>210</v>
      </c>
      <c r="J54" t="s">
        <v>534</v>
      </c>
      <c r="L54">
        <v>10</v>
      </c>
      <c r="M54" s="11" t="s">
        <v>559</v>
      </c>
      <c r="N54">
        <v>4853</v>
      </c>
      <c r="Q54" t="s">
        <v>239</v>
      </c>
    </row>
    <row r="55" spans="1:18" x14ac:dyDescent="0.2">
      <c r="A55" s="2">
        <v>45847</v>
      </c>
      <c r="B55" s="2">
        <f t="shared" si="0"/>
        <v>45839</v>
      </c>
      <c r="C55" s="10">
        <v>0.41666666666666669</v>
      </c>
      <c r="D55" t="s">
        <v>251</v>
      </c>
      <c r="E55" t="s">
        <v>211</v>
      </c>
      <c r="F55">
        <v>17</v>
      </c>
      <c r="G55" t="s">
        <v>87</v>
      </c>
      <c r="I55" t="s">
        <v>229</v>
      </c>
      <c r="J55" t="s">
        <v>270</v>
      </c>
      <c r="L55">
        <v>7</v>
      </c>
      <c r="M55" t="s">
        <v>558</v>
      </c>
      <c r="N55">
        <v>4896</v>
      </c>
      <c r="Q55" t="s">
        <v>239</v>
      </c>
    </row>
    <row r="56" spans="1:18" x14ac:dyDescent="0.2">
      <c r="A56" s="2">
        <v>45847</v>
      </c>
      <c r="B56" s="2">
        <f t="shared" si="0"/>
        <v>45839</v>
      </c>
      <c r="C56" s="10">
        <v>0.625</v>
      </c>
      <c r="D56" t="s">
        <v>212</v>
      </c>
      <c r="E56" t="s">
        <v>211</v>
      </c>
      <c r="F56">
        <v>13</v>
      </c>
      <c r="K56" t="s">
        <v>232</v>
      </c>
      <c r="Q56" t="s">
        <v>246</v>
      </c>
      <c r="R56" t="s">
        <v>557</v>
      </c>
    </row>
    <row r="57" spans="1:18" x14ac:dyDescent="0.2">
      <c r="A57" s="2">
        <v>45848</v>
      </c>
      <c r="B57" s="2">
        <f t="shared" si="0"/>
        <v>45839</v>
      </c>
      <c r="C57" s="10">
        <v>0.64583333333333337</v>
      </c>
      <c r="D57" t="s">
        <v>238</v>
      </c>
      <c r="E57" t="s">
        <v>211</v>
      </c>
      <c r="F57">
        <v>16</v>
      </c>
      <c r="K57" t="s">
        <v>232</v>
      </c>
      <c r="Q57" t="s">
        <v>274</v>
      </c>
    </row>
    <row r="58" spans="1:18" x14ac:dyDescent="0.2">
      <c r="A58" s="2">
        <v>45849</v>
      </c>
      <c r="B58" s="2">
        <f t="shared" si="0"/>
        <v>45839</v>
      </c>
      <c r="C58" s="10">
        <v>0.45833333333333331</v>
      </c>
      <c r="D58" t="s">
        <v>238</v>
      </c>
      <c r="E58" t="s">
        <v>211</v>
      </c>
      <c r="F58">
        <v>16</v>
      </c>
      <c r="G58" t="s">
        <v>87</v>
      </c>
      <c r="I58" t="s">
        <v>270</v>
      </c>
      <c r="J58" t="s">
        <v>522</v>
      </c>
      <c r="L58">
        <v>10</v>
      </c>
      <c r="M58" t="s">
        <v>556</v>
      </c>
      <c r="N58">
        <v>4951</v>
      </c>
      <c r="Q58" t="s">
        <v>239</v>
      </c>
    </row>
    <row r="59" spans="1:18" x14ac:dyDescent="0.2">
      <c r="A59" s="2">
        <v>45849</v>
      </c>
      <c r="B59" s="2">
        <f t="shared" si="0"/>
        <v>45839</v>
      </c>
      <c r="C59" s="10">
        <v>0.64583333333333337</v>
      </c>
      <c r="D59" t="s">
        <v>267</v>
      </c>
      <c r="E59" t="s">
        <v>211</v>
      </c>
      <c r="F59">
        <v>8</v>
      </c>
      <c r="Q59" t="s">
        <v>246</v>
      </c>
      <c r="R59" t="s">
        <v>555</v>
      </c>
    </row>
    <row r="60" spans="1:18" x14ac:dyDescent="0.2">
      <c r="A60" s="2">
        <v>45852</v>
      </c>
      <c r="B60" s="2">
        <f t="shared" si="0"/>
        <v>45839</v>
      </c>
      <c r="C60" s="10">
        <v>0.54166666666666663</v>
      </c>
      <c r="D60" t="s">
        <v>262</v>
      </c>
      <c r="E60" t="s">
        <v>211</v>
      </c>
      <c r="F60">
        <v>17</v>
      </c>
      <c r="K60" t="s">
        <v>232</v>
      </c>
      <c r="Q60" t="s">
        <v>274</v>
      </c>
      <c r="R60" t="s">
        <v>554</v>
      </c>
    </row>
    <row r="61" spans="1:18" x14ac:dyDescent="0.2">
      <c r="A61" s="2">
        <v>45854</v>
      </c>
      <c r="B61" s="2">
        <f t="shared" si="0"/>
        <v>45839</v>
      </c>
      <c r="C61" s="10">
        <v>0.41666666666666669</v>
      </c>
      <c r="D61" t="s">
        <v>251</v>
      </c>
      <c r="E61" t="s">
        <v>211</v>
      </c>
      <c r="F61">
        <v>17</v>
      </c>
      <c r="Q61" t="s">
        <v>246</v>
      </c>
      <c r="R61" t="s">
        <v>553</v>
      </c>
    </row>
    <row r="62" spans="1:18" x14ac:dyDescent="0.2">
      <c r="A62" s="2">
        <v>45854</v>
      </c>
      <c r="B62" s="2">
        <f t="shared" si="0"/>
        <v>45839</v>
      </c>
      <c r="C62" s="10">
        <v>0.625</v>
      </c>
      <c r="D62" t="s">
        <v>212</v>
      </c>
      <c r="E62" t="s">
        <v>211</v>
      </c>
      <c r="F62">
        <v>13</v>
      </c>
      <c r="G62" t="s">
        <v>77</v>
      </c>
      <c r="I62" t="s">
        <v>215</v>
      </c>
      <c r="J62" t="s">
        <v>270</v>
      </c>
      <c r="K62" t="s">
        <v>232</v>
      </c>
      <c r="L62">
        <v>10</v>
      </c>
      <c r="M62" t="s">
        <v>552</v>
      </c>
      <c r="N62">
        <v>5022</v>
      </c>
      <c r="Q62" t="s">
        <v>239</v>
      </c>
    </row>
    <row r="63" spans="1:18" ht="272" x14ac:dyDescent="0.2">
      <c r="A63" s="2">
        <v>45855</v>
      </c>
      <c r="B63" s="2">
        <f t="shared" si="0"/>
        <v>45839</v>
      </c>
      <c r="C63" s="10">
        <v>0.41666666666666669</v>
      </c>
      <c r="D63" t="s">
        <v>262</v>
      </c>
      <c r="E63" t="s">
        <v>211</v>
      </c>
      <c r="F63">
        <v>17</v>
      </c>
      <c r="G63" t="s">
        <v>73</v>
      </c>
      <c r="I63" t="s">
        <v>210</v>
      </c>
      <c r="J63" t="s">
        <v>295</v>
      </c>
      <c r="K63" t="s">
        <v>232</v>
      </c>
      <c r="L63">
        <v>10</v>
      </c>
      <c r="M63" s="11" t="s">
        <v>551</v>
      </c>
      <c r="N63">
        <v>5040</v>
      </c>
      <c r="Q63" t="s">
        <v>239</v>
      </c>
    </row>
    <row r="64" spans="1:18" x14ac:dyDescent="0.2">
      <c r="A64" s="2">
        <v>45856</v>
      </c>
      <c r="B64" s="2">
        <f t="shared" si="0"/>
        <v>45839</v>
      </c>
      <c r="C64" s="10">
        <v>0.64583333333333337</v>
      </c>
      <c r="D64" t="s">
        <v>267</v>
      </c>
      <c r="E64" t="s">
        <v>211</v>
      </c>
      <c r="F64">
        <v>8</v>
      </c>
      <c r="I64" t="s">
        <v>213</v>
      </c>
      <c r="Q64" t="s">
        <v>237</v>
      </c>
      <c r="R64" t="s">
        <v>550</v>
      </c>
    </row>
    <row r="65" spans="1:18" x14ac:dyDescent="0.2">
      <c r="A65" s="2">
        <v>45859</v>
      </c>
      <c r="B65" s="2">
        <f t="shared" si="0"/>
        <v>45839</v>
      </c>
      <c r="C65" s="10">
        <v>0.54166666666666663</v>
      </c>
      <c r="D65" t="s">
        <v>262</v>
      </c>
      <c r="E65" t="s">
        <v>211</v>
      </c>
      <c r="F65">
        <v>17</v>
      </c>
      <c r="K65" t="s">
        <v>232</v>
      </c>
      <c r="Q65" t="s">
        <v>274</v>
      </c>
      <c r="R65" t="s">
        <v>549</v>
      </c>
    </row>
    <row r="66" spans="1:18" x14ac:dyDescent="0.2">
      <c r="A66" s="2">
        <v>45860</v>
      </c>
      <c r="B66" s="2">
        <f t="shared" si="0"/>
        <v>45839</v>
      </c>
      <c r="C66" s="10">
        <v>0.41666666666666669</v>
      </c>
      <c r="D66" t="s">
        <v>262</v>
      </c>
      <c r="E66" t="s">
        <v>211</v>
      </c>
      <c r="F66">
        <v>17</v>
      </c>
      <c r="G66" t="s">
        <v>87</v>
      </c>
      <c r="I66" t="s">
        <v>213</v>
      </c>
      <c r="J66" t="s">
        <v>210</v>
      </c>
      <c r="K66" t="s">
        <v>232</v>
      </c>
      <c r="L66">
        <v>10</v>
      </c>
      <c r="M66" t="s">
        <v>548</v>
      </c>
      <c r="N66">
        <v>5096</v>
      </c>
      <c r="Q66" t="s">
        <v>239</v>
      </c>
    </row>
    <row r="67" spans="1:18" ht="409.6" x14ac:dyDescent="0.2">
      <c r="A67" s="2">
        <v>45861</v>
      </c>
      <c r="B67" s="2">
        <f t="shared" ref="B67:B130" si="1">DATE(YEAR(A67), MONTH(A67), 1)</f>
        <v>45839</v>
      </c>
      <c r="C67" s="10">
        <v>0.41666666666666669</v>
      </c>
      <c r="D67" t="s">
        <v>251</v>
      </c>
      <c r="E67" t="s">
        <v>211</v>
      </c>
      <c r="F67">
        <v>17</v>
      </c>
      <c r="G67" t="s">
        <v>547</v>
      </c>
      <c r="I67" t="s">
        <v>436</v>
      </c>
      <c r="K67" t="s">
        <v>546</v>
      </c>
      <c r="L67">
        <v>10</v>
      </c>
      <c r="M67" s="11" t="s">
        <v>545</v>
      </c>
      <c r="N67">
        <v>5115</v>
      </c>
      <c r="Q67" t="s">
        <v>239</v>
      </c>
    </row>
    <row r="68" spans="1:18" x14ac:dyDescent="0.2">
      <c r="A68" s="2">
        <v>45861</v>
      </c>
      <c r="B68" s="2">
        <f t="shared" si="1"/>
        <v>45839</v>
      </c>
      <c r="C68" s="10">
        <v>0.625</v>
      </c>
      <c r="D68" t="s">
        <v>212</v>
      </c>
      <c r="E68" t="s">
        <v>211</v>
      </c>
      <c r="F68">
        <v>13</v>
      </c>
      <c r="Q68" t="s">
        <v>274</v>
      </c>
    </row>
    <row r="69" spans="1:18" x14ac:dyDescent="0.2">
      <c r="A69" s="2">
        <v>45863</v>
      </c>
      <c r="B69" s="2">
        <f t="shared" si="1"/>
        <v>45839</v>
      </c>
      <c r="C69" s="10">
        <v>0.45833333333333331</v>
      </c>
      <c r="D69" t="s">
        <v>238</v>
      </c>
      <c r="E69" t="s">
        <v>211</v>
      </c>
      <c r="F69">
        <v>16</v>
      </c>
      <c r="Q69" t="s">
        <v>246</v>
      </c>
      <c r="R69" t="s">
        <v>544</v>
      </c>
    </row>
    <row r="70" spans="1:18" x14ac:dyDescent="0.2">
      <c r="A70" s="2">
        <v>45863</v>
      </c>
      <c r="B70" s="2">
        <f t="shared" si="1"/>
        <v>45839</v>
      </c>
      <c r="C70" s="10">
        <v>0.64583333333333337</v>
      </c>
      <c r="D70" t="s">
        <v>267</v>
      </c>
      <c r="E70" t="s">
        <v>211</v>
      </c>
      <c r="F70">
        <v>8</v>
      </c>
      <c r="Q70" t="s">
        <v>246</v>
      </c>
      <c r="R70" t="s">
        <v>543</v>
      </c>
    </row>
    <row r="71" spans="1:18" ht="187" x14ac:dyDescent="0.2">
      <c r="A71" s="2">
        <v>45863</v>
      </c>
      <c r="B71" s="2">
        <f t="shared" si="1"/>
        <v>45839</v>
      </c>
      <c r="C71" s="10">
        <v>0.66666666666666663</v>
      </c>
      <c r="D71" t="s">
        <v>212</v>
      </c>
      <c r="E71" t="s">
        <v>211</v>
      </c>
      <c r="F71">
        <v>13</v>
      </c>
      <c r="G71" t="s">
        <v>73</v>
      </c>
      <c r="I71" t="s">
        <v>229</v>
      </c>
      <c r="J71" t="s">
        <v>215</v>
      </c>
      <c r="L71">
        <v>9</v>
      </c>
      <c r="M71" s="11" t="s">
        <v>542</v>
      </c>
      <c r="N71">
        <v>5167</v>
      </c>
      <c r="Q71" t="s">
        <v>239</v>
      </c>
    </row>
    <row r="72" spans="1:18" x14ac:dyDescent="0.2">
      <c r="A72" s="2">
        <v>45867</v>
      </c>
      <c r="B72" s="2">
        <f t="shared" si="1"/>
        <v>45839</v>
      </c>
      <c r="C72" s="10">
        <v>0.625</v>
      </c>
      <c r="D72" t="s">
        <v>231</v>
      </c>
      <c r="E72" t="s">
        <v>211</v>
      </c>
      <c r="G72" t="s">
        <v>231</v>
      </c>
    </row>
    <row r="73" spans="1:18" x14ac:dyDescent="0.2">
      <c r="A73" s="2">
        <v>45868</v>
      </c>
      <c r="B73" s="2">
        <f t="shared" si="1"/>
        <v>45839</v>
      </c>
      <c r="C73" s="10">
        <v>0.41666666666666669</v>
      </c>
      <c r="D73" t="s">
        <v>251</v>
      </c>
      <c r="E73" t="s">
        <v>211</v>
      </c>
      <c r="F73">
        <v>17</v>
      </c>
      <c r="G73" t="s">
        <v>95</v>
      </c>
      <c r="I73" t="s">
        <v>215</v>
      </c>
      <c r="J73" t="s">
        <v>270</v>
      </c>
      <c r="L73">
        <v>9</v>
      </c>
      <c r="M73" t="s">
        <v>541</v>
      </c>
      <c r="N73">
        <v>5196</v>
      </c>
      <c r="Q73" t="s">
        <v>239</v>
      </c>
    </row>
    <row r="74" spans="1:18" x14ac:dyDescent="0.2">
      <c r="A74" s="2">
        <v>45870</v>
      </c>
      <c r="B74" s="2">
        <f t="shared" si="1"/>
        <v>45870</v>
      </c>
      <c r="C74" s="10">
        <v>0.41666666666666669</v>
      </c>
      <c r="D74" t="s">
        <v>267</v>
      </c>
      <c r="E74" t="s">
        <v>211</v>
      </c>
      <c r="F74">
        <v>8</v>
      </c>
      <c r="G74" t="s">
        <v>277</v>
      </c>
      <c r="I74" t="s">
        <v>215</v>
      </c>
      <c r="J74" t="s">
        <v>532</v>
      </c>
      <c r="L74">
        <v>10</v>
      </c>
      <c r="M74" t="s">
        <v>540</v>
      </c>
      <c r="N74">
        <v>5235</v>
      </c>
      <c r="Q74" t="s">
        <v>239</v>
      </c>
    </row>
    <row r="75" spans="1:18" x14ac:dyDescent="0.2">
      <c r="A75" s="2">
        <v>45870</v>
      </c>
      <c r="B75" s="2">
        <f t="shared" si="1"/>
        <v>45870</v>
      </c>
      <c r="C75" s="10">
        <v>0.45833333333333331</v>
      </c>
      <c r="D75" t="s">
        <v>238</v>
      </c>
      <c r="E75" t="s">
        <v>211</v>
      </c>
      <c r="F75">
        <v>16</v>
      </c>
      <c r="G75" t="s">
        <v>243</v>
      </c>
      <c r="I75" t="s">
        <v>213</v>
      </c>
      <c r="L75">
        <v>10</v>
      </c>
      <c r="M75" t="s">
        <v>539</v>
      </c>
      <c r="Q75" t="s">
        <v>239</v>
      </c>
    </row>
    <row r="76" spans="1:18" x14ac:dyDescent="0.2">
      <c r="A76" s="2">
        <v>45874</v>
      </c>
      <c r="B76" s="2">
        <f t="shared" si="1"/>
        <v>45870</v>
      </c>
      <c r="C76" s="10">
        <v>0.41666666666666669</v>
      </c>
      <c r="D76" t="s">
        <v>262</v>
      </c>
      <c r="E76" t="s">
        <v>211</v>
      </c>
      <c r="F76">
        <v>17</v>
      </c>
      <c r="Q76" t="s">
        <v>246</v>
      </c>
      <c r="R76" t="s">
        <v>538</v>
      </c>
    </row>
    <row r="77" spans="1:18" x14ac:dyDescent="0.2">
      <c r="A77" s="2">
        <v>45875</v>
      </c>
      <c r="B77" s="2">
        <f t="shared" si="1"/>
        <v>45870</v>
      </c>
      <c r="C77" s="10">
        <v>0.41666666666666669</v>
      </c>
      <c r="D77" t="s">
        <v>251</v>
      </c>
      <c r="E77" t="s">
        <v>211</v>
      </c>
      <c r="F77">
        <v>17</v>
      </c>
      <c r="I77" t="s">
        <v>229</v>
      </c>
      <c r="J77" t="s">
        <v>213</v>
      </c>
      <c r="K77" t="s">
        <v>232</v>
      </c>
      <c r="Q77" t="s">
        <v>237</v>
      </c>
    </row>
    <row r="78" spans="1:18" x14ac:dyDescent="0.2">
      <c r="A78" s="2">
        <v>45877</v>
      </c>
      <c r="B78" s="2">
        <f t="shared" si="1"/>
        <v>45870</v>
      </c>
      <c r="C78" s="10">
        <v>0.41666666666666669</v>
      </c>
      <c r="D78" t="s">
        <v>267</v>
      </c>
      <c r="E78" t="s">
        <v>211</v>
      </c>
      <c r="F78">
        <v>8</v>
      </c>
      <c r="G78" t="s">
        <v>70</v>
      </c>
      <c r="I78" t="s">
        <v>215</v>
      </c>
      <c r="L78">
        <v>10</v>
      </c>
      <c r="M78" t="s">
        <v>537</v>
      </c>
      <c r="N78">
        <v>5309</v>
      </c>
      <c r="Q78" t="s">
        <v>239</v>
      </c>
    </row>
    <row r="79" spans="1:18" x14ac:dyDescent="0.2">
      <c r="A79" s="2">
        <v>45877</v>
      </c>
      <c r="B79" s="2">
        <f t="shared" si="1"/>
        <v>45870</v>
      </c>
      <c r="C79" s="10">
        <v>0.66666666666666663</v>
      </c>
      <c r="D79" t="s">
        <v>212</v>
      </c>
      <c r="E79" t="s">
        <v>211</v>
      </c>
      <c r="F79">
        <v>13</v>
      </c>
      <c r="I79" t="s">
        <v>229</v>
      </c>
      <c r="J79" t="s">
        <v>536</v>
      </c>
      <c r="Q79" t="s">
        <v>237</v>
      </c>
      <c r="R79" t="s">
        <v>535</v>
      </c>
    </row>
    <row r="80" spans="1:18" ht="409.6" x14ac:dyDescent="0.2">
      <c r="A80" s="2">
        <v>45881</v>
      </c>
      <c r="B80" s="2">
        <f t="shared" si="1"/>
        <v>45870</v>
      </c>
      <c r="C80" s="10">
        <v>0.41666666666666669</v>
      </c>
      <c r="D80" t="s">
        <v>262</v>
      </c>
      <c r="E80" t="s">
        <v>211</v>
      </c>
      <c r="F80">
        <v>17</v>
      </c>
      <c r="G80" t="s">
        <v>218</v>
      </c>
      <c r="I80" t="s">
        <v>270</v>
      </c>
      <c r="J80" t="s">
        <v>534</v>
      </c>
      <c r="L80">
        <v>5</v>
      </c>
      <c r="M80" s="11" t="s">
        <v>533</v>
      </c>
      <c r="N80">
        <v>5335</v>
      </c>
      <c r="Q80" t="s">
        <v>239</v>
      </c>
    </row>
    <row r="81" spans="1:21" ht="119" x14ac:dyDescent="0.2">
      <c r="A81" s="2">
        <v>45882</v>
      </c>
      <c r="B81" s="2">
        <f t="shared" si="1"/>
        <v>45870</v>
      </c>
      <c r="C81" s="10">
        <v>0.41666666666666669</v>
      </c>
      <c r="D81" t="s">
        <v>251</v>
      </c>
      <c r="E81" t="s">
        <v>211</v>
      </c>
      <c r="F81">
        <v>17</v>
      </c>
      <c r="G81" t="s">
        <v>100</v>
      </c>
      <c r="I81" t="s">
        <v>229</v>
      </c>
      <c r="J81" t="s">
        <v>532</v>
      </c>
      <c r="K81" t="s">
        <v>232</v>
      </c>
      <c r="L81">
        <v>9</v>
      </c>
      <c r="M81" s="11" t="s">
        <v>531</v>
      </c>
      <c r="Q81" t="s">
        <v>239</v>
      </c>
    </row>
    <row r="82" spans="1:21" x14ac:dyDescent="0.2">
      <c r="A82" s="2">
        <v>45883</v>
      </c>
      <c r="B82" s="2">
        <f t="shared" si="1"/>
        <v>45870</v>
      </c>
      <c r="C82" s="10">
        <v>0.66666666666666663</v>
      </c>
      <c r="D82" t="s">
        <v>212</v>
      </c>
      <c r="E82" t="s">
        <v>211</v>
      </c>
      <c r="F82">
        <v>13</v>
      </c>
      <c r="Q82" t="s">
        <v>274</v>
      </c>
      <c r="R82" t="s">
        <v>530</v>
      </c>
    </row>
    <row r="83" spans="1:21" x14ac:dyDescent="0.2">
      <c r="A83" s="2">
        <v>45884</v>
      </c>
      <c r="B83" s="2">
        <f t="shared" si="1"/>
        <v>45870</v>
      </c>
      <c r="C83" s="10">
        <v>0.41666666666666669</v>
      </c>
      <c r="D83" t="s">
        <v>267</v>
      </c>
      <c r="E83" t="s">
        <v>211</v>
      </c>
      <c r="F83">
        <v>8</v>
      </c>
      <c r="G83" t="s">
        <v>77</v>
      </c>
      <c r="I83" t="s">
        <v>445</v>
      </c>
      <c r="L83">
        <v>10</v>
      </c>
      <c r="M83" t="s">
        <v>529</v>
      </c>
      <c r="N83">
        <v>5395</v>
      </c>
      <c r="Q83" t="s">
        <v>239</v>
      </c>
    </row>
    <row r="84" spans="1:21" x14ac:dyDescent="0.2">
      <c r="A84" s="2">
        <v>45884</v>
      </c>
      <c r="B84" s="2">
        <f t="shared" si="1"/>
        <v>45870</v>
      </c>
      <c r="C84" s="10">
        <v>0.45833333333333331</v>
      </c>
      <c r="D84" t="s">
        <v>238</v>
      </c>
      <c r="E84" t="s">
        <v>211</v>
      </c>
      <c r="F84">
        <v>16</v>
      </c>
      <c r="Q84" t="s">
        <v>237</v>
      </c>
    </row>
    <row r="85" spans="1:21" ht="68" x14ac:dyDescent="0.2">
      <c r="A85" s="2">
        <v>45890</v>
      </c>
      <c r="B85" s="2">
        <f t="shared" si="1"/>
        <v>45870</v>
      </c>
      <c r="C85" s="10">
        <v>0.66666666666666663</v>
      </c>
      <c r="D85" t="s">
        <v>212</v>
      </c>
      <c r="E85" t="s">
        <v>211</v>
      </c>
      <c r="F85">
        <v>13</v>
      </c>
      <c r="G85" t="s">
        <v>87</v>
      </c>
      <c r="I85" t="s">
        <v>229</v>
      </c>
      <c r="L85">
        <v>9</v>
      </c>
      <c r="M85" s="11" t="s">
        <v>528</v>
      </c>
      <c r="N85">
        <v>5494</v>
      </c>
      <c r="Q85" t="s">
        <v>239</v>
      </c>
    </row>
    <row r="86" spans="1:21" x14ac:dyDescent="0.2">
      <c r="A86" s="2">
        <v>45891</v>
      </c>
      <c r="B86" s="2">
        <f t="shared" si="1"/>
        <v>45870</v>
      </c>
      <c r="C86" s="10">
        <v>0.41666666666666669</v>
      </c>
      <c r="D86" t="s">
        <v>267</v>
      </c>
      <c r="E86" t="s">
        <v>211</v>
      </c>
      <c r="F86">
        <v>8</v>
      </c>
      <c r="Q86" t="s">
        <v>246</v>
      </c>
      <c r="R86" t="s">
        <v>327</v>
      </c>
    </row>
    <row r="87" spans="1:21" x14ac:dyDescent="0.2">
      <c r="A87" s="2">
        <v>45895</v>
      </c>
      <c r="B87" s="2">
        <f t="shared" si="1"/>
        <v>45870</v>
      </c>
      <c r="C87" s="10">
        <v>0.41666666666666669</v>
      </c>
      <c r="D87" t="s">
        <v>262</v>
      </c>
      <c r="E87" t="s">
        <v>211</v>
      </c>
      <c r="F87">
        <v>17</v>
      </c>
      <c r="K87" t="s">
        <v>527</v>
      </c>
      <c r="Q87" t="s">
        <v>246</v>
      </c>
      <c r="R87" t="s">
        <v>526</v>
      </c>
    </row>
    <row r="88" spans="1:21" x14ac:dyDescent="0.2">
      <c r="A88" s="2">
        <v>45896</v>
      </c>
      <c r="B88" s="2">
        <f t="shared" si="1"/>
        <v>45870</v>
      </c>
      <c r="C88" s="10">
        <v>0.41666666666666669</v>
      </c>
      <c r="D88" t="s">
        <v>251</v>
      </c>
      <c r="E88" t="s">
        <v>211</v>
      </c>
      <c r="F88">
        <v>17</v>
      </c>
      <c r="G88" t="s">
        <v>292</v>
      </c>
      <c r="I88" t="s">
        <v>215</v>
      </c>
      <c r="L88">
        <v>9</v>
      </c>
      <c r="M88" t="s">
        <v>525</v>
      </c>
      <c r="Q88" t="s">
        <v>239</v>
      </c>
    </row>
    <row r="89" spans="1:21" x14ac:dyDescent="0.2">
      <c r="A89" s="2">
        <v>45898</v>
      </c>
      <c r="B89" s="2">
        <f t="shared" si="1"/>
        <v>45870</v>
      </c>
      <c r="C89" s="10">
        <v>0.41666666666666669</v>
      </c>
      <c r="D89" t="s">
        <v>267</v>
      </c>
      <c r="E89" t="s">
        <v>211</v>
      </c>
      <c r="F89">
        <v>8</v>
      </c>
      <c r="I89" t="s">
        <v>215</v>
      </c>
      <c r="K89" t="s">
        <v>524</v>
      </c>
      <c r="Q89" t="s">
        <v>237</v>
      </c>
      <c r="R89" t="s">
        <v>523</v>
      </c>
    </row>
    <row r="90" spans="1:21" x14ac:dyDescent="0.2">
      <c r="A90" s="2">
        <v>45898</v>
      </c>
      <c r="B90" s="2">
        <f t="shared" si="1"/>
        <v>45870</v>
      </c>
      <c r="C90" s="10">
        <v>0.45833333333333331</v>
      </c>
      <c r="D90" t="s">
        <v>238</v>
      </c>
      <c r="E90" t="s">
        <v>211</v>
      </c>
      <c r="F90">
        <v>16</v>
      </c>
      <c r="G90" t="s">
        <v>218</v>
      </c>
      <c r="I90" t="s">
        <v>522</v>
      </c>
      <c r="L90">
        <v>10</v>
      </c>
      <c r="M90" t="s">
        <v>521</v>
      </c>
      <c r="N90">
        <v>5562</v>
      </c>
      <c r="Q90" t="s">
        <v>239</v>
      </c>
    </row>
    <row r="91" spans="1:21" x14ac:dyDescent="0.2">
      <c r="A91" s="2">
        <v>45903</v>
      </c>
      <c r="B91" s="2">
        <f t="shared" si="1"/>
        <v>45901</v>
      </c>
      <c r="C91" s="10">
        <v>0.45833333333333331</v>
      </c>
      <c r="D91" t="s">
        <v>223</v>
      </c>
      <c r="E91" t="s">
        <v>211</v>
      </c>
      <c r="F91">
        <v>14</v>
      </c>
      <c r="G91" t="s">
        <v>216</v>
      </c>
      <c r="I91" t="s">
        <v>295</v>
      </c>
      <c r="L91" t="s">
        <v>241</v>
      </c>
      <c r="Q91" t="s">
        <v>239</v>
      </c>
    </row>
    <row r="92" spans="1:21" x14ac:dyDescent="0.2">
      <c r="A92" s="2">
        <v>45904</v>
      </c>
      <c r="B92" s="2">
        <f t="shared" si="1"/>
        <v>45901</v>
      </c>
      <c r="C92" s="10">
        <v>0.66666666666666663</v>
      </c>
      <c r="D92" t="s">
        <v>212</v>
      </c>
      <c r="E92" t="s">
        <v>211</v>
      </c>
      <c r="F92">
        <v>13</v>
      </c>
      <c r="Q92" t="s">
        <v>274</v>
      </c>
      <c r="R92" t="s">
        <v>520</v>
      </c>
    </row>
    <row r="93" spans="1:21" ht="372" x14ac:dyDescent="0.2">
      <c r="A93" s="2">
        <v>45905</v>
      </c>
      <c r="B93" s="2">
        <f t="shared" si="1"/>
        <v>45901</v>
      </c>
      <c r="C93" s="10">
        <v>0.47916666666666669</v>
      </c>
      <c r="D93" t="s">
        <v>267</v>
      </c>
      <c r="E93" t="s">
        <v>211</v>
      </c>
      <c r="F93">
        <v>8</v>
      </c>
      <c r="G93" t="s">
        <v>73</v>
      </c>
      <c r="I93" t="s">
        <v>295</v>
      </c>
      <c r="L93">
        <v>8</v>
      </c>
      <c r="M93" s="11" t="s">
        <v>519</v>
      </c>
      <c r="N93">
        <v>5656</v>
      </c>
      <c r="Q93" t="s">
        <v>239</v>
      </c>
      <c r="S93" s="11" t="s">
        <v>518</v>
      </c>
      <c r="T93" t="s">
        <v>225</v>
      </c>
      <c r="U93" t="s">
        <v>517</v>
      </c>
    </row>
    <row r="94" spans="1:21" x14ac:dyDescent="0.2">
      <c r="A94" s="2">
        <v>45909</v>
      </c>
      <c r="B94" s="2">
        <f t="shared" si="1"/>
        <v>45901</v>
      </c>
      <c r="C94" s="10">
        <v>0.41666666666666669</v>
      </c>
      <c r="D94" t="s">
        <v>262</v>
      </c>
      <c r="E94" t="s">
        <v>211</v>
      </c>
      <c r="F94">
        <v>17</v>
      </c>
      <c r="Q94" t="s">
        <v>246</v>
      </c>
      <c r="R94" t="s">
        <v>516</v>
      </c>
    </row>
    <row r="95" spans="1:21" x14ac:dyDescent="0.2">
      <c r="A95" s="2">
        <v>45910</v>
      </c>
      <c r="B95" s="2">
        <f t="shared" si="1"/>
        <v>45901</v>
      </c>
      <c r="C95" s="10">
        <v>0.41666666666666669</v>
      </c>
      <c r="D95" t="s">
        <v>251</v>
      </c>
      <c r="E95" t="s">
        <v>211</v>
      </c>
      <c r="F95">
        <v>17</v>
      </c>
      <c r="Q95" t="s">
        <v>246</v>
      </c>
      <c r="R95" t="s">
        <v>245</v>
      </c>
    </row>
    <row r="96" spans="1:21" x14ac:dyDescent="0.2">
      <c r="A96" s="2">
        <v>45910</v>
      </c>
      <c r="B96" s="2">
        <f t="shared" si="1"/>
        <v>45901</v>
      </c>
      <c r="C96" s="10">
        <v>0.54166666666666663</v>
      </c>
      <c r="D96" t="s">
        <v>221</v>
      </c>
      <c r="E96" t="s">
        <v>211</v>
      </c>
      <c r="F96">
        <v>13</v>
      </c>
      <c r="G96" t="s">
        <v>216</v>
      </c>
      <c r="I96" t="s">
        <v>295</v>
      </c>
      <c r="L96" t="s">
        <v>241</v>
      </c>
      <c r="Q96" t="s">
        <v>239</v>
      </c>
    </row>
    <row r="97" spans="1:18" x14ac:dyDescent="0.2">
      <c r="A97" s="2">
        <v>45911</v>
      </c>
      <c r="B97" s="2">
        <f t="shared" si="1"/>
        <v>45901</v>
      </c>
      <c r="C97" s="10">
        <v>0.5</v>
      </c>
      <c r="D97" t="s">
        <v>223</v>
      </c>
      <c r="E97" t="s">
        <v>211</v>
      </c>
      <c r="F97">
        <v>14</v>
      </c>
      <c r="G97" t="s">
        <v>394</v>
      </c>
      <c r="I97" t="s">
        <v>215</v>
      </c>
      <c r="L97">
        <v>9</v>
      </c>
      <c r="M97" t="s">
        <v>515</v>
      </c>
      <c r="N97">
        <v>5721</v>
      </c>
      <c r="Q97" t="s">
        <v>239</v>
      </c>
    </row>
    <row r="98" spans="1:18" x14ac:dyDescent="0.2">
      <c r="A98" s="2">
        <v>45911</v>
      </c>
      <c r="B98" s="2">
        <f t="shared" si="1"/>
        <v>45901</v>
      </c>
      <c r="C98" s="10">
        <v>0.66666666666666663</v>
      </c>
      <c r="D98" t="s">
        <v>212</v>
      </c>
      <c r="E98" t="s">
        <v>211</v>
      </c>
      <c r="F98">
        <v>13</v>
      </c>
      <c r="Q98" t="s">
        <v>274</v>
      </c>
      <c r="R98" t="s">
        <v>283</v>
      </c>
    </row>
    <row r="99" spans="1:18" x14ac:dyDescent="0.2">
      <c r="A99" s="2">
        <v>45912</v>
      </c>
      <c r="B99" s="2">
        <f t="shared" si="1"/>
        <v>45901</v>
      </c>
      <c r="C99" s="10">
        <v>0.41666666666666669</v>
      </c>
      <c r="D99" t="s">
        <v>267</v>
      </c>
      <c r="E99" t="s">
        <v>211</v>
      </c>
      <c r="F99">
        <v>8</v>
      </c>
      <c r="Q99" t="s">
        <v>246</v>
      </c>
      <c r="R99" t="s">
        <v>265</v>
      </c>
    </row>
    <row r="100" spans="1:18" x14ac:dyDescent="0.2">
      <c r="A100" s="2">
        <v>45912</v>
      </c>
      <c r="B100" s="2">
        <f t="shared" si="1"/>
        <v>45901</v>
      </c>
      <c r="C100" s="10">
        <v>0.45833333333333331</v>
      </c>
      <c r="D100" t="s">
        <v>238</v>
      </c>
      <c r="E100" t="s">
        <v>211</v>
      </c>
      <c r="F100">
        <v>16</v>
      </c>
      <c r="G100" t="s">
        <v>100</v>
      </c>
      <c r="I100" t="s">
        <v>445</v>
      </c>
      <c r="L100">
        <v>10</v>
      </c>
      <c r="M100" t="s">
        <v>514</v>
      </c>
      <c r="N100">
        <v>5745</v>
      </c>
      <c r="Q100" t="s">
        <v>239</v>
      </c>
    </row>
    <row r="101" spans="1:18" x14ac:dyDescent="0.2">
      <c r="A101" s="2">
        <v>45912</v>
      </c>
      <c r="B101" s="2">
        <f t="shared" si="1"/>
        <v>45901</v>
      </c>
      <c r="C101" s="10">
        <v>0.625</v>
      </c>
      <c r="D101" t="s">
        <v>212</v>
      </c>
      <c r="E101" t="s">
        <v>211</v>
      </c>
      <c r="F101">
        <v>13</v>
      </c>
      <c r="I101" t="s">
        <v>215</v>
      </c>
      <c r="Q101" t="s">
        <v>237</v>
      </c>
    </row>
    <row r="102" spans="1:18" x14ac:dyDescent="0.2">
      <c r="A102" s="2">
        <v>45916</v>
      </c>
      <c r="B102" s="2">
        <f t="shared" si="1"/>
        <v>45901</v>
      </c>
      <c r="C102" s="10">
        <v>0.45833333333333331</v>
      </c>
      <c r="D102" t="s">
        <v>333</v>
      </c>
      <c r="E102" t="s">
        <v>211</v>
      </c>
      <c r="F102">
        <v>7</v>
      </c>
      <c r="G102" t="s">
        <v>216</v>
      </c>
      <c r="I102" t="s">
        <v>215</v>
      </c>
      <c r="L102" t="s">
        <v>241</v>
      </c>
      <c r="M102" t="s">
        <v>513</v>
      </c>
      <c r="Q102" t="s">
        <v>239</v>
      </c>
    </row>
    <row r="103" spans="1:18" x14ac:dyDescent="0.2">
      <c r="A103" s="2">
        <v>45917</v>
      </c>
      <c r="B103" s="2">
        <f t="shared" si="1"/>
        <v>45901</v>
      </c>
      <c r="C103" s="10">
        <v>0.45833333333333331</v>
      </c>
      <c r="D103" t="s">
        <v>223</v>
      </c>
      <c r="E103" t="s">
        <v>211</v>
      </c>
      <c r="F103">
        <v>14</v>
      </c>
      <c r="Q103" t="s">
        <v>274</v>
      </c>
      <c r="R103" t="s">
        <v>283</v>
      </c>
    </row>
    <row r="104" spans="1:18" x14ac:dyDescent="0.2">
      <c r="A104" s="2">
        <v>45917</v>
      </c>
      <c r="B104" s="2">
        <f t="shared" si="1"/>
        <v>45901</v>
      </c>
      <c r="C104" s="10">
        <v>0.45833333333333331</v>
      </c>
      <c r="D104" t="s">
        <v>222</v>
      </c>
      <c r="E104" t="s">
        <v>211</v>
      </c>
      <c r="F104">
        <v>10</v>
      </c>
      <c r="G104" t="s">
        <v>216</v>
      </c>
      <c r="I104" t="s">
        <v>295</v>
      </c>
      <c r="L104" t="s">
        <v>241</v>
      </c>
      <c r="Q104" t="s">
        <v>239</v>
      </c>
    </row>
    <row r="105" spans="1:18" x14ac:dyDescent="0.2">
      <c r="A105" s="2">
        <v>45917</v>
      </c>
      <c r="B105" s="2">
        <f t="shared" si="1"/>
        <v>45901</v>
      </c>
      <c r="C105" s="10">
        <v>0.54166666666666663</v>
      </c>
      <c r="D105" t="s">
        <v>221</v>
      </c>
      <c r="E105" t="s">
        <v>211</v>
      </c>
      <c r="F105">
        <v>13</v>
      </c>
      <c r="G105" t="s">
        <v>394</v>
      </c>
      <c r="I105" t="s">
        <v>215</v>
      </c>
      <c r="L105">
        <v>10</v>
      </c>
      <c r="M105" t="s">
        <v>512</v>
      </c>
      <c r="N105">
        <v>5817</v>
      </c>
      <c r="Q105" t="s">
        <v>239</v>
      </c>
    </row>
    <row r="106" spans="1:18" ht="356" x14ac:dyDescent="0.2">
      <c r="A106" s="2">
        <v>45917</v>
      </c>
      <c r="B106" s="2">
        <f t="shared" si="1"/>
        <v>45901</v>
      </c>
      <c r="C106" s="10">
        <v>0.66666666666666663</v>
      </c>
      <c r="D106" t="s">
        <v>385</v>
      </c>
      <c r="E106" t="s">
        <v>211</v>
      </c>
      <c r="G106" t="s">
        <v>473</v>
      </c>
      <c r="I106" t="s">
        <v>213</v>
      </c>
      <c r="J106" t="s">
        <v>210</v>
      </c>
      <c r="L106">
        <v>10</v>
      </c>
      <c r="M106" s="11" t="s">
        <v>511</v>
      </c>
      <c r="N106">
        <v>5822</v>
      </c>
      <c r="Q106" t="s">
        <v>239</v>
      </c>
    </row>
    <row r="107" spans="1:18" x14ac:dyDescent="0.2">
      <c r="A107" s="2">
        <v>45919</v>
      </c>
      <c r="B107" s="2">
        <f t="shared" si="1"/>
        <v>45901</v>
      </c>
      <c r="C107" s="10">
        <v>0.41666666666666669</v>
      </c>
      <c r="D107" t="s">
        <v>267</v>
      </c>
      <c r="E107" t="s">
        <v>211</v>
      </c>
      <c r="F107">
        <v>8</v>
      </c>
      <c r="I107" t="s">
        <v>445</v>
      </c>
      <c r="K107" t="s">
        <v>232</v>
      </c>
      <c r="Q107" t="s">
        <v>237</v>
      </c>
    </row>
    <row r="108" spans="1:18" x14ac:dyDescent="0.2">
      <c r="A108" s="2">
        <v>45919</v>
      </c>
      <c r="B108" s="2">
        <f t="shared" si="1"/>
        <v>45901</v>
      </c>
      <c r="C108" s="10">
        <v>0.66666666666666663</v>
      </c>
      <c r="D108" t="s">
        <v>223</v>
      </c>
      <c r="E108" t="s">
        <v>211</v>
      </c>
      <c r="F108">
        <v>14</v>
      </c>
      <c r="Q108" t="s">
        <v>246</v>
      </c>
      <c r="R108" t="s">
        <v>510</v>
      </c>
    </row>
    <row r="109" spans="1:18" x14ac:dyDescent="0.2">
      <c r="A109" s="2">
        <v>45923</v>
      </c>
      <c r="B109" s="2">
        <f t="shared" si="1"/>
        <v>45901</v>
      </c>
      <c r="C109" s="10">
        <v>0.41666666666666669</v>
      </c>
      <c r="D109" t="s">
        <v>262</v>
      </c>
      <c r="E109" t="s">
        <v>211</v>
      </c>
      <c r="F109">
        <v>17</v>
      </c>
      <c r="G109" t="s">
        <v>243</v>
      </c>
      <c r="I109" t="s">
        <v>210</v>
      </c>
      <c r="K109" t="s">
        <v>507</v>
      </c>
      <c r="L109" t="s">
        <v>241</v>
      </c>
      <c r="M109" t="s">
        <v>509</v>
      </c>
      <c r="Q109" t="s">
        <v>239</v>
      </c>
    </row>
    <row r="110" spans="1:18" x14ac:dyDescent="0.2">
      <c r="A110" s="2">
        <v>45923</v>
      </c>
      <c r="B110" s="2">
        <f t="shared" si="1"/>
        <v>45901</v>
      </c>
      <c r="C110" s="10">
        <v>0.45833333333333331</v>
      </c>
      <c r="D110" t="s">
        <v>333</v>
      </c>
      <c r="E110" t="s">
        <v>211</v>
      </c>
      <c r="F110">
        <v>7</v>
      </c>
      <c r="Q110" t="s">
        <v>253</v>
      </c>
      <c r="R110" t="s">
        <v>508</v>
      </c>
    </row>
    <row r="111" spans="1:18" x14ac:dyDescent="0.2">
      <c r="A111" s="2">
        <v>45923</v>
      </c>
      <c r="B111" s="2">
        <f t="shared" si="1"/>
        <v>45901</v>
      </c>
      <c r="C111" s="10">
        <v>0.625</v>
      </c>
      <c r="D111" t="s">
        <v>477</v>
      </c>
      <c r="E111" t="s">
        <v>211</v>
      </c>
      <c r="F111">
        <v>2</v>
      </c>
      <c r="G111" t="s">
        <v>216</v>
      </c>
      <c r="I111" t="s">
        <v>210</v>
      </c>
      <c r="L111" t="s">
        <v>241</v>
      </c>
      <c r="Q111" t="s">
        <v>239</v>
      </c>
    </row>
    <row r="112" spans="1:18" x14ac:dyDescent="0.2">
      <c r="A112" s="2">
        <v>45924</v>
      </c>
      <c r="B112" s="2">
        <f t="shared" si="1"/>
        <v>45901</v>
      </c>
      <c r="C112" s="10">
        <v>0.41666666666666669</v>
      </c>
      <c r="D112" t="s">
        <v>251</v>
      </c>
      <c r="E112" t="s">
        <v>211</v>
      </c>
      <c r="F112">
        <v>17</v>
      </c>
      <c r="I112" t="s">
        <v>215</v>
      </c>
      <c r="K112" t="s">
        <v>507</v>
      </c>
      <c r="Q112" t="s">
        <v>237</v>
      </c>
    </row>
    <row r="113" spans="1:21" x14ac:dyDescent="0.2">
      <c r="A113" s="2">
        <v>45924</v>
      </c>
      <c r="B113" s="2">
        <f t="shared" si="1"/>
        <v>45901</v>
      </c>
      <c r="C113" s="10">
        <v>0.45833333333333331</v>
      </c>
      <c r="D113" t="s">
        <v>223</v>
      </c>
      <c r="E113" t="s">
        <v>211</v>
      </c>
      <c r="F113">
        <v>14</v>
      </c>
      <c r="Q113" t="s">
        <v>274</v>
      </c>
    </row>
    <row r="114" spans="1:21" x14ac:dyDescent="0.2">
      <c r="A114" s="2">
        <v>45924</v>
      </c>
      <c r="B114" s="2">
        <f t="shared" si="1"/>
        <v>45901</v>
      </c>
      <c r="C114" s="10">
        <v>0.45833333333333331</v>
      </c>
      <c r="D114" t="s">
        <v>222</v>
      </c>
      <c r="E114" t="s">
        <v>211</v>
      </c>
      <c r="F114">
        <v>10</v>
      </c>
      <c r="I114" t="s">
        <v>215</v>
      </c>
      <c r="Q114" t="s">
        <v>237</v>
      </c>
    </row>
    <row r="115" spans="1:21" x14ac:dyDescent="0.2">
      <c r="A115" s="2">
        <v>45924</v>
      </c>
      <c r="B115" s="2">
        <f t="shared" si="1"/>
        <v>45901</v>
      </c>
      <c r="C115" s="10">
        <v>0.54166666666666663</v>
      </c>
      <c r="D115" t="s">
        <v>221</v>
      </c>
      <c r="E115" t="s">
        <v>211</v>
      </c>
      <c r="F115">
        <v>13</v>
      </c>
      <c r="K115" t="s">
        <v>506</v>
      </c>
      <c r="Q115" t="s">
        <v>246</v>
      </c>
    </row>
    <row r="116" spans="1:21" x14ac:dyDescent="0.2">
      <c r="A116" s="2">
        <v>45924</v>
      </c>
      <c r="B116" s="2">
        <f t="shared" si="1"/>
        <v>45901</v>
      </c>
      <c r="C116" s="10">
        <v>0.66666666666666663</v>
      </c>
      <c r="D116" t="s">
        <v>230</v>
      </c>
      <c r="E116" t="s">
        <v>211</v>
      </c>
      <c r="F116">
        <v>11</v>
      </c>
      <c r="G116" t="s">
        <v>216</v>
      </c>
      <c r="I116" t="s">
        <v>295</v>
      </c>
      <c r="L116" t="s">
        <v>241</v>
      </c>
      <c r="Q116" t="s">
        <v>239</v>
      </c>
    </row>
    <row r="117" spans="1:21" x14ac:dyDescent="0.2">
      <c r="A117" s="2">
        <v>45925</v>
      </c>
      <c r="B117" s="2">
        <f t="shared" si="1"/>
        <v>45901</v>
      </c>
      <c r="C117" s="10">
        <v>0.66666666666666663</v>
      </c>
      <c r="D117" t="s">
        <v>212</v>
      </c>
      <c r="E117" t="s">
        <v>211</v>
      </c>
      <c r="F117">
        <v>13</v>
      </c>
      <c r="G117" t="s">
        <v>100</v>
      </c>
      <c r="I117" t="s">
        <v>213</v>
      </c>
      <c r="L117">
        <v>10</v>
      </c>
      <c r="M117" t="s">
        <v>505</v>
      </c>
      <c r="N117">
        <v>5944</v>
      </c>
      <c r="Q117" t="s">
        <v>239</v>
      </c>
    </row>
    <row r="118" spans="1:21" x14ac:dyDescent="0.2">
      <c r="A118" s="2">
        <v>45926</v>
      </c>
      <c r="B118" s="2">
        <f t="shared" si="1"/>
        <v>45901</v>
      </c>
      <c r="C118" s="10">
        <v>0.41666666666666669</v>
      </c>
      <c r="D118" t="s">
        <v>267</v>
      </c>
      <c r="E118" t="s">
        <v>211</v>
      </c>
      <c r="F118">
        <v>8</v>
      </c>
      <c r="I118" t="s">
        <v>229</v>
      </c>
      <c r="Q118" t="s">
        <v>322</v>
      </c>
      <c r="R118" t="s">
        <v>504</v>
      </c>
      <c r="S118" t="s">
        <v>503</v>
      </c>
      <c r="T118" t="s">
        <v>225</v>
      </c>
      <c r="U118" t="s">
        <v>502</v>
      </c>
    </row>
    <row r="119" spans="1:21" x14ac:dyDescent="0.2">
      <c r="A119" s="2">
        <v>45926</v>
      </c>
      <c r="B119" s="2">
        <f t="shared" si="1"/>
        <v>45901</v>
      </c>
      <c r="C119" s="10">
        <v>0.41666666666666669</v>
      </c>
      <c r="D119" t="s">
        <v>223</v>
      </c>
      <c r="E119" t="s">
        <v>211</v>
      </c>
      <c r="F119">
        <v>14</v>
      </c>
      <c r="G119" t="s">
        <v>277</v>
      </c>
      <c r="I119" t="s">
        <v>215</v>
      </c>
      <c r="K119" t="s">
        <v>501</v>
      </c>
      <c r="L119">
        <v>8</v>
      </c>
      <c r="M119" t="s">
        <v>500</v>
      </c>
      <c r="N119">
        <v>5954</v>
      </c>
      <c r="Q119" t="s">
        <v>239</v>
      </c>
    </row>
    <row r="120" spans="1:21" x14ac:dyDescent="0.2">
      <c r="A120" s="2">
        <v>45926</v>
      </c>
      <c r="B120" s="2">
        <f t="shared" si="1"/>
        <v>45901</v>
      </c>
      <c r="C120" s="10">
        <v>0.45833333333333331</v>
      </c>
      <c r="D120" t="s">
        <v>238</v>
      </c>
      <c r="E120" t="s">
        <v>211</v>
      </c>
      <c r="F120">
        <v>16</v>
      </c>
      <c r="G120" t="s">
        <v>292</v>
      </c>
      <c r="I120" t="s">
        <v>445</v>
      </c>
      <c r="L120">
        <v>9</v>
      </c>
      <c r="Q120" t="s">
        <v>239</v>
      </c>
    </row>
    <row r="121" spans="1:21" x14ac:dyDescent="0.2">
      <c r="A121" s="2">
        <v>45930</v>
      </c>
      <c r="B121" s="2">
        <f t="shared" si="1"/>
        <v>45901</v>
      </c>
      <c r="C121" s="10">
        <v>0.66666666666666663</v>
      </c>
      <c r="D121" t="s">
        <v>230</v>
      </c>
      <c r="E121" t="s">
        <v>211</v>
      </c>
      <c r="F121">
        <v>11</v>
      </c>
      <c r="I121" t="s">
        <v>295</v>
      </c>
      <c r="Q121" t="s">
        <v>322</v>
      </c>
      <c r="R121" t="s">
        <v>499</v>
      </c>
      <c r="T121" t="s">
        <v>225</v>
      </c>
      <c r="U121" t="s">
        <v>499</v>
      </c>
    </row>
    <row r="122" spans="1:21" x14ac:dyDescent="0.2">
      <c r="A122" s="2">
        <v>45930</v>
      </c>
      <c r="B122" s="2">
        <f t="shared" si="1"/>
        <v>45901</v>
      </c>
      <c r="C122" s="10">
        <v>0.66666666666666663</v>
      </c>
      <c r="D122" t="s">
        <v>477</v>
      </c>
      <c r="E122" t="s">
        <v>211</v>
      </c>
      <c r="F122">
        <v>2</v>
      </c>
      <c r="I122" t="s">
        <v>210</v>
      </c>
      <c r="Q122" t="s">
        <v>322</v>
      </c>
      <c r="R122" t="s">
        <v>499</v>
      </c>
      <c r="T122" t="s">
        <v>225</v>
      </c>
      <c r="U122" t="s">
        <v>499</v>
      </c>
    </row>
    <row r="123" spans="1:21" x14ac:dyDescent="0.2">
      <c r="A123" s="2">
        <v>45931</v>
      </c>
      <c r="B123" s="2">
        <f t="shared" si="1"/>
        <v>45931</v>
      </c>
      <c r="C123" s="10">
        <v>0.45833333333333331</v>
      </c>
      <c r="D123" t="s">
        <v>222</v>
      </c>
      <c r="E123" t="s">
        <v>211</v>
      </c>
      <c r="F123">
        <v>10</v>
      </c>
      <c r="G123" t="s">
        <v>394</v>
      </c>
      <c r="I123" t="s">
        <v>270</v>
      </c>
      <c r="L123">
        <v>7</v>
      </c>
      <c r="M123" t="s">
        <v>498</v>
      </c>
      <c r="N123">
        <v>6027</v>
      </c>
      <c r="Q123" t="s">
        <v>239</v>
      </c>
      <c r="S123" t="s">
        <v>497</v>
      </c>
      <c r="T123" t="s">
        <v>225</v>
      </c>
      <c r="U123" t="s">
        <v>496</v>
      </c>
    </row>
    <row r="124" spans="1:21" ht="272" x14ac:dyDescent="0.2">
      <c r="A124" s="2">
        <v>45931</v>
      </c>
      <c r="B124" s="2">
        <f t="shared" si="1"/>
        <v>45931</v>
      </c>
      <c r="C124" s="10">
        <v>0.5</v>
      </c>
      <c r="D124" t="s">
        <v>333</v>
      </c>
      <c r="E124" t="s">
        <v>211</v>
      </c>
      <c r="F124">
        <v>7</v>
      </c>
      <c r="G124" t="s">
        <v>412</v>
      </c>
      <c r="I124" t="s">
        <v>419</v>
      </c>
      <c r="K124" s="11" t="s">
        <v>495</v>
      </c>
      <c r="L124">
        <v>10</v>
      </c>
      <c r="M124" s="11" t="s">
        <v>494</v>
      </c>
      <c r="N124">
        <v>6029</v>
      </c>
      <c r="Q124" t="s">
        <v>239</v>
      </c>
    </row>
    <row r="125" spans="1:21" x14ac:dyDescent="0.2">
      <c r="A125" s="2">
        <v>45931</v>
      </c>
      <c r="B125" s="2">
        <f t="shared" si="1"/>
        <v>45931</v>
      </c>
      <c r="C125" s="10">
        <v>0.54166666666666663</v>
      </c>
      <c r="D125" t="s">
        <v>221</v>
      </c>
      <c r="E125" t="s">
        <v>211</v>
      </c>
      <c r="F125">
        <v>13</v>
      </c>
      <c r="G125" t="s">
        <v>412</v>
      </c>
      <c r="I125" t="s">
        <v>270</v>
      </c>
      <c r="L125">
        <v>8</v>
      </c>
      <c r="M125" t="s">
        <v>493</v>
      </c>
      <c r="N125">
        <v>6032</v>
      </c>
      <c r="Q125" t="s">
        <v>239</v>
      </c>
    </row>
    <row r="126" spans="1:21" ht="356" x14ac:dyDescent="0.2">
      <c r="A126" s="2">
        <v>45932</v>
      </c>
      <c r="B126" s="2">
        <f t="shared" si="1"/>
        <v>45931</v>
      </c>
      <c r="C126" s="10">
        <v>0.44791666666666669</v>
      </c>
      <c r="D126" t="s">
        <v>223</v>
      </c>
      <c r="E126" t="s">
        <v>211</v>
      </c>
      <c r="F126">
        <v>14</v>
      </c>
      <c r="G126" t="s">
        <v>412</v>
      </c>
      <c r="I126" t="s">
        <v>270</v>
      </c>
      <c r="L126" t="s">
        <v>241</v>
      </c>
      <c r="M126" s="11" t="s">
        <v>492</v>
      </c>
      <c r="N126">
        <v>6054</v>
      </c>
      <c r="Q126" t="s">
        <v>239</v>
      </c>
    </row>
    <row r="127" spans="1:21" x14ac:dyDescent="0.2">
      <c r="A127" s="2">
        <v>45932</v>
      </c>
      <c r="B127" s="2">
        <f t="shared" si="1"/>
        <v>45931</v>
      </c>
      <c r="C127" s="10">
        <v>0.54166666666666663</v>
      </c>
      <c r="D127" t="s">
        <v>230</v>
      </c>
      <c r="E127" t="s">
        <v>211</v>
      </c>
      <c r="F127">
        <v>11</v>
      </c>
      <c r="I127" t="s">
        <v>213</v>
      </c>
      <c r="K127" t="s">
        <v>491</v>
      </c>
      <c r="Q127" t="s">
        <v>322</v>
      </c>
      <c r="R127" t="s">
        <v>491</v>
      </c>
    </row>
    <row r="128" spans="1:21" x14ac:dyDescent="0.2">
      <c r="A128" s="2">
        <v>45933</v>
      </c>
      <c r="B128" s="2">
        <f t="shared" si="1"/>
        <v>45931</v>
      </c>
      <c r="C128" s="10">
        <v>0.41666666666666669</v>
      </c>
      <c r="D128" t="s">
        <v>267</v>
      </c>
      <c r="E128" t="s">
        <v>211</v>
      </c>
      <c r="F128">
        <v>8</v>
      </c>
      <c r="G128" t="s">
        <v>87</v>
      </c>
      <c r="I128" t="s">
        <v>445</v>
      </c>
      <c r="L128">
        <v>10</v>
      </c>
      <c r="Q128" t="s">
        <v>239</v>
      </c>
    </row>
    <row r="129" spans="1:21" x14ac:dyDescent="0.2">
      <c r="A129" s="2">
        <v>45937</v>
      </c>
      <c r="B129" s="2">
        <f t="shared" si="1"/>
        <v>45931</v>
      </c>
      <c r="C129" s="10">
        <v>0.41666666666666669</v>
      </c>
      <c r="D129" t="s">
        <v>262</v>
      </c>
      <c r="E129" t="s">
        <v>211</v>
      </c>
      <c r="F129">
        <v>17</v>
      </c>
      <c r="Q129" t="s">
        <v>246</v>
      </c>
      <c r="R129" t="s">
        <v>490</v>
      </c>
    </row>
    <row r="130" spans="1:21" ht="409.6" x14ac:dyDescent="0.2">
      <c r="A130" s="2">
        <v>45937</v>
      </c>
      <c r="B130" s="2">
        <f t="shared" si="1"/>
        <v>45931</v>
      </c>
      <c r="C130" s="10">
        <v>0.45833333333333331</v>
      </c>
      <c r="D130" t="s">
        <v>333</v>
      </c>
      <c r="E130" t="s">
        <v>211</v>
      </c>
      <c r="F130">
        <v>7</v>
      </c>
      <c r="G130" t="s">
        <v>277</v>
      </c>
      <c r="I130" t="s">
        <v>213</v>
      </c>
      <c r="L130">
        <v>9</v>
      </c>
      <c r="M130" s="11" t="s">
        <v>489</v>
      </c>
      <c r="N130">
        <v>6150</v>
      </c>
      <c r="Q130" t="s">
        <v>239</v>
      </c>
      <c r="T130" t="s">
        <v>225</v>
      </c>
      <c r="U130" t="s">
        <v>486</v>
      </c>
    </row>
    <row r="131" spans="1:21" x14ac:dyDescent="0.2">
      <c r="A131" s="2">
        <v>45937</v>
      </c>
      <c r="B131" s="2">
        <f t="shared" ref="B131:B194" si="2">DATE(YEAR(A131), MONTH(A131), 1)</f>
        <v>45931</v>
      </c>
      <c r="C131" s="10">
        <v>0.625</v>
      </c>
      <c r="D131" t="s">
        <v>477</v>
      </c>
      <c r="E131" t="s">
        <v>211</v>
      </c>
      <c r="F131">
        <v>2</v>
      </c>
      <c r="G131" t="s">
        <v>46</v>
      </c>
      <c r="I131" t="s">
        <v>229</v>
      </c>
      <c r="K131" t="s">
        <v>488</v>
      </c>
      <c r="L131">
        <v>9</v>
      </c>
      <c r="M131" t="s">
        <v>487</v>
      </c>
      <c r="N131">
        <v>6175</v>
      </c>
      <c r="Q131" t="s">
        <v>239</v>
      </c>
      <c r="T131" t="s">
        <v>225</v>
      </c>
      <c r="U131" t="s">
        <v>486</v>
      </c>
    </row>
    <row r="132" spans="1:21" x14ac:dyDescent="0.2">
      <c r="A132" s="2">
        <v>45937</v>
      </c>
      <c r="B132" s="2">
        <f t="shared" si="2"/>
        <v>45931</v>
      </c>
      <c r="C132" s="10">
        <v>0.625</v>
      </c>
      <c r="D132" t="s">
        <v>230</v>
      </c>
      <c r="E132" t="s">
        <v>211</v>
      </c>
      <c r="F132">
        <v>11</v>
      </c>
      <c r="Q132" t="s">
        <v>246</v>
      </c>
      <c r="R132" t="s">
        <v>485</v>
      </c>
    </row>
    <row r="133" spans="1:21" x14ac:dyDescent="0.2">
      <c r="A133" s="2">
        <v>45938</v>
      </c>
      <c r="B133" s="2">
        <f t="shared" si="2"/>
        <v>45931</v>
      </c>
      <c r="C133" s="10">
        <v>0.41666666666666669</v>
      </c>
      <c r="D133" t="s">
        <v>251</v>
      </c>
      <c r="E133" t="s">
        <v>211</v>
      </c>
      <c r="F133">
        <v>17</v>
      </c>
      <c r="I133" t="s">
        <v>445</v>
      </c>
      <c r="K133" t="s">
        <v>484</v>
      </c>
      <c r="Q133" t="s">
        <v>237</v>
      </c>
    </row>
    <row r="134" spans="1:21" x14ac:dyDescent="0.2">
      <c r="A134" s="2">
        <v>45938</v>
      </c>
      <c r="B134" s="2">
        <f t="shared" si="2"/>
        <v>45931</v>
      </c>
      <c r="C134" s="10">
        <v>0.45833333333333331</v>
      </c>
      <c r="D134" t="s">
        <v>223</v>
      </c>
      <c r="E134" t="s">
        <v>211</v>
      </c>
      <c r="F134">
        <v>14</v>
      </c>
      <c r="G134" t="s">
        <v>70</v>
      </c>
      <c r="I134" t="s">
        <v>270</v>
      </c>
      <c r="L134">
        <v>10</v>
      </c>
      <c r="N134">
        <v>6211</v>
      </c>
      <c r="Q134" t="s">
        <v>239</v>
      </c>
    </row>
    <row r="135" spans="1:21" x14ac:dyDescent="0.2">
      <c r="A135" s="2">
        <v>45938</v>
      </c>
      <c r="B135" s="2">
        <f t="shared" si="2"/>
        <v>45931</v>
      </c>
      <c r="C135" s="10">
        <v>0.45833333333333331</v>
      </c>
      <c r="D135" t="s">
        <v>222</v>
      </c>
      <c r="E135" t="s">
        <v>211</v>
      </c>
      <c r="F135">
        <v>10</v>
      </c>
      <c r="G135" t="s">
        <v>412</v>
      </c>
      <c r="I135" t="s">
        <v>215</v>
      </c>
      <c r="L135">
        <v>8</v>
      </c>
      <c r="M135" t="s">
        <v>483</v>
      </c>
      <c r="N135">
        <v>6212</v>
      </c>
      <c r="Q135" t="s">
        <v>239</v>
      </c>
    </row>
    <row r="136" spans="1:21" x14ac:dyDescent="0.2">
      <c r="A136" s="2">
        <v>45938</v>
      </c>
      <c r="B136" s="2">
        <f t="shared" si="2"/>
        <v>45931</v>
      </c>
      <c r="C136" s="10">
        <v>0.54166666666666663</v>
      </c>
      <c r="D136" t="s">
        <v>221</v>
      </c>
      <c r="E136" t="s">
        <v>211</v>
      </c>
      <c r="F136">
        <v>13</v>
      </c>
      <c r="G136" t="s">
        <v>277</v>
      </c>
      <c r="I136" t="s">
        <v>229</v>
      </c>
      <c r="L136">
        <v>9</v>
      </c>
      <c r="N136">
        <v>6219</v>
      </c>
      <c r="Q136" t="s">
        <v>239</v>
      </c>
    </row>
    <row r="137" spans="1:21" x14ac:dyDescent="0.2">
      <c r="A137" s="2">
        <v>45939</v>
      </c>
      <c r="B137" s="2">
        <f t="shared" si="2"/>
        <v>45931</v>
      </c>
      <c r="C137" s="10">
        <v>0.66666666666666663</v>
      </c>
      <c r="D137" t="s">
        <v>212</v>
      </c>
      <c r="E137" t="s">
        <v>211</v>
      </c>
      <c r="F137">
        <v>13</v>
      </c>
      <c r="Q137" t="s">
        <v>246</v>
      </c>
      <c r="R137" t="s">
        <v>482</v>
      </c>
    </row>
    <row r="138" spans="1:21" x14ac:dyDescent="0.2">
      <c r="A138" s="2">
        <v>45940</v>
      </c>
      <c r="B138" s="2">
        <f t="shared" si="2"/>
        <v>45931</v>
      </c>
      <c r="C138" s="10">
        <v>0.45833333333333331</v>
      </c>
      <c r="D138" t="s">
        <v>238</v>
      </c>
      <c r="E138" t="s">
        <v>211</v>
      </c>
      <c r="F138">
        <v>16</v>
      </c>
      <c r="G138" t="s">
        <v>473</v>
      </c>
      <c r="I138" t="s">
        <v>213</v>
      </c>
      <c r="K138" t="s">
        <v>481</v>
      </c>
      <c r="L138">
        <v>10</v>
      </c>
      <c r="M138" t="s">
        <v>480</v>
      </c>
      <c r="N138">
        <v>6269</v>
      </c>
      <c r="Q138" t="s">
        <v>239</v>
      </c>
    </row>
    <row r="139" spans="1:21" x14ac:dyDescent="0.2">
      <c r="A139" s="2">
        <v>45940</v>
      </c>
      <c r="B139" s="2">
        <f t="shared" si="2"/>
        <v>45931</v>
      </c>
      <c r="C139" s="10">
        <v>0.64583333333333337</v>
      </c>
      <c r="D139" t="s">
        <v>231</v>
      </c>
      <c r="E139" t="s">
        <v>211</v>
      </c>
      <c r="G139" t="s">
        <v>231</v>
      </c>
    </row>
    <row r="140" spans="1:21" x14ac:dyDescent="0.2">
      <c r="A140" s="2">
        <v>45944</v>
      </c>
      <c r="B140" s="2">
        <f t="shared" si="2"/>
        <v>45931</v>
      </c>
      <c r="C140" s="10">
        <v>0.41666666666666669</v>
      </c>
      <c r="D140" t="s">
        <v>262</v>
      </c>
      <c r="E140" t="s">
        <v>211</v>
      </c>
      <c r="F140">
        <v>17</v>
      </c>
      <c r="G140" t="s">
        <v>473</v>
      </c>
      <c r="I140" t="s">
        <v>229</v>
      </c>
      <c r="L140">
        <v>10</v>
      </c>
      <c r="M140" t="s">
        <v>479</v>
      </c>
      <c r="N140">
        <v>6289</v>
      </c>
      <c r="Q140" t="s">
        <v>239</v>
      </c>
    </row>
    <row r="141" spans="1:21" x14ac:dyDescent="0.2">
      <c r="A141" s="2">
        <v>45944</v>
      </c>
      <c r="B141" s="2">
        <f t="shared" si="2"/>
        <v>45931</v>
      </c>
      <c r="C141" s="10">
        <v>0.625</v>
      </c>
      <c r="D141" t="s">
        <v>230</v>
      </c>
      <c r="E141" t="s">
        <v>211</v>
      </c>
      <c r="F141">
        <v>11</v>
      </c>
      <c r="Q141" t="s">
        <v>274</v>
      </c>
      <c r="R141" t="s">
        <v>478</v>
      </c>
    </row>
    <row r="142" spans="1:21" ht="204" x14ac:dyDescent="0.2">
      <c r="A142" s="2">
        <v>45944</v>
      </c>
      <c r="B142" s="2">
        <f t="shared" si="2"/>
        <v>45931</v>
      </c>
      <c r="C142" s="10">
        <v>0.625</v>
      </c>
      <c r="D142" t="s">
        <v>477</v>
      </c>
      <c r="E142" t="s">
        <v>211</v>
      </c>
      <c r="F142">
        <v>2</v>
      </c>
      <c r="K142" t="s">
        <v>476</v>
      </c>
      <c r="Q142" t="s">
        <v>246</v>
      </c>
      <c r="R142" s="11" t="s">
        <v>475</v>
      </c>
    </row>
    <row r="143" spans="1:21" x14ac:dyDescent="0.2">
      <c r="A143" s="2">
        <v>45945</v>
      </c>
      <c r="B143" s="2">
        <f t="shared" si="2"/>
        <v>45931</v>
      </c>
      <c r="C143" s="10">
        <v>0.54166666666666663</v>
      </c>
      <c r="D143" t="s">
        <v>221</v>
      </c>
      <c r="E143" t="s">
        <v>211</v>
      </c>
      <c r="F143">
        <v>13</v>
      </c>
      <c r="G143" t="s">
        <v>70</v>
      </c>
      <c r="I143" t="s">
        <v>270</v>
      </c>
      <c r="L143">
        <v>8</v>
      </c>
      <c r="M143" t="s">
        <v>474</v>
      </c>
      <c r="Q143" t="s">
        <v>239</v>
      </c>
    </row>
    <row r="144" spans="1:21" x14ac:dyDescent="0.2">
      <c r="A144" s="2">
        <v>45946</v>
      </c>
      <c r="B144" s="2">
        <f t="shared" si="2"/>
        <v>45931</v>
      </c>
      <c r="C144" s="10">
        <v>0.66666666666666663</v>
      </c>
      <c r="D144" t="s">
        <v>212</v>
      </c>
      <c r="E144" t="s">
        <v>211</v>
      </c>
      <c r="F144">
        <v>13</v>
      </c>
      <c r="G144" t="s">
        <v>473</v>
      </c>
      <c r="I144" t="s">
        <v>210</v>
      </c>
      <c r="L144">
        <v>10</v>
      </c>
      <c r="M144" t="s">
        <v>472</v>
      </c>
      <c r="N144">
        <v>6338</v>
      </c>
      <c r="Q144" t="s">
        <v>239</v>
      </c>
      <c r="T144" t="s">
        <v>225</v>
      </c>
      <c r="U144" t="s">
        <v>471</v>
      </c>
    </row>
    <row r="145" spans="1:22" x14ac:dyDescent="0.2">
      <c r="A145" s="2">
        <v>45947</v>
      </c>
      <c r="B145" s="2">
        <f t="shared" si="2"/>
        <v>45931</v>
      </c>
      <c r="C145" s="10">
        <v>0.45833333333333331</v>
      </c>
      <c r="D145" t="s">
        <v>223</v>
      </c>
      <c r="E145" t="s">
        <v>211</v>
      </c>
      <c r="F145">
        <v>14</v>
      </c>
      <c r="G145" t="s">
        <v>77</v>
      </c>
      <c r="I145" t="s">
        <v>270</v>
      </c>
      <c r="L145">
        <v>9</v>
      </c>
      <c r="M145" t="s">
        <v>470</v>
      </c>
      <c r="N145">
        <v>6348</v>
      </c>
      <c r="Q145" t="s">
        <v>239</v>
      </c>
    </row>
    <row r="146" spans="1:22" x14ac:dyDescent="0.2">
      <c r="A146" s="2">
        <v>45947</v>
      </c>
      <c r="B146" s="2">
        <f t="shared" si="2"/>
        <v>45931</v>
      </c>
      <c r="C146" s="10">
        <v>0.625</v>
      </c>
      <c r="D146" t="s">
        <v>230</v>
      </c>
      <c r="E146" t="s">
        <v>211</v>
      </c>
      <c r="F146">
        <v>11</v>
      </c>
      <c r="G146" t="s">
        <v>46</v>
      </c>
      <c r="I146" t="s">
        <v>295</v>
      </c>
      <c r="L146">
        <v>7</v>
      </c>
      <c r="Q146" t="s">
        <v>239</v>
      </c>
    </row>
    <row r="147" spans="1:22" x14ac:dyDescent="0.2">
      <c r="A147" s="2">
        <v>45947</v>
      </c>
      <c r="B147" s="2">
        <f t="shared" si="2"/>
        <v>45931</v>
      </c>
      <c r="C147" s="10">
        <v>0.66666666666666663</v>
      </c>
      <c r="D147" t="s">
        <v>214</v>
      </c>
      <c r="E147" t="s">
        <v>211</v>
      </c>
      <c r="F147">
        <v>8</v>
      </c>
      <c r="G147" t="s">
        <v>216</v>
      </c>
      <c r="I147" t="s">
        <v>210</v>
      </c>
      <c r="L147" t="s">
        <v>241</v>
      </c>
      <c r="Q147" t="s">
        <v>239</v>
      </c>
    </row>
    <row r="148" spans="1:22" x14ac:dyDescent="0.2">
      <c r="A148" s="2">
        <v>45951</v>
      </c>
      <c r="B148" s="2">
        <f t="shared" si="2"/>
        <v>45931</v>
      </c>
      <c r="C148" s="10">
        <v>0.41666666666666669</v>
      </c>
      <c r="D148" t="s">
        <v>247</v>
      </c>
      <c r="E148" t="s">
        <v>211</v>
      </c>
      <c r="F148">
        <v>11</v>
      </c>
      <c r="G148" t="s">
        <v>216</v>
      </c>
      <c r="I148" t="s">
        <v>295</v>
      </c>
      <c r="L148" t="s">
        <v>241</v>
      </c>
      <c r="Q148" t="s">
        <v>239</v>
      </c>
    </row>
    <row r="149" spans="1:22" x14ac:dyDescent="0.2">
      <c r="A149" s="2">
        <v>45951</v>
      </c>
      <c r="B149" s="2">
        <f t="shared" si="2"/>
        <v>45931</v>
      </c>
      <c r="C149" s="10">
        <v>0.58333333333333337</v>
      </c>
      <c r="D149" t="s">
        <v>228</v>
      </c>
      <c r="E149" t="s">
        <v>211</v>
      </c>
      <c r="F149">
        <v>10</v>
      </c>
      <c r="G149" t="s">
        <v>216</v>
      </c>
      <c r="I149" t="s">
        <v>295</v>
      </c>
      <c r="L149" t="s">
        <v>241</v>
      </c>
      <c r="Q149" t="s">
        <v>239</v>
      </c>
    </row>
    <row r="150" spans="1:22" ht="409.6" x14ac:dyDescent="0.2">
      <c r="A150" s="2">
        <v>45951</v>
      </c>
      <c r="B150" s="2">
        <f t="shared" si="2"/>
        <v>45931</v>
      </c>
      <c r="C150" s="10">
        <v>0.625</v>
      </c>
      <c r="D150" t="s">
        <v>230</v>
      </c>
      <c r="E150" t="s">
        <v>211</v>
      </c>
      <c r="F150">
        <v>11</v>
      </c>
      <c r="G150" t="s">
        <v>412</v>
      </c>
      <c r="I150" t="s">
        <v>213</v>
      </c>
      <c r="L150">
        <v>6</v>
      </c>
      <c r="M150" s="11" t="s">
        <v>469</v>
      </c>
      <c r="N150">
        <v>6397</v>
      </c>
      <c r="Q150" t="s">
        <v>239</v>
      </c>
    </row>
    <row r="151" spans="1:22" x14ac:dyDescent="0.2">
      <c r="A151" s="2">
        <v>45952</v>
      </c>
      <c r="B151" s="2">
        <f t="shared" si="2"/>
        <v>45931</v>
      </c>
      <c r="C151" s="10">
        <v>0.41666666666666669</v>
      </c>
      <c r="D151" t="s">
        <v>251</v>
      </c>
      <c r="E151" t="s">
        <v>211</v>
      </c>
      <c r="F151">
        <v>17</v>
      </c>
      <c r="I151" t="s">
        <v>215</v>
      </c>
      <c r="Q151" t="s">
        <v>237</v>
      </c>
    </row>
    <row r="152" spans="1:22" x14ac:dyDescent="0.2">
      <c r="A152" s="2">
        <v>45952</v>
      </c>
      <c r="B152" s="2">
        <f t="shared" si="2"/>
        <v>45931</v>
      </c>
      <c r="C152" s="10">
        <v>0.45833333333333331</v>
      </c>
      <c r="D152" t="s">
        <v>222</v>
      </c>
      <c r="E152" t="s">
        <v>211</v>
      </c>
      <c r="F152">
        <v>10</v>
      </c>
      <c r="G152" t="s">
        <v>277</v>
      </c>
      <c r="I152" t="s">
        <v>295</v>
      </c>
      <c r="L152">
        <v>9</v>
      </c>
      <c r="Q152" t="s">
        <v>239</v>
      </c>
    </row>
    <row r="153" spans="1:22" x14ac:dyDescent="0.2">
      <c r="A153" s="2">
        <v>45952</v>
      </c>
      <c r="B153" s="2">
        <f t="shared" si="2"/>
        <v>45931</v>
      </c>
      <c r="C153" s="10">
        <v>0.54166666666666663</v>
      </c>
      <c r="D153" t="s">
        <v>221</v>
      </c>
      <c r="E153" t="s">
        <v>211</v>
      </c>
      <c r="F153">
        <v>13</v>
      </c>
      <c r="G153" t="s">
        <v>77</v>
      </c>
      <c r="I153" t="s">
        <v>270</v>
      </c>
      <c r="L153">
        <v>9</v>
      </c>
      <c r="M153" t="s">
        <v>468</v>
      </c>
      <c r="N153">
        <v>6410</v>
      </c>
      <c r="Q153" t="s">
        <v>239</v>
      </c>
    </row>
    <row r="154" spans="1:22" x14ac:dyDescent="0.2">
      <c r="A154" s="2">
        <v>45952</v>
      </c>
      <c r="B154" s="2">
        <f t="shared" si="2"/>
        <v>45931</v>
      </c>
      <c r="C154" s="10">
        <v>0.5625</v>
      </c>
      <c r="D154" t="s">
        <v>223</v>
      </c>
      <c r="E154" t="s">
        <v>211</v>
      </c>
      <c r="F154">
        <v>14</v>
      </c>
      <c r="G154" t="s">
        <v>73</v>
      </c>
      <c r="I154" t="s">
        <v>215</v>
      </c>
      <c r="K154" t="s">
        <v>467</v>
      </c>
      <c r="L154">
        <v>9</v>
      </c>
      <c r="M154" t="s">
        <v>466</v>
      </c>
      <c r="N154">
        <v>6411</v>
      </c>
      <c r="Q154" t="s">
        <v>239</v>
      </c>
    </row>
    <row r="155" spans="1:22" x14ac:dyDescent="0.2">
      <c r="A155" s="2">
        <v>45953</v>
      </c>
      <c r="B155" s="2">
        <f t="shared" si="2"/>
        <v>45931</v>
      </c>
      <c r="C155" s="10">
        <v>0.41666666666666669</v>
      </c>
      <c r="D155" t="s">
        <v>220</v>
      </c>
      <c r="E155" t="s">
        <v>211</v>
      </c>
      <c r="F155">
        <v>7</v>
      </c>
      <c r="G155" t="s">
        <v>216</v>
      </c>
      <c r="I155" t="s">
        <v>295</v>
      </c>
      <c r="L155" t="s">
        <v>241</v>
      </c>
      <c r="Q155" t="s">
        <v>239</v>
      </c>
    </row>
    <row r="156" spans="1:22" x14ac:dyDescent="0.2">
      <c r="A156" s="2">
        <v>45953</v>
      </c>
      <c r="B156" s="2">
        <f t="shared" si="2"/>
        <v>45931</v>
      </c>
      <c r="C156" s="10">
        <v>0.41666666666666669</v>
      </c>
      <c r="D156" t="s">
        <v>219</v>
      </c>
      <c r="E156" t="s">
        <v>211</v>
      </c>
      <c r="F156">
        <v>9</v>
      </c>
      <c r="G156" t="s">
        <v>216</v>
      </c>
      <c r="I156" t="s">
        <v>215</v>
      </c>
      <c r="L156" t="s">
        <v>241</v>
      </c>
      <c r="Q156" t="s">
        <v>239</v>
      </c>
      <c r="V156" t="s">
        <v>465</v>
      </c>
    </row>
    <row r="157" spans="1:22" x14ac:dyDescent="0.2">
      <c r="A157" s="2">
        <v>45954</v>
      </c>
      <c r="B157" s="2">
        <f t="shared" si="2"/>
        <v>45931</v>
      </c>
      <c r="C157" s="10">
        <v>0.45833333333333331</v>
      </c>
      <c r="D157" t="s">
        <v>238</v>
      </c>
      <c r="E157" t="s">
        <v>211</v>
      </c>
      <c r="F157">
        <v>16</v>
      </c>
      <c r="G157" t="s">
        <v>420</v>
      </c>
      <c r="I157" t="s">
        <v>445</v>
      </c>
      <c r="L157">
        <v>10</v>
      </c>
      <c r="Q157" t="s">
        <v>239</v>
      </c>
    </row>
    <row r="158" spans="1:22" ht="204" x14ac:dyDescent="0.2">
      <c r="A158" s="2">
        <v>45954</v>
      </c>
      <c r="B158" s="2">
        <f t="shared" si="2"/>
        <v>45931</v>
      </c>
      <c r="C158" s="10">
        <v>0.66666666666666663</v>
      </c>
      <c r="D158" t="s">
        <v>214</v>
      </c>
      <c r="E158" t="s">
        <v>211</v>
      </c>
      <c r="F158">
        <v>8</v>
      </c>
      <c r="G158" t="s">
        <v>394</v>
      </c>
      <c r="I158" t="s">
        <v>229</v>
      </c>
      <c r="L158">
        <v>10</v>
      </c>
      <c r="M158" s="11" t="s">
        <v>464</v>
      </c>
      <c r="N158">
        <v>6454</v>
      </c>
      <c r="Q158" t="s">
        <v>239</v>
      </c>
    </row>
    <row r="159" spans="1:22" x14ac:dyDescent="0.2">
      <c r="A159" s="2">
        <v>45958</v>
      </c>
      <c r="B159" s="2">
        <f t="shared" si="2"/>
        <v>45931</v>
      </c>
      <c r="C159" s="10">
        <v>0.58333333333333337</v>
      </c>
      <c r="D159" t="s">
        <v>228</v>
      </c>
      <c r="E159" t="s">
        <v>211</v>
      </c>
      <c r="F159">
        <v>10</v>
      </c>
      <c r="G159" t="s">
        <v>394</v>
      </c>
      <c r="I159" t="s">
        <v>229</v>
      </c>
      <c r="L159">
        <v>10</v>
      </c>
      <c r="M159" t="s">
        <v>463</v>
      </c>
      <c r="N159">
        <v>6476</v>
      </c>
      <c r="Q159" t="s">
        <v>239</v>
      </c>
    </row>
    <row r="160" spans="1:22" ht="102" x14ac:dyDescent="0.2">
      <c r="A160" s="2">
        <v>45958</v>
      </c>
      <c r="B160" s="2">
        <f t="shared" si="2"/>
        <v>45931</v>
      </c>
      <c r="C160" s="10">
        <v>0.625</v>
      </c>
      <c r="D160" t="s">
        <v>230</v>
      </c>
      <c r="E160" t="s">
        <v>211</v>
      </c>
      <c r="F160">
        <v>11</v>
      </c>
      <c r="G160" t="s">
        <v>277</v>
      </c>
      <c r="I160" t="s">
        <v>210</v>
      </c>
      <c r="K160" t="s">
        <v>462</v>
      </c>
      <c r="L160">
        <v>7</v>
      </c>
      <c r="M160" s="11" t="s">
        <v>461</v>
      </c>
      <c r="Q160" t="s">
        <v>239</v>
      </c>
    </row>
    <row r="161" spans="1:22" x14ac:dyDescent="0.2">
      <c r="A161" s="2">
        <v>45959</v>
      </c>
      <c r="B161" s="2">
        <f t="shared" si="2"/>
        <v>45931</v>
      </c>
      <c r="C161" s="10">
        <v>0.45833333333333331</v>
      </c>
      <c r="D161" t="s">
        <v>222</v>
      </c>
      <c r="E161" t="s">
        <v>211</v>
      </c>
      <c r="F161">
        <v>10</v>
      </c>
      <c r="I161" t="s">
        <v>270</v>
      </c>
      <c r="Q161" t="s">
        <v>253</v>
      </c>
      <c r="R161" t="s">
        <v>460</v>
      </c>
    </row>
    <row r="162" spans="1:22" x14ac:dyDescent="0.2">
      <c r="A162" s="2">
        <v>45959</v>
      </c>
      <c r="B162" s="2">
        <f t="shared" si="2"/>
        <v>45931</v>
      </c>
      <c r="C162" s="10">
        <v>0.54166666666666663</v>
      </c>
      <c r="D162" t="s">
        <v>221</v>
      </c>
      <c r="E162" t="s">
        <v>211</v>
      </c>
      <c r="F162">
        <v>13</v>
      </c>
      <c r="G162" t="s">
        <v>73</v>
      </c>
      <c r="I162" t="s">
        <v>270</v>
      </c>
      <c r="K162" t="s">
        <v>232</v>
      </c>
      <c r="L162">
        <v>8</v>
      </c>
      <c r="M162" t="s">
        <v>459</v>
      </c>
      <c r="N162">
        <v>6487</v>
      </c>
      <c r="Q162" t="s">
        <v>239</v>
      </c>
    </row>
    <row r="163" spans="1:22" x14ac:dyDescent="0.2">
      <c r="A163" s="2">
        <v>45959</v>
      </c>
      <c r="B163" s="2">
        <f t="shared" si="2"/>
        <v>45931</v>
      </c>
      <c r="C163" s="10">
        <v>0.625</v>
      </c>
      <c r="D163" t="s">
        <v>333</v>
      </c>
      <c r="E163" t="s">
        <v>211</v>
      </c>
      <c r="F163">
        <v>7</v>
      </c>
      <c r="G163" t="s">
        <v>70</v>
      </c>
      <c r="I163" t="s">
        <v>229</v>
      </c>
      <c r="L163">
        <v>10</v>
      </c>
      <c r="M163" t="s">
        <v>458</v>
      </c>
      <c r="N163">
        <v>6497</v>
      </c>
      <c r="Q163" t="s">
        <v>239</v>
      </c>
    </row>
    <row r="164" spans="1:22" x14ac:dyDescent="0.2">
      <c r="A164" s="2">
        <v>45960</v>
      </c>
      <c r="B164" s="2">
        <f t="shared" si="2"/>
        <v>45931</v>
      </c>
      <c r="C164" s="10">
        <v>0.41666666666666669</v>
      </c>
      <c r="D164" t="s">
        <v>219</v>
      </c>
      <c r="E164" t="s">
        <v>211</v>
      </c>
      <c r="F164">
        <v>9</v>
      </c>
      <c r="G164" t="s">
        <v>394</v>
      </c>
      <c r="I164" t="s">
        <v>270</v>
      </c>
      <c r="L164">
        <v>9</v>
      </c>
      <c r="Q164" t="s">
        <v>239</v>
      </c>
    </row>
    <row r="165" spans="1:22" x14ac:dyDescent="0.2">
      <c r="A165" s="2">
        <v>45960</v>
      </c>
      <c r="B165" s="2">
        <f t="shared" si="2"/>
        <v>45931</v>
      </c>
      <c r="C165" s="10">
        <v>0.66666666666666663</v>
      </c>
      <c r="D165" t="s">
        <v>212</v>
      </c>
      <c r="E165" t="s">
        <v>211</v>
      </c>
      <c r="F165">
        <v>13</v>
      </c>
      <c r="Q165" t="s">
        <v>253</v>
      </c>
      <c r="R165" t="s">
        <v>457</v>
      </c>
    </row>
    <row r="166" spans="1:22" x14ac:dyDescent="0.2">
      <c r="A166" s="2">
        <v>45961</v>
      </c>
      <c r="B166" s="2">
        <f t="shared" si="2"/>
        <v>45931</v>
      </c>
      <c r="C166" s="10">
        <v>0.66666666666666663</v>
      </c>
      <c r="D166" t="s">
        <v>214</v>
      </c>
      <c r="E166" t="s">
        <v>211</v>
      </c>
      <c r="F166">
        <v>8</v>
      </c>
      <c r="G166" t="s">
        <v>277</v>
      </c>
      <c r="I166" t="s">
        <v>419</v>
      </c>
      <c r="L166">
        <v>10</v>
      </c>
      <c r="M166" t="s">
        <v>456</v>
      </c>
      <c r="N166">
        <v>6519</v>
      </c>
      <c r="Q166" t="s">
        <v>239</v>
      </c>
      <c r="T166" t="s">
        <v>225</v>
      </c>
      <c r="U166" t="s">
        <v>455</v>
      </c>
    </row>
    <row r="167" spans="1:22" x14ac:dyDescent="0.2">
      <c r="A167" s="2">
        <v>45965</v>
      </c>
      <c r="B167" s="2">
        <f t="shared" si="2"/>
        <v>45962</v>
      </c>
      <c r="C167" s="10">
        <v>0.41666666666666669</v>
      </c>
      <c r="D167" t="s">
        <v>247</v>
      </c>
      <c r="E167" t="s">
        <v>211</v>
      </c>
      <c r="F167">
        <v>11</v>
      </c>
      <c r="G167" t="s">
        <v>394</v>
      </c>
      <c r="I167" t="s">
        <v>270</v>
      </c>
      <c r="L167">
        <v>9</v>
      </c>
      <c r="M167" t="s">
        <v>454</v>
      </c>
      <c r="N167">
        <v>6570</v>
      </c>
      <c r="Q167" t="s">
        <v>239</v>
      </c>
    </row>
    <row r="168" spans="1:22" ht="388" x14ac:dyDescent="0.2">
      <c r="A168" s="2">
        <v>45965</v>
      </c>
      <c r="B168" s="2">
        <f t="shared" si="2"/>
        <v>45962</v>
      </c>
      <c r="C168" s="10">
        <v>0.70833333333333337</v>
      </c>
      <c r="D168" t="s">
        <v>228</v>
      </c>
      <c r="E168" t="s">
        <v>211</v>
      </c>
      <c r="F168">
        <v>10</v>
      </c>
      <c r="G168" t="s">
        <v>412</v>
      </c>
      <c r="I168" t="s">
        <v>295</v>
      </c>
      <c r="L168">
        <v>7</v>
      </c>
      <c r="M168" s="11" t="s">
        <v>453</v>
      </c>
      <c r="N168">
        <v>6601</v>
      </c>
      <c r="Q168" t="s">
        <v>239</v>
      </c>
    </row>
    <row r="169" spans="1:22" x14ac:dyDescent="0.2">
      <c r="A169" s="2">
        <v>45966</v>
      </c>
      <c r="B169" s="2">
        <f t="shared" si="2"/>
        <v>45962</v>
      </c>
      <c r="C169" s="10">
        <v>0.45833333333333331</v>
      </c>
      <c r="D169" t="s">
        <v>223</v>
      </c>
      <c r="E169" t="s">
        <v>211</v>
      </c>
      <c r="F169">
        <v>14</v>
      </c>
      <c r="G169" t="s">
        <v>87</v>
      </c>
      <c r="I169" t="s">
        <v>215</v>
      </c>
      <c r="K169" t="s">
        <v>452</v>
      </c>
      <c r="L169">
        <v>9</v>
      </c>
      <c r="M169" t="s">
        <v>451</v>
      </c>
      <c r="N169">
        <v>6609</v>
      </c>
      <c r="Q169" t="s">
        <v>239</v>
      </c>
    </row>
    <row r="170" spans="1:22" ht="136" x14ac:dyDescent="0.2">
      <c r="A170" s="2">
        <v>45966</v>
      </c>
      <c r="B170" s="2">
        <f t="shared" si="2"/>
        <v>45962</v>
      </c>
      <c r="C170" s="10">
        <v>0.45833333333333331</v>
      </c>
      <c r="D170" t="s">
        <v>222</v>
      </c>
      <c r="E170" t="s">
        <v>211</v>
      </c>
      <c r="F170">
        <v>10</v>
      </c>
      <c r="G170" t="s">
        <v>70</v>
      </c>
      <c r="I170" t="s">
        <v>295</v>
      </c>
      <c r="L170">
        <v>8</v>
      </c>
      <c r="M170" s="11" t="s">
        <v>450</v>
      </c>
      <c r="N170">
        <v>6608</v>
      </c>
      <c r="Q170" t="s">
        <v>239</v>
      </c>
    </row>
    <row r="171" spans="1:22" x14ac:dyDescent="0.2">
      <c r="A171" s="2">
        <v>45966</v>
      </c>
      <c r="B171" s="2">
        <f t="shared" si="2"/>
        <v>45962</v>
      </c>
      <c r="C171" s="10">
        <v>0.625</v>
      </c>
      <c r="D171" t="s">
        <v>333</v>
      </c>
      <c r="E171" t="s">
        <v>211</v>
      </c>
      <c r="F171">
        <v>7</v>
      </c>
      <c r="Q171" t="s">
        <v>246</v>
      </c>
      <c r="R171" t="s">
        <v>449</v>
      </c>
    </row>
    <row r="172" spans="1:22" x14ac:dyDescent="0.2">
      <c r="A172" s="2">
        <v>45966</v>
      </c>
      <c r="B172" s="2">
        <f t="shared" si="2"/>
        <v>45962</v>
      </c>
      <c r="C172" s="10">
        <v>0.625</v>
      </c>
      <c r="D172" t="s">
        <v>230</v>
      </c>
      <c r="E172" t="s">
        <v>211</v>
      </c>
      <c r="F172">
        <v>11</v>
      </c>
      <c r="G172" t="s">
        <v>77</v>
      </c>
      <c r="I172" t="s">
        <v>215</v>
      </c>
      <c r="L172">
        <v>7</v>
      </c>
      <c r="M172" t="s">
        <v>448</v>
      </c>
      <c r="N172">
        <v>6616</v>
      </c>
      <c r="Q172" t="s">
        <v>239</v>
      </c>
    </row>
    <row r="173" spans="1:22" x14ac:dyDescent="0.2">
      <c r="A173" s="2">
        <v>45967</v>
      </c>
      <c r="B173" s="2">
        <f t="shared" si="2"/>
        <v>45962</v>
      </c>
      <c r="C173" s="10">
        <v>0.41666666666666669</v>
      </c>
      <c r="D173" t="s">
        <v>220</v>
      </c>
      <c r="E173" t="s">
        <v>211</v>
      </c>
      <c r="F173">
        <v>7</v>
      </c>
      <c r="G173" t="s">
        <v>394</v>
      </c>
      <c r="I173" t="s">
        <v>295</v>
      </c>
      <c r="L173" t="s">
        <v>241</v>
      </c>
      <c r="Q173" t="s">
        <v>239</v>
      </c>
    </row>
    <row r="174" spans="1:22" x14ac:dyDescent="0.2">
      <c r="A174" s="2">
        <v>45967</v>
      </c>
      <c r="B174" s="2">
        <f t="shared" si="2"/>
        <v>45962</v>
      </c>
      <c r="C174" s="10">
        <v>0.4375</v>
      </c>
      <c r="D174" t="s">
        <v>219</v>
      </c>
      <c r="E174" t="s">
        <v>211</v>
      </c>
      <c r="F174">
        <v>9</v>
      </c>
      <c r="G174" t="s">
        <v>412</v>
      </c>
      <c r="I174" t="s">
        <v>215</v>
      </c>
      <c r="L174">
        <v>9</v>
      </c>
      <c r="M174" t="s">
        <v>447</v>
      </c>
      <c r="N174">
        <v>6626</v>
      </c>
      <c r="Q174" t="s">
        <v>239</v>
      </c>
      <c r="V174" t="s">
        <v>446</v>
      </c>
    </row>
    <row r="175" spans="1:22" x14ac:dyDescent="0.2">
      <c r="A175" s="2">
        <v>45967</v>
      </c>
      <c r="B175" s="2">
        <f t="shared" si="2"/>
        <v>45962</v>
      </c>
      <c r="C175" s="10">
        <v>0.66666666666666663</v>
      </c>
      <c r="D175" t="s">
        <v>212</v>
      </c>
      <c r="E175" t="s">
        <v>211</v>
      </c>
      <c r="F175">
        <v>13</v>
      </c>
      <c r="I175" t="s">
        <v>295</v>
      </c>
      <c r="Q175" t="s">
        <v>237</v>
      </c>
    </row>
    <row r="176" spans="1:22" x14ac:dyDescent="0.2">
      <c r="A176" s="2">
        <v>45968</v>
      </c>
      <c r="B176" s="2">
        <f t="shared" si="2"/>
        <v>45962</v>
      </c>
      <c r="C176" s="10">
        <v>0.45833333333333331</v>
      </c>
      <c r="D176" t="s">
        <v>238</v>
      </c>
      <c r="E176" t="s">
        <v>211</v>
      </c>
      <c r="F176">
        <v>16</v>
      </c>
      <c r="G176" t="s">
        <v>282</v>
      </c>
      <c r="I176" t="s">
        <v>445</v>
      </c>
      <c r="L176">
        <v>8</v>
      </c>
      <c r="Q176" t="s">
        <v>239</v>
      </c>
    </row>
    <row r="177" spans="1:22" x14ac:dyDescent="0.2">
      <c r="A177" s="2">
        <v>45968</v>
      </c>
      <c r="B177" s="2">
        <f t="shared" si="2"/>
        <v>45962</v>
      </c>
      <c r="C177" s="10">
        <v>0.66666666666666663</v>
      </c>
      <c r="D177" t="s">
        <v>214</v>
      </c>
      <c r="E177" t="s">
        <v>211</v>
      </c>
      <c r="F177">
        <v>8</v>
      </c>
      <c r="I177" t="s">
        <v>419</v>
      </c>
      <c r="Q177" t="s">
        <v>353</v>
      </c>
      <c r="R177" t="s">
        <v>444</v>
      </c>
    </row>
    <row r="178" spans="1:22" x14ac:dyDescent="0.2">
      <c r="A178" s="2">
        <v>45972</v>
      </c>
      <c r="B178" s="2">
        <f t="shared" si="2"/>
        <v>45962</v>
      </c>
      <c r="C178" s="10">
        <v>0.41666666666666669</v>
      </c>
      <c r="D178" t="s">
        <v>247</v>
      </c>
      <c r="E178" t="s">
        <v>211</v>
      </c>
      <c r="F178">
        <v>11</v>
      </c>
      <c r="G178" t="s">
        <v>412</v>
      </c>
      <c r="I178" t="s">
        <v>270</v>
      </c>
      <c r="L178">
        <v>9</v>
      </c>
      <c r="M178" t="s">
        <v>443</v>
      </c>
      <c r="N178">
        <v>6727</v>
      </c>
      <c r="Q178" t="s">
        <v>239</v>
      </c>
    </row>
    <row r="179" spans="1:22" x14ac:dyDescent="0.2">
      <c r="A179" s="2">
        <v>45972</v>
      </c>
      <c r="B179" s="2">
        <f t="shared" si="2"/>
        <v>45962</v>
      </c>
      <c r="C179" s="10">
        <v>0.41666666666666669</v>
      </c>
      <c r="D179" t="s">
        <v>262</v>
      </c>
      <c r="E179" t="s">
        <v>211</v>
      </c>
      <c r="F179">
        <v>17</v>
      </c>
      <c r="G179" t="s">
        <v>420</v>
      </c>
      <c r="I179" t="s">
        <v>210</v>
      </c>
      <c r="K179" t="s">
        <v>442</v>
      </c>
      <c r="L179" t="s">
        <v>241</v>
      </c>
      <c r="Q179" t="s">
        <v>239</v>
      </c>
    </row>
    <row r="180" spans="1:22" x14ac:dyDescent="0.2">
      <c r="A180" s="2">
        <v>45972</v>
      </c>
      <c r="B180" s="2">
        <f t="shared" si="2"/>
        <v>45962</v>
      </c>
      <c r="C180" s="10">
        <v>0.41666666666666669</v>
      </c>
      <c r="D180" t="s">
        <v>244</v>
      </c>
      <c r="E180" t="s">
        <v>211</v>
      </c>
      <c r="F180">
        <v>11</v>
      </c>
      <c r="G180" t="s">
        <v>216</v>
      </c>
      <c r="I180" t="s">
        <v>295</v>
      </c>
      <c r="L180" t="s">
        <v>241</v>
      </c>
      <c r="Q180" t="s">
        <v>239</v>
      </c>
    </row>
    <row r="181" spans="1:22" x14ac:dyDescent="0.2">
      <c r="A181" s="2">
        <v>45972</v>
      </c>
      <c r="B181" s="2">
        <f t="shared" si="2"/>
        <v>45962</v>
      </c>
      <c r="C181" s="10">
        <v>0.58333333333333337</v>
      </c>
      <c r="D181" t="s">
        <v>228</v>
      </c>
      <c r="E181" t="s">
        <v>211</v>
      </c>
      <c r="F181">
        <v>10</v>
      </c>
      <c r="G181" t="s">
        <v>277</v>
      </c>
      <c r="I181" t="s">
        <v>213</v>
      </c>
      <c r="L181">
        <v>9</v>
      </c>
      <c r="M181" t="s">
        <v>441</v>
      </c>
      <c r="N181">
        <v>6733</v>
      </c>
      <c r="Q181" t="s">
        <v>239</v>
      </c>
    </row>
    <row r="182" spans="1:22" x14ac:dyDescent="0.2">
      <c r="A182" s="2">
        <v>45972</v>
      </c>
      <c r="B182" s="2">
        <f t="shared" si="2"/>
        <v>45962</v>
      </c>
      <c r="C182" s="10">
        <v>0.625</v>
      </c>
      <c r="D182" t="s">
        <v>230</v>
      </c>
      <c r="E182" t="s">
        <v>211</v>
      </c>
      <c r="F182">
        <v>11</v>
      </c>
      <c r="G182" t="s">
        <v>70</v>
      </c>
      <c r="I182" t="s">
        <v>419</v>
      </c>
      <c r="L182">
        <v>7</v>
      </c>
      <c r="M182" t="s">
        <v>440</v>
      </c>
      <c r="N182">
        <v>6736</v>
      </c>
      <c r="Q182" t="s">
        <v>239</v>
      </c>
    </row>
    <row r="183" spans="1:22" x14ac:dyDescent="0.2">
      <c r="A183" s="2">
        <v>45973</v>
      </c>
      <c r="B183" s="2">
        <f t="shared" si="2"/>
        <v>45962</v>
      </c>
      <c r="C183" s="10">
        <v>0.45833333333333331</v>
      </c>
      <c r="D183" t="s">
        <v>222</v>
      </c>
      <c r="E183" t="s">
        <v>211</v>
      </c>
      <c r="F183">
        <v>10</v>
      </c>
      <c r="G183" t="s">
        <v>77</v>
      </c>
      <c r="I183" t="s">
        <v>270</v>
      </c>
      <c r="L183">
        <v>9</v>
      </c>
      <c r="M183" t="s">
        <v>439</v>
      </c>
      <c r="N183">
        <v>6744</v>
      </c>
      <c r="Q183" t="s">
        <v>239</v>
      </c>
    </row>
    <row r="184" spans="1:22" x14ac:dyDescent="0.2">
      <c r="A184" s="2">
        <v>45973</v>
      </c>
      <c r="B184" s="2">
        <f t="shared" si="2"/>
        <v>45962</v>
      </c>
      <c r="C184" s="10">
        <v>0.54166666666666663</v>
      </c>
      <c r="D184" t="s">
        <v>221</v>
      </c>
      <c r="E184" t="s">
        <v>211</v>
      </c>
      <c r="F184">
        <v>13</v>
      </c>
      <c r="G184" t="s">
        <v>87</v>
      </c>
      <c r="I184" t="s">
        <v>215</v>
      </c>
      <c r="K184" t="s">
        <v>438</v>
      </c>
      <c r="L184">
        <v>8</v>
      </c>
      <c r="M184" t="s">
        <v>437</v>
      </c>
      <c r="N184">
        <v>6747</v>
      </c>
      <c r="Q184" t="s">
        <v>239</v>
      </c>
    </row>
    <row r="185" spans="1:22" x14ac:dyDescent="0.2">
      <c r="A185" s="2">
        <v>45973</v>
      </c>
      <c r="B185" s="2">
        <f t="shared" si="2"/>
        <v>45962</v>
      </c>
      <c r="C185" s="10">
        <v>0.625</v>
      </c>
      <c r="D185" t="s">
        <v>333</v>
      </c>
      <c r="E185" t="s">
        <v>211</v>
      </c>
      <c r="F185">
        <v>7</v>
      </c>
      <c r="G185" t="s">
        <v>77</v>
      </c>
      <c r="I185" t="s">
        <v>436</v>
      </c>
      <c r="K185" t="s">
        <v>435</v>
      </c>
      <c r="L185">
        <v>10</v>
      </c>
      <c r="Q185" t="s">
        <v>239</v>
      </c>
    </row>
    <row r="186" spans="1:22" x14ac:dyDescent="0.2">
      <c r="A186" s="2">
        <v>45974</v>
      </c>
      <c r="B186" s="2">
        <f t="shared" si="2"/>
        <v>45962</v>
      </c>
      <c r="C186" s="10">
        <v>0.375</v>
      </c>
      <c r="D186" t="s">
        <v>220</v>
      </c>
      <c r="E186" t="s">
        <v>211</v>
      </c>
      <c r="F186">
        <v>7</v>
      </c>
      <c r="Q186" t="s">
        <v>246</v>
      </c>
      <c r="R186" t="s">
        <v>434</v>
      </c>
    </row>
    <row r="187" spans="1:22" x14ac:dyDescent="0.2">
      <c r="A187" s="2">
        <v>45975</v>
      </c>
      <c r="B187" s="2">
        <f t="shared" si="2"/>
        <v>45962</v>
      </c>
      <c r="C187" s="10">
        <v>0.41666666666666669</v>
      </c>
      <c r="D187" t="s">
        <v>267</v>
      </c>
      <c r="E187" t="s">
        <v>211</v>
      </c>
      <c r="F187">
        <v>8</v>
      </c>
      <c r="Q187" t="s">
        <v>246</v>
      </c>
      <c r="R187" t="s">
        <v>283</v>
      </c>
    </row>
    <row r="188" spans="1:22" x14ac:dyDescent="0.2">
      <c r="A188" s="2">
        <v>45975</v>
      </c>
      <c r="B188" s="2">
        <f t="shared" si="2"/>
        <v>45962</v>
      </c>
      <c r="C188" s="10">
        <v>0.66666666666666663</v>
      </c>
      <c r="D188" t="s">
        <v>214</v>
      </c>
      <c r="E188" t="s">
        <v>211</v>
      </c>
      <c r="F188">
        <v>8</v>
      </c>
      <c r="G188" t="s">
        <v>412</v>
      </c>
      <c r="I188" t="s">
        <v>419</v>
      </c>
      <c r="L188">
        <v>10</v>
      </c>
      <c r="M188" t="s">
        <v>433</v>
      </c>
      <c r="N188">
        <v>6787</v>
      </c>
      <c r="Q188" t="s">
        <v>239</v>
      </c>
    </row>
    <row r="189" spans="1:22" x14ac:dyDescent="0.2">
      <c r="A189" s="2">
        <v>45978</v>
      </c>
      <c r="B189" s="2">
        <f t="shared" si="2"/>
        <v>45962</v>
      </c>
      <c r="C189" s="10">
        <v>0.5</v>
      </c>
      <c r="D189" t="s">
        <v>267</v>
      </c>
      <c r="E189" t="s">
        <v>211</v>
      </c>
      <c r="F189">
        <v>8</v>
      </c>
      <c r="Q189" t="s">
        <v>246</v>
      </c>
      <c r="R189" t="s">
        <v>432</v>
      </c>
    </row>
    <row r="190" spans="1:22" x14ac:dyDescent="0.2">
      <c r="A190" s="2">
        <v>45979</v>
      </c>
      <c r="B190" s="2">
        <f t="shared" si="2"/>
        <v>45962</v>
      </c>
      <c r="C190" s="10">
        <v>0.39583333333333331</v>
      </c>
      <c r="D190" t="s">
        <v>244</v>
      </c>
      <c r="E190" t="s">
        <v>211</v>
      </c>
      <c r="F190">
        <v>11</v>
      </c>
      <c r="G190" t="s">
        <v>394</v>
      </c>
      <c r="I190" t="s">
        <v>215</v>
      </c>
      <c r="L190">
        <v>9</v>
      </c>
      <c r="M190" t="s">
        <v>431</v>
      </c>
      <c r="N190">
        <v>6801</v>
      </c>
      <c r="Q190" t="s">
        <v>239</v>
      </c>
      <c r="V190" t="s">
        <v>430</v>
      </c>
    </row>
    <row r="191" spans="1:22" x14ac:dyDescent="0.2">
      <c r="A191" s="2">
        <v>45979</v>
      </c>
      <c r="B191" s="2">
        <f t="shared" si="2"/>
        <v>45962</v>
      </c>
      <c r="C191" s="10">
        <v>0.41666666666666669</v>
      </c>
      <c r="D191" t="s">
        <v>247</v>
      </c>
      <c r="E191" t="s">
        <v>211</v>
      </c>
      <c r="F191">
        <v>11</v>
      </c>
      <c r="G191" t="s">
        <v>277</v>
      </c>
      <c r="I191" t="s">
        <v>270</v>
      </c>
      <c r="L191">
        <v>9</v>
      </c>
      <c r="M191" t="s">
        <v>429</v>
      </c>
      <c r="N191">
        <v>6803</v>
      </c>
      <c r="Q191" t="s">
        <v>239</v>
      </c>
    </row>
    <row r="192" spans="1:22" x14ac:dyDescent="0.2">
      <c r="A192" s="2">
        <v>45979</v>
      </c>
      <c r="B192" s="2">
        <f t="shared" si="2"/>
        <v>45962</v>
      </c>
      <c r="C192" s="10">
        <v>0.60416666666666663</v>
      </c>
      <c r="D192" t="s">
        <v>228</v>
      </c>
      <c r="E192" t="s">
        <v>211</v>
      </c>
      <c r="F192">
        <v>10</v>
      </c>
      <c r="G192" t="s">
        <v>70</v>
      </c>
      <c r="I192" t="s">
        <v>213</v>
      </c>
      <c r="L192">
        <v>9</v>
      </c>
      <c r="M192" t="s">
        <v>428</v>
      </c>
      <c r="N192">
        <v>6812</v>
      </c>
      <c r="Q192" t="s">
        <v>239</v>
      </c>
    </row>
    <row r="193" spans="1:18" ht="153" x14ac:dyDescent="0.2">
      <c r="A193" s="2">
        <v>45979</v>
      </c>
      <c r="B193" s="2">
        <f t="shared" si="2"/>
        <v>45962</v>
      </c>
      <c r="C193" s="10">
        <v>0.625</v>
      </c>
      <c r="D193" t="s">
        <v>230</v>
      </c>
      <c r="E193" t="s">
        <v>211</v>
      </c>
      <c r="F193">
        <v>11</v>
      </c>
      <c r="G193" t="s">
        <v>73</v>
      </c>
      <c r="I193" t="s">
        <v>210</v>
      </c>
      <c r="L193">
        <v>7</v>
      </c>
      <c r="M193" s="11" t="s">
        <v>427</v>
      </c>
      <c r="N193">
        <v>6813</v>
      </c>
      <c r="Q193" t="s">
        <v>239</v>
      </c>
    </row>
    <row r="194" spans="1:18" x14ac:dyDescent="0.2">
      <c r="A194" s="2">
        <v>45980</v>
      </c>
      <c r="B194" s="2">
        <f t="shared" si="2"/>
        <v>45962</v>
      </c>
      <c r="C194" s="10">
        <v>0.58333333333333337</v>
      </c>
      <c r="D194" t="s">
        <v>222</v>
      </c>
      <c r="E194" t="s">
        <v>211</v>
      </c>
      <c r="F194">
        <v>10</v>
      </c>
      <c r="G194" t="s">
        <v>73</v>
      </c>
      <c r="I194" t="s">
        <v>270</v>
      </c>
      <c r="K194" t="s">
        <v>232</v>
      </c>
      <c r="L194">
        <v>7</v>
      </c>
      <c r="M194" t="s">
        <v>426</v>
      </c>
      <c r="N194">
        <v>6833</v>
      </c>
      <c r="Q194" t="s">
        <v>239</v>
      </c>
    </row>
    <row r="195" spans="1:18" ht="409.6" x14ac:dyDescent="0.2">
      <c r="A195" s="2">
        <v>45980</v>
      </c>
      <c r="B195" s="2">
        <f t="shared" ref="B195:B258" si="3">DATE(YEAR(A195), MONTH(A195), 1)</f>
        <v>45962</v>
      </c>
      <c r="C195" s="10">
        <v>0.625</v>
      </c>
      <c r="D195" t="s">
        <v>333</v>
      </c>
      <c r="E195" t="s">
        <v>211</v>
      </c>
      <c r="F195">
        <v>7</v>
      </c>
      <c r="G195" t="s">
        <v>100</v>
      </c>
      <c r="I195" t="s">
        <v>229</v>
      </c>
      <c r="L195">
        <v>10</v>
      </c>
      <c r="M195" s="11" t="s">
        <v>425</v>
      </c>
      <c r="N195">
        <v>6834</v>
      </c>
      <c r="Q195" t="s">
        <v>239</v>
      </c>
    </row>
    <row r="196" spans="1:18" x14ac:dyDescent="0.2">
      <c r="A196" s="2">
        <v>45981</v>
      </c>
      <c r="B196" s="2">
        <f t="shared" si="3"/>
        <v>45962</v>
      </c>
      <c r="C196" s="10">
        <v>0.375</v>
      </c>
      <c r="D196" t="s">
        <v>220</v>
      </c>
      <c r="E196" t="s">
        <v>211</v>
      </c>
      <c r="F196">
        <v>7</v>
      </c>
      <c r="G196" t="s">
        <v>412</v>
      </c>
      <c r="I196" t="s">
        <v>215</v>
      </c>
      <c r="L196">
        <v>10</v>
      </c>
      <c r="M196" t="s">
        <v>424</v>
      </c>
      <c r="N196">
        <v>6841</v>
      </c>
      <c r="Q196" t="s">
        <v>239</v>
      </c>
    </row>
    <row r="197" spans="1:18" x14ac:dyDescent="0.2">
      <c r="A197" s="2">
        <v>45981</v>
      </c>
      <c r="B197" s="2">
        <f t="shared" si="3"/>
        <v>45962</v>
      </c>
      <c r="C197" s="10">
        <v>0.41666666666666669</v>
      </c>
      <c r="D197" t="s">
        <v>219</v>
      </c>
      <c r="E197" t="s">
        <v>211</v>
      </c>
      <c r="F197">
        <v>9</v>
      </c>
      <c r="G197" t="s">
        <v>277</v>
      </c>
      <c r="I197" t="s">
        <v>213</v>
      </c>
      <c r="L197">
        <v>9</v>
      </c>
      <c r="M197" t="s">
        <v>423</v>
      </c>
      <c r="N197">
        <v>6843</v>
      </c>
      <c r="Q197" t="s">
        <v>239</v>
      </c>
    </row>
    <row r="198" spans="1:18" x14ac:dyDescent="0.2">
      <c r="A198" s="2">
        <v>45981</v>
      </c>
      <c r="B198" s="2">
        <f t="shared" si="3"/>
        <v>45962</v>
      </c>
      <c r="C198" s="10">
        <v>0.47916666666666669</v>
      </c>
      <c r="D198" t="s">
        <v>223</v>
      </c>
      <c r="E198" t="s">
        <v>211</v>
      </c>
      <c r="F198">
        <v>14</v>
      </c>
      <c r="G198" t="s">
        <v>243</v>
      </c>
      <c r="I198" t="s">
        <v>215</v>
      </c>
      <c r="K198" t="s">
        <v>422</v>
      </c>
      <c r="L198" t="s">
        <v>241</v>
      </c>
      <c r="M198" t="s">
        <v>421</v>
      </c>
      <c r="Q198" t="s">
        <v>239</v>
      </c>
    </row>
    <row r="199" spans="1:18" x14ac:dyDescent="0.2">
      <c r="A199" s="2">
        <v>45981</v>
      </c>
      <c r="B199" s="2">
        <f t="shared" si="3"/>
        <v>45962</v>
      </c>
      <c r="C199" s="10">
        <v>0.66666666666666663</v>
      </c>
      <c r="D199" t="s">
        <v>212</v>
      </c>
      <c r="E199" t="s">
        <v>211</v>
      </c>
      <c r="F199">
        <v>13</v>
      </c>
      <c r="G199" t="s">
        <v>420</v>
      </c>
      <c r="I199" t="s">
        <v>419</v>
      </c>
      <c r="L199" t="s">
        <v>241</v>
      </c>
      <c r="M199" t="s">
        <v>418</v>
      </c>
      <c r="Q199" t="s">
        <v>239</v>
      </c>
    </row>
    <row r="200" spans="1:18" x14ac:dyDescent="0.2">
      <c r="A200" s="2">
        <v>45982</v>
      </c>
      <c r="B200" s="2">
        <f t="shared" si="3"/>
        <v>45962</v>
      </c>
      <c r="C200" s="10">
        <v>0.54166666666666663</v>
      </c>
      <c r="D200" t="s">
        <v>238</v>
      </c>
      <c r="E200" t="s">
        <v>211</v>
      </c>
      <c r="F200">
        <v>16</v>
      </c>
      <c r="G200" t="s">
        <v>84</v>
      </c>
      <c r="I200" t="s">
        <v>215</v>
      </c>
      <c r="L200">
        <v>9</v>
      </c>
      <c r="M200" t="s">
        <v>417</v>
      </c>
      <c r="N200">
        <v>6864</v>
      </c>
      <c r="Q200" t="s">
        <v>239</v>
      </c>
    </row>
    <row r="201" spans="1:18" x14ac:dyDescent="0.2">
      <c r="A201" s="2">
        <v>45982</v>
      </c>
      <c r="B201" s="2">
        <f t="shared" si="3"/>
        <v>45962</v>
      </c>
      <c r="C201" s="10">
        <v>0.5625</v>
      </c>
      <c r="D201" t="s">
        <v>214</v>
      </c>
      <c r="E201" t="s">
        <v>211</v>
      </c>
      <c r="F201">
        <v>8</v>
      </c>
      <c r="G201" t="s">
        <v>73</v>
      </c>
      <c r="I201" t="s">
        <v>229</v>
      </c>
      <c r="L201">
        <v>10</v>
      </c>
      <c r="M201" t="s">
        <v>416</v>
      </c>
      <c r="Q201" t="s">
        <v>239</v>
      </c>
    </row>
    <row r="202" spans="1:18" x14ac:dyDescent="0.2">
      <c r="A202" s="2">
        <v>45986</v>
      </c>
      <c r="B202" s="2">
        <f t="shared" si="3"/>
        <v>45962</v>
      </c>
      <c r="C202" s="10">
        <v>0.41666666666666669</v>
      </c>
      <c r="D202" t="s">
        <v>247</v>
      </c>
      <c r="E202" t="s">
        <v>211</v>
      </c>
      <c r="F202">
        <v>11</v>
      </c>
      <c r="G202" t="s">
        <v>70</v>
      </c>
      <c r="I202" t="s">
        <v>270</v>
      </c>
      <c r="L202">
        <v>10</v>
      </c>
      <c r="M202" t="s">
        <v>415</v>
      </c>
      <c r="Q202" t="s">
        <v>239</v>
      </c>
    </row>
    <row r="203" spans="1:18" x14ac:dyDescent="0.2">
      <c r="A203" s="2">
        <v>45986</v>
      </c>
      <c r="B203" s="2">
        <f t="shared" si="3"/>
        <v>45962</v>
      </c>
      <c r="C203" s="10">
        <v>0.41666666666666669</v>
      </c>
      <c r="D203" t="s">
        <v>262</v>
      </c>
      <c r="E203" t="s">
        <v>211</v>
      </c>
      <c r="F203">
        <v>17</v>
      </c>
      <c r="G203" t="s">
        <v>100</v>
      </c>
      <c r="I203" t="s">
        <v>229</v>
      </c>
      <c r="L203">
        <v>10</v>
      </c>
      <c r="M203" t="s">
        <v>414</v>
      </c>
      <c r="N203">
        <v>6878</v>
      </c>
      <c r="Q203" t="s">
        <v>239</v>
      </c>
    </row>
    <row r="204" spans="1:18" x14ac:dyDescent="0.2">
      <c r="A204" s="2">
        <v>45986</v>
      </c>
      <c r="B204" s="2">
        <f t="shared" si="3"/>
        <v>45962</v>
      </c>
      <c r="C204" s="10">
        <v>0.58333333333333337</v>
      </c>
      <c r="D204" t="s">
        <v>228</v>
      </c>
      <c r="E204" t="s">
        <v>211</v>
      </c>
      <c r="F204">
        <v>10</v>
      </c>
      <c r="Q204" t="s">
        <v>274</v>
      </c>
      <c r="R204" t="s">
        <v>413</v>
      </c>
    </row>
    <row r="205" spans="1:18" x14ac:dyDescent="0.2">
      <c r="A205" s="2">
        <v>45987</v>
      </c>
      <c r="B205" s="2">
        <f t="shared" si="3"/>
        <v>45962</v>
      </c>
      <c r="C205" s="10">
        <v>0.39583333333333331</v>
      </c>
      <c r="D205" t="s">
        <v>244</v>
      </c>
      <c r="E205" t="s">
        <v>211</v>
      </c>
      <c r="F205">
        <v>11</v>
      </c>
      <c r="G205" t="s">
        <v>412</v>
      </c>
      <c r="I205" t="s">
        <v>215</v>
      </c>
      <c r="L205">
        <v>9</v>
      </c>
      <c r="M205" t="s">
        <v>411</v>
      </c>
      <c r="N205">
        <v>6900</v>
      </c>
      <c r="Q205" t="s">
        <v>239</v>
      </c>
    </row>
    <row r="206" spans="1:18" x14ac:dyDescent="0.2">
      <c r="A206" s="2">
        <v>45987</v>
      </c>
      <c r="B206" s="2">
        <f t="shared" si="3"/>
        <v>45962</v>
      </c>
      <c r="C206" s="10">
        <v>0.41666666666666669</v>
      </c>
      <c r="D206" t="s">
        <v>251</v>
      </c>
      <c r="E206" t="s">
        <v>211</v>
      </c>
      <c r="F206">
        <v>17</v>
      </c>
      <c r="Q206" t="s">
        <v>246</v>
      </c>
      <c r="R206" t="s">
        <v>410</v>
      </c>
    </row>
    <row r="207" spans="1:18" x14ac:dyDescent="0.2">
      <c r="A207" s="2">
        <v>45987</v>
      </c>
      <c r="B207" s="2">
        <f t="shared" si="3"/>
        <v>45962</v>
      </c>
      <c r="C207" s="10">
        <v>0.41666666666666669</v>
      </c>
      <c r="D207" t="s">
        <v>227</v>
      </c>
      <c r="E207" t="s">
        <v>211</v>
      </c>
      <c r="F207">
        <v>1</v>
      </c>
      <c r="I207" t="s">
        <v>295</v>
      </c>
      <c r="Q207" t="s">
        <v>237</v>
      </c>
    </row>
    <row r="208" spans="1:18" x14ac:dyDescent="0.2">
      <c r="A208" s="2">
        <v>45987</v>
      </c>
      <c r="B208" s="2">
        <f t="shared" si="3"/>
        <v>45962</v>
      </c>
      <c r="C208" s="10">
        <v>0.54166666666666663</v>
      </c>
      <c r="D208" t="s">
        <v>221</v>
      </c>
      <c r="E208" t="s">
        <v>211</v>
      </c>
      <c r="F208">
        <v>13</v>
      </c>
      <c r="G208" t="s">
        <v>243</v>
      </c>
      <c r="I208" t="s">
        <v>270</v>
      </c>
      <c r="L208" t="s">
        <v>241</v>
      </c>
      <c r="M208" t="s">
        <v>409</v>
      </c>
      <c r="Q208" t="s">
        <v>239</v>
      </c>
    </row>
    <row r="209" spans="1:18" x14ac:dyDescent="0.2">
      <c r="A209" s="2">
        <v>45988</v>
      </c>
      <c r="B209" s="2">
        <f t="shared" si="3"/>
        <v>45962</v>
      </c>
      <c r="C209" s="10">
        <v>0.41666666666666669</v>
      </c>
      <c r="D209" t="s">
        <v>219</v>
      </c>
      <c r="E209" t="s">
        <v>211</v>
      </c>
      <c r="F209">
        <v>9</v>
      </c>
      <c r="G209" t="s">
        <v>70</v>
      </c>
      <c r="I209" t="s">
        <v>270</v>
      </c>
      <c r="L209">
        <v>9</v>
      </c>
      <c r="M209" t="s">
        <v>408</v>
      </c>
      <c r="Q209" t="s">
        <v>239</v>
      </c>
    </row>
    <row r="210" spans="1:18" x14ac:dyDescent="0.2">
      <c r="A210" s="2">
        <v>45988</v>
      </c>
      <c r="B210" s="2">
        <f t="shared" si="3"/>
        <v>45962</v>
      </c>
      <c r="C210" s="10">
        <v>0.625</v>
      </c>
      <c r="D210" t="s">
        <v>228</v>
      </c>
      <c r="E210" t="s">
        <v>211</v>
      </c>
      <c r="F210">
        <v>10</v>
      </c>
      <c r="G210" t="s">
        <v>77</v>
      </c>
      <c r="I210" t="s">
        <v>213</v>
      </c>
      <c r="L210">
        <v>10</v>
      </c>
      <c r="M210" t="s">
        <v>407</v>
      </c>
      <c r="N210">
        <v>6944</v>
      </c>
      <c r="Q210" t="s">
        <v>239</v>
      </c>
    </row>
    <row r="211" spans="1:18" x14ac:dyDescent="0.2">
      <c r="A211" s="2">
        <v>45992</v>
      </c>
      <c r="B211" s="2">
        <f t="shared" si="3"/>
        <v>45992</v>
      </c>
      <c r="C211" s="10">
        <v>0.625</v>
      </c>
      <c r="D211" t="s">
        <v>234</v>
      </c>
      <c r="E211" t="s">
        <v>211</v>
      </c>
      <c r="F211">
        <v>6</v>
      </c>
      <c r="G211" t="s">
        <v>216</v>
      </c>
      <c r="I211" t="s">
        <v>295</v>
      </c>
      <c r="L211" t="s">
        <v>241</v>
      </c>
      <c r="Q211" t="s">
        <v>239</v>
      </c>
    </row>
    <row r="212" spans="1:18" x14ac:dyDescent="0.2">
      <c r="A212" s="2">
        <v>45993</v>
      </c>
      <c r="B212" s="2">
        <f t="shared" si="3"/>
        <v>45992</v>
      </c>
      <c r="C212" s="10">
        <v>0.39583333333333331</v>
      </c>
      <c r="D212" t="s">
        <v>244</v>
      </c>
      <c r="E212" t="s">
        <v>211</v>
      </c>
      <c r="F212">
        <v>11</v>
      </c>
      <c r="Q212" t="s">
        <v>274</v>
      </c>
      <c r="R212" t="s">
        <v>406</v>
      </c>
    </row>
    <row r="213" spans="1:18" x14ac:dyDescent="0.2">
      <c r="A213" s="2">
        <v>45993</v>
      </c>
      <c r="B213" s="2">
        <f t="shared" si="3"/>
        <v>45992</v>
      </c>
      <c r="C213" s="10">
        <v>0.41666666666666669</v>
      </c>
      <c r="D213" t="s">
        <v>247</v>
      </c>
      <c r="E213" t="s">
        <v>211</v>
      </c>
      <c r="F213">
        <v>11</v>
      </c>
      <c r="G213" t="s">
        <v>77</v>
      </c>
      <c r="I213" t="s">
        <v>270</v>
      </c>
      <c r="L213">
        <v>9</v>
      </c>
      <c r="M213" t="s">
        <v>405</v>
      </c>
      <c r="N213">
        <v>6983</v>
      </c>
      <c r="Q213" t="s">
        <v>239</v>
      </c>
    </row>
    <row r="214" spans="1:18" x14ac:dyDescent="0.2">
      <c r="A214" s="2">
        <v>45993</v>
      </c>
      <c r="B214" s="2">
        <f t="shared" si="3"/>
        <v>45992</v>
      </c>
      <c r="C214" s="10">
        <v>0.58333333333333337</v>
      </c>
      <c r="D214" t="s">
        <v>228</v>
      </c>
      <c r="E214" t="s">
        <v>211</v>
      </c>
      <c r="F214">
        <v>10</v>
      </c>
      <c r="G214" t="s">
        <v>73</v>
      </c>
      <c r="I214" t="s">
        <v>213</v>
      </c>
      <c r="L214">
        <v>10</v>
      </c>
      <c r="M214" t="s">
        <v>404</v>
      </c>
      <c r="N214">
        <v>6989</v>
      </c>
      <c r="Q214" t="s">
        <v>239</v>
      </c>
    </row>
    <row r="215" spans="1:18" x14ac:dyDescent="0.2">
      <c r="A215" s="2">
        <v>45993</v>
      </c>
      <c r="B215" s="2">
        <f t="shared" si="3"/>
        <v>45992</v>
      </c>
      <c r="C215" s="10">
        <v>0.625</v>
      </c>
      <c r="D215" t="s">
        <v>231</v>
      </c>
      <c r="E215" t="s">
        <v>211</v>
      </c>
      <c r="G215" t="s">
        <v>231</v>
      </c>
    </row>
    <row r="216" spans="1:18" x14ac:dyDescent="0.2">
      <c r="A216" s="2">
        <v>45993</v>
      </c>
      <c r="B216" s="2">
        <f t="shared" si="3"/>
        <v>45992</v>
      </c>
      <c r="C216" s="10">
        <v>0.625</v>
      </c>
      <c r="D216" t="s">
        <v>230</v>
      </c>
      <c r="E216" t="s">
        <v>211</v>
      </c>
      <c r="F216">
        <v>11</v>
      </c>
      <c r="Q216" t="s">
        <v>246</v>
      </c>
      <c r="R216" t="s">
        <v>283</v>
      </c>
    </row>
    <row r="217" spans="1:18" x14ac:dyDescent="0.2">
      <c r="A217" s="2">
        <v>45994</v>
      </c>
      <c r="B217" s="2">
        <f t="shared" si="3"/>
        <v>45992</v>
      </c>
      <c r="C217" s="10">
        <v>0.39583333333333331</v>
      </c>
      <c r="D217" t="s">
        <v>244</v>
      </c>
      <c r="E217" t="s">
        <v>211</v>
      </c>
      <c r="F217">
        <v>11</v>
      </c>
      <c r="G217" t="s">
        <v>277</v>
      </c>
      <c r="I217" t="s">
        <v>215</v>
      </c>
      <c r="L217">
        <v>9</v>
      </c>
      <c r="M217" t="s">
        <v>403</v>
      </c>
      <c r="N217">
        <v>6997</v>
      </c>
      <c r="Q217" t="s">
        <v>239</v>
      </c>
    </row>
    <row r="218" spans="1:18" x14ac:dyDescent="0.2">
      <c r="A218" s="2">
        <v>45994</v>
      </c>
      <c r="B218" s="2">
        <f t="shared" si="3"/>
        <v>45992</v>
      </c>
      <c r="C218" s="10">
        <v>0.41666666666666669</v>
      </c>
      <c r="D218" t="s">
        <v>227</v>
      </c>
      <c r="E218" t="s">
        <v>211</v>
      </c>
      <c r="F218">
        <v>1</v>
      </c>
      <c r="I218" t="s">
        <v>295</v>
      </c>
      <c r="Q218" t="s">
        <v>237</v>
      </c>
    </row>
    <row r="219" spans="1:18" x14ac:dyDescent="0.2">
      <c r="A219" s="2">
        <v>45994</v>
      </c>
      <c r="B219" s="2">
        <f t="shared" si="3"/>
        <v>45992</v>
      </c>
      <c r="C219" s="10">
        <v>0.45833333333333331</v>
      </c>
      <c r="D219" t="s">
        <v>223</v>
      </c>
      <c r="E219" t="s">
        <v>211</v>
      </c>
      <c r="F219">
        <v>14</v>
      </c>
      <c r="G219" t="s">
        <v>218</v>
      </c>
      <c r="I219" t="s">
        <v>215</v>
      </c>
      <c r="L219">
        <v>8</v>
      </c>
      <c r="M219" t="s">
        <v>402</v>
      </c>
      <c r="N219">
        <v>6998</v>
      </c>
      <c r="Q219" t="s">
        <v>239</v>
      </c>
    </row>
    <row r="220" spans="1:18" x14ac:dyDescent="0.2">
      <c r="A220" s="2">
        <v>45994</v>
      </c>
      <c r="B220" s="2">
        <f t="shared" si="3"/>
        <v>45992</v>
      </c>
      <c r="C220" s="10">
        <v>0.45833333333333331</v>
      </c>
      <c r="D220" t="s">
        <v>222</v>
      </c>
      <c r="E220" t="s">
        <v>211</v>
      </c>
      <c r="F220">
        <v>10</v>
      </c>
      <c r="Q220" t="s">
        <v>246</v>
      </c>
      <c r="R220" t="s">
        <v>401</v>
      </c>
    </row>
    <row r="221" spans="1:18" x14ac:dyDescent="0.2">
      <c r="A221" s="2">
        <v>45994</v>
      </c>
      <c r="B221" s="2">
        <f t="shared" si="3"/>
        <v>45992</v>
      </c>
      <c r="C221" s="10">
        <v>0.625</v>
      </c>
      <c r="D221" t="s">
        <v>333</v>
      </c>
      <c r="E221" t="s">
        <v>211</v>
      </c>
      <c r="F221">
        <v>7</v>
      </c>
      <c r="Q221" t="s">
        <v>246</v>
      </c>
      <c r="R221" t="s">
        <v>400</v>
      </c>
    </row>
    <row r="222" spans="1:18" x14ac:dyDescent="0.2">
      <c r="A222" s="2">
        <v>45995</v>
      </c>
      <c r="B222" s="2">
        <f t="shared" si="3"/>
        <v>45992</v>
      </c>
      <c r="C222" s="10">
        <v>0.41666666666666669</v>
      </c>
      <c r="D222" t="s">
        <v>219</v>
      </c>
      <c r="E222" t="s">
        <v>211</v>
      </c>
      <c r="F222">
        <v>9</v>
      </c>
      <c r="Q222" t="s">
        <v>246</v>
      </c>
      <c r="R222" t="s">
        <v>283</v>
      </c>
    </row>
    <row r="223" spans="1:18" x14ac:dyDescent="0.2">
      <c r="A223" s="2">
        <v>45995</v>
      </c>
      <c r="B223" s="2">
        <f t="shared" si="3"/>
        <v>45992</v>
      </c>
      <c r="C223" s="10">
        <v>0.45833333333333331</v>
      </c>
      <c r="D223" t="s">
        <v>222</v>
      </c>
      <c r="E223" t="s">
        <v>211</v>
      </c>
      <c r="F223">
        <v>10</v>
      </c>
      <c r="G223" t="s">
        <v>87</v>
      </c>
      <c r="I223" t="s">
        <v>295</v>
      </c>
      <c r="L223">
        <v>9</v>
      </c>
      <c r="M223" t="s">
        <v>399</v>
      </c>
      <c r="N223">
        <v>7012</v>
      </c>
      <c r="Q223" t="s">
        <v>239</v>
      </c>
    </row>
    <row r="224" spans="1:18" x14ac:dyDescent="0.2">
      <c r="A224" s="2">
        <v>45995</v>
      </c>
      <c r="B224" s="2">
        <f t="shared" si="3"/>
        <v>45992</v>
      </c>
      <c r="C224" s="10">
        <v>0.66666666666666663</v>
      </c>
      <c r="D224" t="s">
        <v>212</v>
      </c>
      <c r="E224" t="s">
        <v>211</v>
      </c>
      <c r="F224">
        <v>13</v>
      </c>
      <c r="Q224" t="s">
        <v>246</v>
      </c>
      <c r="R224" t="s">
        <v>283</v>
      </c>
    </row>
    <row r="225" spans="1:18" x14ac:dyDescent="0.2">
      <c r="A225" s="2">
        <v>45996</v>
      </c>
      <c r="B225" s="2">
        <f t="shared" si="3"/>
        <v>45992</v>
      </c>
      <c r="C225" s="10">
        <v>0.45833333333333331</v>
      </c>
      <c r="D225" t="s">
        <v>238</v>
      </c>
      <c r="E225" t="s">
        <v>211</v>
      </c>
      <c r="F225">
        <v>16</v>
      </c>
      <c r="G225" t="s">
        <v>398</v>
      </c>
      <c r="I225" t="s">
        <v>215</v>
      </c>
      <c r="L225">
        <v>10</v>
      </c>
      <c r="M225" t="s">
        <v>397</v>
      </c>
      <c r="Q225" t="s">
        <v>239</v>
      </c>
    </row>
    <row r="226" spans="1:18" x14ac:dyDescent="0.2">
      <c r="A226" s="2">
        <v>45999</v>
      </c>
      <c r="B226" s="2">
        <f t="shared" si="3"/>
        <v>45992</v>
      </c>
      <c r="C226" s="10">
        <v>0.5</v>
      </c>
      <c r="D226" t="s">
        <v>251</v>
      </c>
      <c r="E226" t="s">
        <v>211</v>
      </c>
      <c r="F226">
        <v>17</v>
      </c>
      <c r="G226" t="s">
        <v>282</v>
      </c>
      <c r="I226" t="s">
        <v>215</v>
      </c>
      <c r="K226" t="s">
        <v>396</v>
      </c>
      <c r="L226">
        <v>9</v>
      </c>
      <c r="M226" t="s">
        <v>395</v>
      </c>
      <c r="N226">
        <v>7041</v>
      </c>
      <c r="Q226" t="s">
        <v>239</v>
      </c>
    </row>
    <row r="227" spans="1:18" x14ac:dyDescent="0.2">
      <c r="A227" s="2">
        <v>45999</v>
      </c>
      <c r="B227" s="2">
        <f t="shared" si="3"/>
        <v>45992</v>
      </c>
      <c r="C227" s="10">
        <v>0.625</v>
      </c>
      <c r="D227" t="s">
        <v>234</v>
      </c>
      <c r="E227" t="s">
        <v>211</v>
      </c>
      <c r="F227">
        <v>6</v>
      </c>
      <c r="G227" t="s">
        <v>394</v>
      </c>
      <c r="I227" t="s">
        <v>229</v>
      </c>
      <c r="L227">
        <v>10</v>
      </c>
      <c r="M227" t="s">
        <v>393</v>
      </c>
      <c r="N227">
        <v>7051</v>
      </c>
      <c r="Q227" t="s">
        <v>239</v>
      </c>
    </row>
    <row r="228" spans="1:18" x14ac:dyDescent="0.2">
      <c r="A228" s="2">
        <v>46000</v>
      </c>
      <c r="B228" s="2">
        <f t="shared" si="3"/>
        <v>45992</v>
      </c>
      <c r="C228" s="10">
        <v>0.39583333333333331</v>
      </c>
      <c r="D228" t="s">
        <v>244</v>
      </c>
      <c r="E228" t="s">
        <v>211</v>
      </c>
      <c r="F228">
        <v>11</v>
      </c>
      <c r="G228" t="s">
        <v>70</v>
      </c>
      <c r="I228" t="s">
        <v>215</v>
      </c>
      <c r="K228" t="s">
        <v>392</v>
      </c>
      <c r="L228">
        <v>8</v>
      </c>
      <c r="M228" t="s">
        <v>391</v>
      </c>
      <c r="N228">
        <v>7054</v>
      </c>
      <c r="Q228" t="s">
        <v>239</v>
      </c>
    </row>
    <row r="229" spans="1:18" x14ac:dyDescent="0.2">
      <c r="A229" s="2">
        <v>46000</v>
      </c>
      <c r="B229" s="2">
        <f t="shared" si="3"/>
        <v>45992</v>
      </c>
      <c r="C229" s="10">
        <v>0.41666666666666669</v>
      </c>
      <c r="D229" t="s">
        <v>247</v>
      </c>
      <c r="E229" t="s">
        <v>211</v>
      </c>
      <c r="F229">
        <v>11</v>
      </c>
      <c r="G229" t="s">
        <v>73</v>
      </c>
      <c r="I229" t="s">
        <v>270</v>
      </c>
      <c r="K229" t="s">
        <v>232</v>
      </c>
      <c r="L229">
        <v>7</v>
      </c>
      <c r="M229" t="s">
        <v>390</v>
      </c>
      <c r="N229">
        <v>7055</v>
      </c>
      <c r="Q229" t="s">
        <v>239</v>
      </c>
    </row>
    <row r="230" spans="1:18" x14ac:dyDescent="0.2">
      <c r="A230" s="2">
        <v>46000</v>
      </c>
      <c r="B230" s="2">
        <f t="shared" si="3"/>
        <v>45992</v>
      </c>
      <c r="C230" s="10">
        <v>0.41666666666666669</v>
      </c>
      <c r="D230" t="s">
        <v>262</v>
      </c>
      <c r="E230" t="s">
        <v>211</v>
      </c>
      <c r="F230">
        <v>17</v>
      </c>
      <c r="G230" t="s">
        <v>292</v>
      </c>
      <c r="I230" t="s">
        <v>229</v>
      </c>
      <c r="L230">
        <v>10</v>
      </c>
      <c r="M230" t="s">
        <v>389</v>
      </c>
      <c r="Q230" t="s">
        <v>239</v>
      </c>
    </row>
    <row r="231" spans="1:18" x14ac:dyDescent="0.2">
      <c r="A231" s="2">
        <v>46000</v>
      </c>
      <c r="B231" s="2">
        <f t="shared" si="3"/>
        <v>45992</v>
      </c>
      <c r="C231" s="10">
        <v>0.58333333333333337</v>
      </c>
      <c r="D231" t="s">
        <v>228</v>
      </c>
      <c r="E231" t="s">
        <v>211</v>
      </c>
      <c r="F231">
        <v>10</v>
      </c>
      <c r="G231" t="s">
        <v>87</v>
      </c>
      <c r="I231" t="s">
        <v>213</v>
      </c>
      <c r="K231" t="s">
        <v>388</v>
      </c>
      <c r="L231">
        <v>10</v>
      </c>
      <c r="M231" t="s">
        <v>387</v>
      </c>
      <c r="N231">
        <v>7070</v>
      </c>
      <c r="Q231" t="s">
        <v>239</v>
      </c>
    </row>
    <row r="232" spans="1:18" x14ac:dyDescent="0.2">
      <c r="A232" s="2">
        <v>46000</v>
      </c>
      <c r="B232" s="2">
        <f t="shared" si="3"/>
        <v>45992</v>
      </c>
      <c r="C232" s="10">
        <v>0.625</v>
      </c>
      <c r="D232" t="s">
        <v>230</v>
      </c>
      <c r="E232" t="s">
        <v>211</v>
      </c>
      <c r="F232">
        <v>11</v>
      </c>
      <c r="G232" t="s">
        <v>87</v>
      </c>
      <c r="I232" t="s">
        <v>229</v>
      </c>
      <c r="L232">
        <v>8</v>
      </c>
      <c r="M232" t="s">
        <v>386</v>
      </c>
      <c r="N232">
        <v>7071</v>
      </c>
      <c r="Q232" t="s">
        <v>239</v>
      </c>
    </row>
    <row r="233" spans="1:18" x14ac:dyDescent="0.2">
      <c r="A233" s="2">
        <v>46001</v>
      </c>
      <c r="B233" s="2">
        <f t="shared" si="3"/>
        <v>45992</v>
      </c>
      <c r="C233" s="10">
        <v>0.41666666666666669</v>
      </c>
      <c r="D233" t="s">
        <v>227</v>
      </c>
      <c r="E233" t="s">
        <v>211</v>
      </c>
      <c r="F233">
        <v>1</v>
      </c>
      <c r="I233" t="s">
        <v>295</v>
      </c>
      <c r="Q233" t="s">
        <v>237</v>
      </c>
    </row>
    <row r="234" spans="1:18" ht="289" x14ac:dyDescent="0.2">
      <c r="A234" s="2">
        <v>46001</v>
      </c>
      <c r="B234" s="2">
        <f t="shared" si="3"/>
        <v>45992</v>
      </c>
      <c r="C234" s="10">
        <v>0.41666666666666669</v>
      </c>
      <c r="D234" t="s">
        <v>385</v>
      </c>
      <c r="E234" t="s">
        <v>211</v>
      </c>
      <c r="G234" t="s">
        <v>168</v>
      </c>
      <c r="I234" t="s">
        <v>210</v>
      </c>
      <c r="K234" t="s">
        <v>384</v>
      </c>
      <c r="L234">
        <v>10</v>
      </c>
      <c r="M234" s="11" t="s">
        <v>383</v>
      </c>
      <c r="N234">
        <v>7076</v>
      </c>
      <c r="Q234" t="s">
        <v>239</v>
      </c>
    </row>
    <row r="235" spans="1:18" x14ac:dyDescent="0.2">
      <c r="A235" s="2">
        <v>46001</v>
      </c>
      <c r="B235" s="2">
        <f t="shared" si="3"/>
        <v>45992</v>
      </c>
      <c r="C235" s="10">
        <v>0.54166666666666663</v>
      </c>
      <c r="D235" t="s">
        <v>221</v>
      </c>
      <c r="E235" t="s">
        <v>211</v>
      </c>
      <c r="F235">
        <v>13</v>
      </c>
      <c r="Q235" t="s">
        <v>246</v>
      </c>
      <c r="R235" t="s">
        <v>283</v>
      </c>
    </row>
    <row r="236" spans="1:18" ht="409.6" x14ac:dyDescent="0.2">
      <c r="A236" s="2">
        <v>46001</v>
      </c>
      <c r="B236" s="2">
        <f t="shared" si="3"/>
        <v>45992</v>
      </c>
      <c r="C236" s="10">
        <v>0.625</v>
      </c>
      <c r="D236" t="s">
        <v>333</v>
      </c>
      <c r="E236" t="s">
        <v>211</v>
      </c>
      <c r="F236">
        <v>7</v>
      </c>
      <c r="G236" t="s">
        <v>382</v>
      </c>
      <c r="I236" t="s">
        <v>229</v>
      </c>
      <c r="K236" s="11" t="s">
        <v>381</v>
      </c>
      <c r="L236">
        <v>10</v>
      </c>
      <c r="M236" s="11" t="s">
        <v>380</v>
      </c>
      <c r="N236">
        <v>7083</v>
      </c>
      <c r="Q236" t="s">
        <v>239</v>
      </c>
    </row>
    <row r="237" spans="1:18" x14ac:dyDescent="0.2">
      <c r="A237" s="2">
        <v>46002</v>
      </c>
      <c r="B237" s="2">
        <f t="shared" si="3"/>
        <v>45992</v>
      </c>
      <c r="C237" s="10">
        <v>0.375</v>
      </c>
      <c r="D237" t="s">
        <v>220</v>
      </c>
      <c r="E237" t="s">
        <v>211</v>
      </c>
      <c r="F237">
        <v>7</v>
      </c>
      <c r="G237" t="s">
        <v>277</v>
      </c>
      <c r="I237" t="s">
        <v>215</v>
      </c>
      <c r="K237" t="s">
        <v>379</v>
      </c>
      <c r="L237">
        <v>10</v>
      </c>
      <c r="M237" t="s">
        <v>378</v>
      </c>
      <c r="N237">
        <v>7089</v>
      </c>
      <c r="Q237" t="s">
        <v>239</v>
      </c>
    </row>
    <row r="238" spans="1:18" x14ac:dyDescent="0.2">
      <c r="A238" s="2">
        <v>46002</v>
      </c>
      <c r="B238" s="2">
        <f t="shared" si="3"/>
        <v>45992</v>
      </c>
      <c r="C238" s="10">
        <v>0.41666666666666669</v>
      </c>
      <c r="D238" t="s">
        <v>219</v>
      </c>
      <c r="E238" t="s">
        <v>211</v>
      </c>
      <c r="F238">
        <v>9</v>
      </c>
      <c r="Q238" t="s">
        <v>246</v>
      </c>
      <c r="R238" t="s">
        <v>377</v>
      </c>
    </row>
    <row r="239" spans="1:18" x14ac:dyDescent="0.2">
      <c r="A239" s="2">
        <v>46002</v>
      </c>
      <c r="B239" s="2">
        <f t="shared" si="3"/>
        <v>45992</v>
      </c>
      <c r="C239" s="10">
        <v>0.66666666666666663</v>
      </c>
      <c r="D239" t="s">
        <v>212</v>
      </c>
      <c r="E239" t="s">
        <v>211</v>
      </c>
      <c r="F239">
        <v>13</v>
      </c>
      <c r="I239" t="s">
        <v>213</v>
      </c>
      <c r="Q239" t="s">
        <v>237</v>
      </c>
    </row>
    <row r="240" spans="1:18" x14ac:dyDescent="0.2">
      <c r="A240" s="2">
        <v>46003</v>
      </c>
      <c r="B240" s="2">
        <f t="shared" si="3"/>
        <v>45992</v>
      </c>
      <c r="C240" s="10">
        <v>0.41666666666666669</v>
      </c>
      <c r="D240" t="s">
        <v>267</v>
      </c>
      <c r="E240" t="s">
        <v>211</v>
      </c>
      <c r="F240">
        <v>8</v>
      </c>
      <c r="I240" t="s">
        <v>215</v>
      </c>
      <c r="Q240" t="s">
        <v>237</v>
      </c>
    </row>
    <row r="241" spans="1:21" x14ac:dyDescent="0.2">
      <c r="A241" s="2">
        <v>46003</v>
      </c>
      <c r="B241" s="2">
        <f t="shared" si="3"/>
        <v>45992</v>
      </c>
      <c r="C241" s="10">
        <v>0.66666666666666663</v>
      </c>
      <c r="D241" t="s">
        <v>214</v>
      </c>
      <c r="E241" t="s">
        <v>211</v>
      </c>
      <c r="F241">
        <v>8</v>
      </c>
      <c r="G241" t="s">
        <v>70</v>
      </c>
      <c r="I241" t="s">
        <v>213</v>
      </c>
      <c r="L241">
        <v>10</v>
      </c>
      <c r="M241" t="s">
        <v>376</v>
      </c>
      <c r="N241">
        <v>7120</v>
      </c>
      <c r="Q241" t="s">
        <v>239</v>
      </c>
    </row>
    <row r="242" spans="1:21" x14ac:dyDescent="0.2">
      <c r="A242" s="2">
        <v>46006</v>
      </c>
      <c r="B242" s="2">
        <f t="shared" si="3"/>
        <v>45992</v>
      </c>
      <c r="C242" s="10">
        <v>0.45833333333333331</v>
      </c>
      <c r="D242" t="s">
        <v>234</v>
      </c>
      <c r="E242" t="s">
        <v>211</v>
      </c>
      <c r="F242">
        <v>6</v>
      </c>
      <c r="Q242" t="s">
        <v>246</v>
      </c>
      <c r="R242" t="s">
        <v>245</v>
      </c>
    </row>
    <row r="243" spans="1:21" x14ac:dyDescent="0.2">
      <c r="A243" s="2">
        <v>46007</v>
      </c>
      <c r="B243" s="2">
        <f t="shared" si="3"/>
        <v>45992</v>
      </c>
      <c r="C243" s="10">
        <v>0.39583333333333331</v>
      </c>
      <c r="D243" t="s">
        <v>244</v>
      </c>
      <c r="E243" t="s">
        <v>211</v>
      </c>
      <c r="F243">
        <v>11</v>
      </c>
      <c r="G243" t="s">
        <v>151</v>
      </c>
      <c r="H243" t="s">
        <v>225</v>
      </c>
      <c r="I243" t="s">
        <v>215</v>
      </c>
      <c r="L243">
        <v>10</v>
      </c>
      <c r="M243" t="s">
        <v>375</v>
      </c>
      <c r="N243">
        <v>7148</v>
      </c>
      <c r="Q243" t="s">
        <v>239</v>
      </c>
    </row>
    <row r="244" spans="1:21" x14ac:dyDescent="0.2">
      <c r="A244" s="2">
        <v>46008</v>
      </c>
      <c r="B244" s="2">
        <f t="shared" si="3"/>
        <v>45992</v>
      </c>
      <c r="C244" s="10">
        <v>0.45833333333333331</v>
      </c>
      <c r="D244" t="s">
        <v>223</v>
      </c>
      <c r="E244" t="s">
        <v>211</v>
      </c>
      <c r="F244">
        <v>14</v>
      </c>
      <c r="G244" t="s">
        <v>261</v>
      </c>
      <c r="I244" t="s">
        <v>215</v>
      </c>
      <c r="K244" t="s">
        <v>372</v>
      </c>
      <c r="L244">
        <v>9</v>
      </c>
      <c r="M244" t="s">
        <v>374</v>
      </c>
      <c r="N244">
        <v>7178</v>
      </c>
      <c r="Q244" t="s">
        <v>239</v>
      </c>
      <c r="T244" t="s">
        <v>225</v>
      </c>
      <c r="U244" t="s">
        <v>373</v>
      </c>
    </row>
    <row r="245" spans="1:21" x14ac:dyDescent="0.2">
      <c r="A245" s="2">
        <v>46008</v>
      </c>
      <c r="B245" s="2">
        <f t="shared" si="3"/>
        <v>45992</v>
      </c>
      <c r="C245" s="10">
        <v>0.45833333333333331</v>
      </c>
      <c r="D245" t="s">
        <v>222</v>
      </c>
      <c r="E245" t="s">
        <v>211</v>
      </c>
      <c r="F245">
        <v>10</v>
      </c>
      <c r="I245" t="s">
        <v>270</v>
      </c>
      <c r="K245" t="s">
        <v>372</v>
      </c>
      <c r="Q245" t="s">
        <v>237</v>
      </c>
    </row>
    <row r="246" spans="1:21" x14ac:dyDescent="0.2">
      <c r="A246" s="2">
        <v>46008</v>
      </c>
      <c r="B246" s="2">
        <f t="shared" si="3"/>
        <v>45992</v>
      </c>
      <c r="C246" s="10">
        <v>0.54166666666666663</v>
      </c>
      <c r="D246" t="s">
        <v>221</v>
      </c>
      <c r="E246" t="s">
        <v>211</v>
      </c>
      <c r="F246">
        <v>13</v>
      </c>
      <c r="G246" t="s">
        <v>218</v>
      </c>
      <c r="I246" t="s">
        <v>270</v>
      </c>
      <c r="L246">
        <v>7</v>
      </c>
      <c r="Q246" t="s">
        <v>239</v>
      </c>
    </row>
    <row r="247" spans="1:21" x14ac:dyDescent="0.2">
      <c r="A247" s="2">
        <v>46008</v>
      </c>
      <c r="B247" s="2">
        <f t="shared" si="3"/>
        <v>45992</v>
      </c>
      <c r="C247" s="10">
        <v>0.625</v>
      </c>
      <c r="D247" t="s">
        <v>333</v>
      </c>
      <c r="E247" t="s">
        <v>211</v>
      </c>
      <c r="F247">
        <v>7</v>
      </c>
      <c r="K247" t="s">
        <v>371</v>
      </c>
      <c r="Q247" t="s">
        <v>246</v>
      </c>
    </row>
    <row r="248" spans="1:21" x14ac:dyDescent="0.2">
      <c r="A248" s="2">
        <v>46009</v>
      </c>
      <c r="B248" s="2">
        <f t="shared" si="3"/>
        <v>45992</v>
      </c>
      <c r="C248" s="10">
        <v>0.41666666666666669</v>
      </c>
      <c r="D248" t="s">
        <v>219</v>
      </c>
      <c r="E248" t="s">
        <v>211</v>
      </c>
      <c r="F248">
        <v>9</v>
      </c>
      <c r="G248" t="s">
        <v>77</v>
      </c>
      <c r="I248" t="s">
        <v>213</v>
      </c>
      <c r="K248" t="s">
        <v>370</v>
      </c>
      <c r="L248">
        <v>9</v>
      </c>
      <c r="M248" t="s">
        <v>369</v>
      </c>
      <c r="N248">
        <v>7189</v>
      </c>
      <c r="Q248" t="s">
        <v>239</v>
      </c>
    </row>
    <row r="249" spans="1:21" x14ac:dyDescent="0.2">
      <c r="A249" s="2">
        <v>46010</v>
      </c>
      <c r="B249" s="2">
        <f t="shared" si="3"/>
        <v>45992</v>
      </c>
      <c r="C249" s="10">
        <v>0.45833333333333331</v>
      </c>
      <c r="D249" t="s">
        <v>238</v>
      </c>
      <c r="E249" t="s">
        <v>211</v>
      </c>
      <c r="F249">
        <v>16</v>
      </c>
      <c r="I249" t="s">
        <v>215</v>
      </c>
      <c r="K249" t="s">
        <v>368</v>
      </c>
      <c r="Q249" t="s">
        <v>237</v>
      </c>
    </row>
    <row r="250" spans="1:21" x14ac:dyDescent="0.2">
      <c r="A250" s="2">
        <v>46010</v>
      </c>
      <c r="B250" s="2">
        <f t="shared" si="3"/>
        <v>45992</v>
      </c>
      <c r="C250" s="10">
        <v>0.66666666666666663</v>
      </c>
      <c r="D250" t="s">
        <v>214</v>
      </c>
      <c r="E250" t="s">
        <v>211</v>
      </c>
      <c r="F250">
        <v>8</v>
      </c>
      <c r="I250" t="s">
        <v>229</v>
      </c>
      <c r="Q250" t="s">
        <v>237</v>
      </c>
    </row>
    <row r="251" spans="1:21" ht="204" x14ac:dyDescent="0.2">
      <c r="A251" s="2">
        <v>46027</v>
      </c>
      <c r="B251" s="2">
        <f t="shared" si="3"/>
        <v>46023</v>
      </c>
      <c r="C251" s="10">
        <v>0.5</v>
      </c>
      <c r="D251" t="s">
        <v>251</v>
      </c>
      <c r="E251" t="s">
        <v>211</v>
      </c>
      <c r="F251">
        <v>17</v>
      </c>
      <c r="G251" t="s">
        <v>243</v>
      </c>
      <c r="I251" t="s">
        <v>215</v>
      </c>
      <c r="L251">
        <v>8</v>
      </c>
      <c r="M251" s="11" t="s">
        <v>367</v>
      </c>
      <c r="Q251" t="s">
        <v>239</v>
      </c>
    </row>
    <row r="252" spans="1:21" x14ac:dyDescent="0.2">
      <c r="A252" s="2">
        <v>46027</v>
      </c>
      <c r="B252" s="2">
        <f t="shared" si="3"/>
        <v>46023</v>
      </c>
      <c r="C252" s="10">
        <v>0.625</v>
      </c>
      <c r="D252" t="s">
        <v>234</v>
      </c>
      <c r="E252" t="s">
        <v>211</v>
      </c>
      <c r="F252">
        <v>6</v>
      </c>
      <c r="Q252" t="s">
        <v>246</v>
      </c>
      <c r="R252" t="s">
        <v>245</v>
      </c>
    </row>
    <row r="253" spans="1:21" x14ac:dyDescent="0.2">
      <c r="A253" s="2">
        <v>46028</v>
      </c>
      <c r="B253" s="2">
        <f t="shared" si="3"/>
        <v>46023</v>
      </c>
      <c r="C253" s="10">
        <v>0.39583333333333331</v>
      </c>
      <c r="D253" t="s">
        <v>244</v>
      </c>
      <c r="E253" t="s">
        <v>211</v>
      </c>
      <c r="F253">
        <v>11</v>
      </c>
      <c r="K253" t="s">
        <v>366</v>
      </c>
      <c r="Q253" t="s">
        <v>246</v>
      </c>
      <c r="R253" t="s">
        <v>265</v>
      </c>
    </row>
    <row r="254" spans="1:21" x14ac:dyDescent="0.2">
      <c r="A254" s="2">
        <v>46028</v>
      </c>
      <c r="B254" s="2">
        <f t="shared" si="3"/>
        <v>46023</v>
      </c>
      <c r="C254" s="10">
        <v>0.41666666666666669</v>
      </c>
      <c r="D254" t="s">
        <v>247</v>
      </c>
      <c r="E254" t="s">
        <v>211</v>
      </c>
      <c r="F254">
        <v>11</v>
      </c>
      <c r="G254" t="s">
        <v>87</v>
      </c>
      <c r="I254" t="s">
        <v>270</v>
      </c>
      <c r="L254">
        <v>9</v>
      </c>
      <c r="M254" t="s">
        <v>365</v>
      </c>
      <c r="N254">
        <v>7270</v>
      </c>
      <c r="Q254" t="s">
        <v>239</v>
      </c>
    </row>
    <row r="255" spans="1:21" x14ac:dyDescent="0.2">
      <c r="A255" s="2">
        <v>46028</v>
      </c>
      <c r="B255" s="2">
        <f t="shared" si="3"/>
        <v>46023</v>
      </c>
      <c r="C255" s="10">
        <v>0.41666666666666669</v>
      </c>
      <c r="D255" t="s">
        <v>262</v>
      </c>
      <c r="E255" t="s">
        <v>211</v>
      </c>
      <c r="F255">
        <v>17</v>
      </c>
      <c r="G255" t="s">
        <v>168</v>
      </c>
      <c r="I255" t="s">
        <v>229</v>
      </c>
      <c r="L255">
        <v>10</v>
      </c>
      <c r="M255" t="s">
        <v>364</v>
      </c>
      <c r="N255">
        <v>7269</v>
      </c>
      <c r="Q255" t="s">
        <v>239</v>
      </c>
    </row>
    <row r="256" spans="1:21" x14ac:dyDescent="0.2">
      <c r="A256" s="2">
        <v>46028</v>
      </c>
      <c r="B256" s="2">
        <f t="shared" si="3"/>
        <v>46023</v>
      </c>
      <c r="C256" s="10">
        <v>0.58333333333333337</v>
      </c>
      <c r="D256" t="s">
        <v>228</v>
      </c>
      <c r="E256" t="s">
        <v>211</v>
      </c>
      <c r="F256">
        <v>10</v>
      </c>
      <c r="G256" t="s">
        <v>243</v>
      </c>
      <c r="I256" t="s">
        <v>213</v>
      </c>
      <c r="L256" t="s">
        <v>241</v>
      </c>
      <c r="M256" t="s">
        <v>363</v>
      </c>
      <c r="Q256" t="s">
        <v>239</v>
      </c>
    </row>
    <row r="257" spans="1:21" x14ac:dyDescent="0.2">
      <c r="A257" s="2">
        <v>46028</v>
      </c>
      <c r="B257" s="2">
        <f t="shared" si="3"/>
        <v>46023</v>
      </c>
      <c r="C257" s="10">
        <v>0.625</v>
      </c>
      <c r="D257" t="s">
        <v>230</v>
      </c>
      <c r="E257" t="s">
        <v>211</v>
      </c>
      <c r="F257">
        <v>11</v>
      </c>
      <c r="G257" t="s">
        <v>243</v>
      </c>
      <c r="I257" t="s">
        <v>229</v>
      </c>
      <c r="L257">
        <v>10</v>
      </c>
      <c r="M257" t="s">
        <v>362</v>
      </c>
      <c r="Q257" t="s">
        <v>239</v>
      </c>
    </row>
    <row r="258" spans="1:21" x14ac:dyDescent="0.2">
      <c r="A258" s="2">
        <v>46029</v>
      </c>
      <c r="B258" s="2">
        <f t="shared" si="3"/>
        <v>46023</v>
      </c>
      <c r="C258" s="10">
        <v>0.41666666666666669</v>
      </c>
      <c r="D258" t="s">
        <v>227</v>
      </c>
      <c r="E258" t="s">
        <v>211</v>
      </c>
      <c r="F258">
        <v>1</v>
      </c>
      <c r="I258" t="s">
        <v>295</v>
      </c>
      <c r="Q258" t="s">
        <v>237</v>
      </c>
    </row>
    <row r="259" spans="1:21" x14ac:dyDescent="0.2">
      <c r="A259" s="2">
        <v>46029</v>
      </c>
      <c r="B259" s="2">
        <f t="shared" ref="B259:B322" si="4">DATE(YEAR(A259), MONTH(A259), 1)</f>
        <v>46023</v>
      </c>
      <c r="C259" s="10">
        <v>0.5625</v>
      </c>
      <c r="D259" t="s">
        <v>221</v>
      </c>
      <c r="E259" t="s">
        <v>211</v>
      </c>
      <c r="F259">
        <v>13</v>
      </c>
      <c r="Q259" t="s">
        <v>353</v>
      </c>
      <c r="R259" t="s">
        <v>361</v>
      </c>
      <c r="S259" t="s">
        <v>360</v>
      </c>
      <c r="U259" t="s">
        <v>359</v>
      </c>
    </row>
    <row r="260" spans="1:21" x14ac:dyDescent="0.2">
      <c r="A260" s="2">
        <v>46030</v>
      </c>
      <c r="B260" s="2">
        <f t="shared" si="4"/>
        <v>46023</v>
      </c>
      <c r="C260" s="10">
        <v>0.375</v>
      </c>
      <c r="D260" t="s">
        <v>220</v>
      </c>
      <c r="E260" t="s">
        <v>211</v>
      </c>
      <c r="F260">
        <v>7</v>
      </c>
      <c r="G260" t="s">
        <v>70</v>
      </c>
      <c r="I260" t="s">
        <v>215</v>
      </c>
      <c r="L260">
        <v>10</v>
      </c>
      <c r="M260" t="s">
        <v>358</v>
      </c>
      <c r="N260">
        <v>7314</v>
      </c>
      <c r="Q260" t="s">
        <v>239</v>
      </c>
    </row>
    <row r="261" spans="1:21" x14ac:dyDescent="0.2">
      <c r="A261" s="2">
        <v>46030</v>
      </c>
      <c r="B261" s="2">
        <f t="shared" si="4"/>
        <v>46023</v>
      </c>
      <c r="C261" s="10">
        <v>0.41666666666666669</v>
      </c>
      <c r="D261" t="s">
        <v>219</v>
      </c>
      <c r="E261" t="s">
        <v>211</v>
      </c>
      <c r="F261">
        <v>9</v>
      </c>
      <c r="K261" t="s">
        <v>357</v>
      </c>
      <c r="Q261" t="s">
        <v>246</v>
      </c>
      <c r="R261" t="s">
        <v>283</v>
      </c>
    </row>
    <row r="262" spans="1:21" ht="85" x14ac:dyDescent="0.2">
      <c r="A262" s="2">
        <v>46030</v>
      </c>
      <c r="B262" s="2">
        <f t="shared" si="4"/>
        <v>46023</v>
      </c>
      <c r="C262" s="10">
        <v>0.66666666666666663</v>
      </c>
      <c r="D262" t="s">
        <v>212</v>
      </c>
      <c r="E262" t="s">
        <v>211</v>
      </c>
      <c r="F262">
        <v>13</v>
      </c>
      <c r="K262" s="11" t="s">
        <v>356</v>
      </c>
      <c r="Q262" t="s">
        <v>246</v>
      </c>
      <c r="R262" t="s">
        <v>355</v>
      </c>
    </row>
    <row r="263" spans="1:21" x14ac:dyDescent="0.2">
      <c r="A263" s="2">
        <v>46031</v>
      </c>
      <c r="B263" s="2">
        <f t="shared" si="4"/>
        <v>46023</v>
      </c>
      <c r="C263" s="10">
        <v>0.41666666666666669</v>
      </c>
      <c r="D263" t="s">
        <v>267</v>
      </c>
      <c r="E263" t="s">
        <v>211</v>
      </c>
      <c r="F263">
        <v>8</v>
      </c>
      <c r="Q263" t="s">
        <v>246</v>
      </c>
      <c r="R263" t="s">
        <v>283</v>
      </c>
    </row>
    <row r="264" spans="1:21" ht="409.6" x14ac:dyDescent="0.2">
      <c r="A264" s="2">
        <v>46031</v>
      </c>
      <c r="B264" s="2">
        <f t="shared" si="4"/>
        <v>46023</v>
      </c>
      <c r="C264" s="10">
        <v>0.66666666666666663</v>
      </c>
      <c r="D264" t="s">
        <v>214</v>
      </c>
      <c r="E264" t="s">
        <v>211</v>
      </c>
      <c r="F264">
        <v>8</v>
      </c>
      <c r="G264" t="s">
        <v>151</v>
      </c>
      <c r="H264" t="s">
        <v>225</v>
      </c>
      <c r="I264" t="s">
        <v>213</v>
      </c>
      <c r="K264" t="s">
        <v>232</v>
      </c>
      <c r="L264" t="s">
        <v>241</v>
      </c>
      <c r="M264" s="11" t="s">
        <v>354</v>
      </c>
      <c r="N264">
        <v>7358</v>
      </c>
      <c r="Q264" t="s">
        <v>239</v>
      </c>
    </row>
    <row r="265" spans="1:21" x14ac:dyDescent="0.2">
      <c r="A265" s="2">
        <v>46034</v>
      </c>
      <c r="B265" s="2">
        <f t="shared" si="4"/>
        <v>46023</v>
      </c>
      <c r="C265" s="10">
        <v>0.5</v>
      </c>
      <c r="D265" t="s">
        <v>267</v>
      </c>
      <c r="E265" t="s">
        <v>211</v>
      </c>
      <c r="F265">
        <v>8</v>
      </c>
      <c r="Q265" t="s">
        <v>246</v>
      </c>
      <c r="R265" t="s">
        <v>283</v>
      </c>
    </row>
    <row r="266" spans="1:21" x14ac:dyDescent="0.2">
      <c r="A266" s="2">
        <v>46034</v>
      </c>
      <c r="B266" s="2">
        <f t="shared" si="4"/>
        <v>46023</v>
      </c>
      <c r="C266" s="10">
        <v>0.625</v>
      </c>
      <c r="D266" t="s">
        <v>234</v>
      </c>
      <c r="E266" t="s">
        <v>211</v>
      </c>
      <c r="F266">
        <v>6</v>
      </c>
      <c r="Q266" t="s">
        <v>353</v>
      </c>
    </row>
    <row r="267" spans="1:21" x14ac:dyDescent="0.2">
      <c r="A267" s="2">
        <v>46035</v>
      </c>
      <c r="B267" s="2">
        <f t="shared" si="4"/>
        <v>46023</v>
      </c>
      <c r="C267" s="10">
        <v>0.39583333333333331</v>
      </c>
      <c r="D267" t="s">
        <v>244</v>
      </c>
      <c r="E267" t="s">
        <v>211</v>
      </c>
      <c r="F267">
        <v>11</v>
      </c>
      <c r="G267" t="s">
        <v>73</v>
      </c>
      <c r="I267" t="s">
        <v>215</v>
      </c>
      <c r="K267" t="s">
        <v>232</v>
      </c>
      <c r="L267">
        <v>7</v>
      </c>
      <c r="M267" t="s">
        <v>352</v>
      </c>
      <c r="N267">
        <v>7381</v>
      </c>
      <c r="Q267" t="s">
        <v>239</v>
      </c>
    </row>
    <row r="268" spans="1:21" ht="187" x14ac:dyDescent="0.2">
      <c r="A268" s="2">
        <v>46036</v>
      </c>
      <c r="B268" s="2">
        <f t="shared" si="4"/>
        <v>46023</v>
      </c>
      <c r="C268" s="10">
        <v>0.41666666666666669</v>
      </c>
      <c r="D268" t="s">
        <v>222</v>
      </c>
      <c r="E268" t="s">
        <v>211</v>
      </c>
      <c r="F268">
        <v>10</v>
      </c>
      <c r="G268" t="s">
        <v>218</v>
      </c>
      <c r="I268" t="s">
        <v>213</v>
      </c>
      <c r="L268">
        <v>8</v>
      </c>
      <c r="M268" s="11" t="s">
        <v>351</v>
      </c>
      <c r="N268">
        <v>7399</v>
      </c>
      <c r="Q268" t="s">
        <v>239</v>
      </c>
    </row>
    <row r="269" spans="1:21" x14ac:dyDescent="0.2">
      <c r="A269" s="2">
        <v>46036</v>
      </c>
      <c r="B269" s="2">
        <f t="shared" si="4"/>
        <v>46023</v>
      </c>
      <c r="C269" s="10">
        <v>0.45833333333333331</v>
      </c>
      <c r="D269" t="s">
        <v>223</v>
      </c>
      <c r="E269" t="s">
        <v>211</v>
      </c>
      <c r="F269">
        <v>14</v>
      </c>
      <c r="G269" t="s">
        <v>100</v>
      </c>
      <c r="I269" t="s">
        <v>215</v>
      </c>
      <c r="L269">
        <v>10</v>
      </c>
      <c r="M269" t="s">
        <v>350</v>
      </c>
      <c r="N269">
        <v>7400</v>
      </c>
      <c r="Q269" t="s">
        <v>239</v>
      </c>
    </row>
    <row r="270" spans="1:21" x14ac:dyDescent="0.2">
      <c r="A270" s="2">
        <v>46036</v>
      </c>
      <c r="B270" s="2">
        <f t="shared" si="4"/>
        <v>46023</v>
      </c>
      <c r="C270" s="10">
        <v>0.625</v>
      </c>
      <c r="D270" t="s">
        <v>234</v>
      </c>
      <c r="E270" t="s">
        <v>211</v>
      </c>
      <c r="F270">
        <v>6</v>
      </c>
      <c r="G270" t="s">
        <v>235</v>
      </c>
      <c r="H270" t="s">
        <v>225</v>
      </c>
      <c r="I270" t="s">
        <v>349</v>
      </c>
      <c r="L270" t="s">
        <v>241</v>
      </c>
      <c r="M270" t="s">
        <v>348</v>
      </c>
      <c r="Q270" t="s">
        <v>239</v>
      </c>
    </row>
    <row r="271" spans="1:21" x14ac:dyDescent="0.2">
      <c r="A271" s="2">
        <v>46037</v>
      </c>
      <c r="B271" s="2">
        <f t="shared" si="4"/>
        <v>46023</v>
      </c>
      <c r="C271" s="10">
        <v>0.375</v>
      </c>
      <c r="D271" t="s">
        <v>220</v>
      </c>
      <c r="E271" t="s">
        <v>211</v>
      </c>
      <c r="F271">
        <v>7</v>
      </c>
      <c r="G271" t="s">
        <v>151</v>
      </c>
      <c r="H271" t="s">
        <v>225</v>
      </c>
      <c r="I271" t="s">
        <v>215</v>
      </c>
      <c r="L271">
        <v>10</v>
      </c>
      <c r="M271" t="s">
        <v>347</v>
      </c>
      <c r="N271">
        <v>7417</v>
      </c>
      <c r="Q271" t="s">
        <v>239</v>
      </c>
    </row>
    <row r="272" spans="1:21" x14ac:dyDescent="0.2">
      <c r="A272" s="2">
        <v>46037</v>
      </c>
      <c r="B272" s="2">
        <f t="shared" si="4"/>
        <v>46023</v>
      </c>
      <c r="C272" s="10">
        <v>0.41666666666666669</v>
      </c>
      <c r="D272" t="s">
        <v>219</v>
      </c>
      <c r="E272" t="s">
        <v>211</v>
      </c>
      <c r="F272">
        <v>9</v>
      </c>
      <c r="I272" t="s">
        <v>270</v>
      </c>
      <c r="K272" t="s">
        <v>232</v>
      </c>
      <c r="Q272" t="s">
        <v>253</v>
      </c>
      <c r="R272" t="s">
        <v>346</v>
      </c>
    </row>
    <row r="273" spans="1:19" ht="409.6" x14ac:dyDescent="0.2">
      <c r="A273" s="2">
        <v>46037</v>
      </c>
      <c r="B273" s="2">
        <f t="shared" si="4"/>
        <v>46023</v>
      </c>
      <c r="C273" s="10">
        <v>0.625</v>
      </c>
      <c r="D273" t="s">
        <v>212</v>
      </c>
      <c r="E273" t="s">
        <v>211</v>
      </c>
      <c r="F273">
        <v>13</v>
      </c>
      <c r="G273" t="s">
        <v>218</v>
      </c>
      <c r="I273" t="s">
        <v>213</v>
      </c>
      <c r="L273">
        <v>7</v>
      </c>
      <c r="M273" s="11" t="s">
        <v>345</v>
      </c>
      <c r="N273">
        <v>7433</v>
      </c>
      <c r="Q273" t="s">
        <v>239</v>
      </c>
    </row>
    <row r="274" spans="1:19" x14ac:dyDescent="0.2">
      <c r="A274" s="2">
        <v>46038</v>
      </c>
      <c r="B274" s="2">
        <f t="shared" si="4"/>
        <v>46023</v>
      </c>
      <c r="C274" s="10">
        <v>0.45833333333333331</v>
      </c>
      <c r="D274" t="s">
        <v>238</v>
      </c>
      <c r="E274" t="s">
        <v>211</v>
      </c>
      <c r="F274">
        <v>16</v>
      </c>
      <c r="G274" t="s">
        <v>261</v>
      </c>
      <c r="I274" t="s">
        <v>215</v>
      </c>
      <c r="K274" t="s">
        <v>344</v>
      </c>
      <c r="L274">
        <v>10</v>
      </c>
      <c r="M274" t="s">
        <v>343</v>
      </c>
      <c r="N274">
        <v>7448</v>
      </c>
      <c r="Q274" t="s">
        <v>239</v>
      </c>
    </row>
    <row r="275" spans="1:19" x14ac:dyDescent="0.2">
      <c r="A275" s="2">
        <v>46038</v>
      </c>
      <c r="B275" s="2">
        <f t="shared" si="4"/>
        <v>46023</v>
      </c>
      <c r="C275" s="10">
        <v>0.45833333333333331</v>
      </c>
      <c r="D275" t="s">
        <v>267</v>
      </c>
      <c r="E275" t="s">
        <v>211</v>
      </c>
      <c r="F275">
        <v>8</v>
      </c>
      <c r="I275" t="s">
        <v>229</v>
      </c>
      <c r="Q275" t="s">
        <v>253</v>
      </c>
      <c r="R275" t="s">
        <v>342</v>
      </c>
    </row>
    <row r="276" spans="1:19" x14ac:dyDescent="0.2">
      <c r="A276" s="2">
        <v>46041</v>
      </c>
      <c r="B276" s="2">
        <f t="shared" si="4"/>
        <v>46023</v>
      </c>
      <c r="C276" s="10">
        <v>0.5</v>
      </c>
      <c r="D276" t="s">
        <v>251</v>
      </c>
      <c r="E276" t="s">
        <v>211</v>
      </c>
      <c r="F276">
        <v>17</v>
      </c>
      <c r="G276" t="s">
        <v>168</v>
      </c>
      <c r="I276" t="s">
        <v>215</v>
      </c>
      <c r="L276">
        <v>10</v>
      </c>
      <c r="M276" t="s">
        <v>341</v>
      </c>
      <c r="N276">
        <v>7459</v>
      </c>
      <c r="Q276" t="s">
        <v>239</v>
      </c>
    </row>
    <row r="277" spans="1:19" x14ac:dyDescent="0.2">
      <c r="A277" s="2">
        <v>46041</v>
      </c>
      <c r="B277" s="2">
        <f t="shared" si="4"/>
        <v>46023</v>
      </c>
      <c r="C277" s="10">
        <v>0.5</v>
      </c>
      <c r="D277" t="s">
        <v>267</v>
      </c>
      <c r="E277" t="s">
        <v>211</v>
      </c>
      <c r="F277">
        <v>8</v>
      </c>
      <c r="G277" t="s">
        <v>218</v>
      </c>
      <c r="I277" t="s">
        <v>229</v>
      </c>
      <c r="L277">
        <v>10</v>
      </c>
      <c r="M277" t="s">
        <v>340</v>
      </c>
      <c r="N277">
        <v>7460</v>
      </c>
      <c r="Q277" t="s">
        <v>239</v>
      </c>
    </row>
    <row r="278" spans="1:19" x14ac:dyDescent="0.2">
      <c r="A278" s="2">
        <v>46041</v>
      </c>
      <c r="B278" s="2">
        <f t="shared" si="4"/>
        <v>46023</v>
      </c>
      <c r="C278" s="10">
        <v>0.625</v>
      </c>
      <c r="D278" t="s">
        <v>234</v>
      </c>
      <c r="E278" t="s">
        <v>211</v>
      </c>
      <c r="F278">
        <v>6</v>
      </c>
      <c r="Q278" t="s">
        <v>246</v>
      </c>
      <c r="R278" t="s">
        <v>245</v>
      </c>
    </row>
    <row r="279" spans="1:19" x14ac:dyDescent="0.2">
      <c r="A279" s="2">
        <v>46042</v>
      </c>
      <c r="B279" s="2">
        <f t="shared" si="4"/>
        <v>46023</v>
      </c>
      <c r="C279" s="10">
        <v>0.41666666666666669</v>
      </c>
      <c r="D279" t="s">
        <v>247</v>
      </c>
      <c r="E279" t="s">
        <v>211</v>
      </c>
      <c r="F279">
        <v>11</v>
      </c>
      <c r="G279" t="s">
        <v>243</v>
      </c>
      <c r="I279" t="s">
        <v>270</v>
      </c>
      <c r="L279">
        <v>9</v>
      </c>
      <c r="M279" t="s">
        <v>339</v>
      </c>
      <c r="Q279" t="s">
        <v>239</v>
      </c>
    </row>
    <row r="280" spans="1:19" x14ac:dyDescent="0.2">
      <c r="A280" s="2">
        <v>46042</v>
      </c>
      <c r="B280" s="2">
        <f t="shared" si="4"/>
        <v>46023</v>
      </c>
      <c r="C280" s="10">
        <v>0.41666666666666669</v>
      </c>
      <c r="D280" t="s">
        <v>262</v>
      </c>
      <c r="E280" t="s">
        <v>211</v>
      </c>
      <c r="F280">
        <v>17</v>
      </c>
      <c r="G280" t="s">
        <v>318</v>
      </c>
      <c r="I280" t="s">
        <v>229</v>
      </c>
      <c r="L280">
        <v>10</v>
      </c>
      <c r="M280" t="s">
        <v>338</v>
      </c>
      <c r="Q280" t="s">
        <v>239</v>
      </c>
    </row>
    <row r="281" spans="1:19" x14ac:dyDescent="0.2">
      <c r="A281" s="2">
        <v>46042</v>
      </c>
      <c r="B281" s="2">
        <f t="shared" si="4"/>
        <v>46023</v>
      </c>
      <c r="C281" s="10">
        <v>0.58333333333333337</v>
      </c>
      <c r="D281" t="s">
        <v>228</v>
      </c>
      <c r="E281" t="s">
        <v>211</v>
      </c>
      <c r="F281">
        <v>10</v>
      </c>
      <c r="Q281" t="s">
        <v>246</v>
      </c>
      <c r="R281" t="s">
        <v>337</v>
      </c>
    </row>
    <row r="282" spans="1:19" x14ac:dyDescent="0.2">
      <c r="A282" s="2">
        <v>46042</v>
      </c>
      <c r="B282" s="2">
        <f t="shared" si="4"/>
        <v>46023</v>
      </c>
      <c r="C282" s="10">
        <v>0.625</v>
      </c>
      <c r="D282" t="s">
        <v>230</v>
      </c>
      <c r="E282" t="s">
        <v>211</v>
      </c>
      <c r="F282">
        <v>11</v>
      </c>
      <c r="G282" t="s">
        <v>218</v>
      </c>
      <c r="I282" t="s">
        <v>229</v>
      </c>
      <c r="L282">
        <v>8</v>
      </c>
      <c r="M282" t="s">
        <v>336</v>
      </c>
      <c r="N282">
        <v>7473</v>
      </c>
      <c r="Q282" t="s">
        <v>239</v>
      </c>
    </row>
    <row r="283" spans="1:19" x14ac:dyDescent="0.2">
      <c r="A283" s="2">
        <v>46043</v>
      </c>
      <c r="B283" s="2">
        <f t="shared" si="4"/>
        <v>46023</v>
      </c>
      <c r="C283" s="10">
        <v>0.54166666666666663</v>
      </c>
      <c r="D283" t="s">
        <v>221</v>
      </c>
      <c r="E283" t="s">
        <v>211</v>
      </c>
      <c r="F283">
        <v>13</v>
      </c>
      <c r="G283" t="s">
        <v>100</v>
      </c>
      <c r="I283" t="s">
        <v>270</v>
      </c>
      <c r="K283" t="s">
        <v>335</v>
      </c>
      <c r="L283">
        <v>9</v>
      </c>
      <c r="M283" t="s">
        <v>334</v>
      </c>
      <c r="N283">
        <v>7485</v>
      </c>
      <c r="Q283" t="s">
        <v>239</v>
      </c>
    </row>
    <row r="284" spans="1:19" x14ac:dyDescent="0.2">
      <c r="A284" s="2">
        <v>46043</v>
      </c>
      <c r="B284" s="2">
        <f t="shared" si="4"/>
        <v>46023</v>
      </c>
      <c r="C284" s="10">
        <v>0.625</v>
      </c>
      <c r="D284" t="s">
        <v>333</v>
      </c>
      <c r="E284" t="s">
        <v>211</v>
      </c>
      <c r="F284">
        <v>7</v>
      </c>
      <c r="K284" t="s">
        <v>232</v>
      </c>
      <c r="Q284" t="s">
        <v>246</v>
      </c>
      <c r="R284" t="s">
        <v>332</v>
      </c>
    </row>
    <row r="285" spans="1:19" x14ac:dyDescent="0.2">
      <c r="A285" s="2">
        <v>46044</v>
      </c>
      <c r="B285" s="2">
        <f t="shared" si="4"/>
        <v>46023</v>
      </c>
      <c r="C285" s="10">
        <v>0.41666666666666669</v>
      </c>
      <c r="D285" t="s">
        <v>219</v>
      </c>
      <c r="E285" t="s">
        <v>211</v>
      </c>
      <c r="F285">
        <v>9</v>
      </c>
      <c r="G285" t="s">
        <v>73</v>
      </c>
      <c r="I285" t="s">
        <v>270</v>
      </c>
      <c r="K285" t="s">
        <v>232</v>
      </c>
      <c r="L285">
        <v>9</v>
      </c>
      <c r="M285" t="s">
        <v>331</v>
      </c>
      <c r="Q285" t="s">
        <v>239</v>
      </c>
    </row>
    <row r="286" spans="1:19" x14ac:dyDescent="0.2">
      <c r="A286" s="2">
        <v>46048</v>
      </c>
      <c r="B286" s="2">
        <f t="shared" si="4"/>
        <v>46023</v>
      </c>
      <c r="C286" s="10">
        <v>0.625</v>
      </c>
      <c r="D286" t="s">
        <v>234</v>
      </c>
      <c r="E286" t="s">
        <v>211</v>
      </c>
      <c r="F286">
        <v>6</v>
      </c>
      <c r="Q286" t="s">
        <v>274</v>
      </c>
      <c r="R286" t="s">
        <v>330</v>
      </c>
    </row>
    <row r="287" spans="1:19" x14ac:dyDescent="0.2">
      <c r="A287" s="2">
        <v>46049</v>
      </c>
      <c r="B287" s="2">
        <f t="shared" si="4"/>
        <v>46023</v>
      </c>
      <c r="C287" s="10">
        <v>0.625</v>
      </c>
      <c r="D287" t="s">
        <v>228</v>
      </c>
      <c r="E287" t="s">
        <v>211</v>
      </c>
      <c r="F287">
        <v>10</v>
      </c>
      <c r="Q287" t="s">
        <v>246</v>
      </c>
      <c r="R287" t="s">
        <v>329</v>
      </c>
      <c r="S287" t="s">
        <v>328</v>
      </c>
    </row>
    <row r="288" spans="1:19" x14ac:dyDescent="0.2">
      <c r="A288" s="2">
        <v>46050</v>
      </c>
      <c r="B288" s="2">
        <f t="shared" si="4"/>
        <v>46023</v>
      </c>
      <c r="C288" s="10">
        <v>0.39583333333333331</v>
      </c>
      <c r="D288" t="s">
        <v>244</v>
      </c>
      <c r="E288" t="s">
        <v>211</v>
      </c>
      <c r="F288">
        <v>11</v>
      </c>
      <c r="Q288" t="s">
        <v>253</v>
      </c>
      <c r="R288" t="s">
        <v>327</v>
      </c>
    </row>
    <row r="289" spans="1:21" x14ac:dyDescent="0.2">
      <c r="A289" s="2">
        <v>46050</v>
      </c>
      <c r="B289" s="2">
        <f t="shared" si="4"/>
        <v>46023</v>
      </c>
      <c r="C289" s="10">
        <v>0.45833333333333331</v>
      </c>
      <c r="D289" t="s">
        <v>223</v>
      </c>
      <c r="E289" t="s">
        <v>211</v>
      </c>
      <c r="F289">
        <v>14</v>
      </c>
      <c r="Q289" t="s">
        <v>246</v>
      </c>
      <c r="R289" t="s">
        <v>326</v>
      </c>
      <c r="S289" t="s">
        <v>325</v>
      </c>
    </row>
    <row r="290" spans="1:21" ht="409.6" x14ac:dyDescent="0.2">
      <c r="A290" s="2">
        <v>46050</v>
      </c>
      <c r="B290" s="2">
        <f t="shared" si="4"/>
        <v>46023</v>
      </c>
      <c r="C290" s="10">
        <v>0.625</v>
      </c>
      <c r="D290" t="s">
        <v>222</v>
      </c>
      <c r="E290" t="s">
        <v>211</v>
      </c>
      <c r="F290">
        <v>10</v>
      </c>
      <c r="G290" t="s">
        <v>243</v>
      </c>
      <c r="I290" t="s">
        <v>229</v>
      </c>
      <c r="L290">
        <v>7</v>
      </c>
      <c r="M290" s="11" t="s">
        <v>324</v>
      </c>
      <c r="Q290" t="s">
        <v>239</v>
      </c>
    </row>
    <row r="291" spans="1:21" x14ac:dyDescent="0.2">
      <c r="A291" s="2">
        <v>46051</v>
      </c>
      <c r="B291" s="2">
        <f t="shared" si="4"/>
        <v>46023</v>
      </c>
      <c r="C291" s="10">
        <v>0.375</v>
      </c>
      <c r="D291" t="s">
        <v>220</v>
      </c>
      <c r="E291" t="s">
        <v>211</v>
      </c>
      <c r="F291">
        <v>7</v>
      </c>
      <c r="G291" t="s">
        <v>73</v>
      </c>
      <c r="I291" t="s">
        <v>213</v>
      </c>
      <c r="K291" t="s">
        <v>232</v>
      </c>
      <c r="L291">
        <v>10</v>
      </c>
      <c r="M291" t="s">
        <v>323</v>
      </c>
      <c r="N291">
        <v>7551</v>
      </c>
      <c r="Q291" t="s">
        <v>239</v>
      </c>
    </row>
    <row r="292" spans="1:21" x14ac:dyDescent="0.2">
      <c r="A292" s="2">
        <v>46051</v>
      </c>
      <c r="B292" s="2">
        <f t="shared" si="4"/>
        <v>46023</v>
      </c>
      <c r="C292" s="10">
        <v>0.39583333333333331</v>
      </c>
      <c r="D292" t="s">
        <v>244</v>
      </c>
      <c r="E292" t="s">
        <v>211</v>
      </c>
      <c r="F292">
        <v>11</v>
      </c>
      <c r="I292" t="s">
        <v>215</v>
      </c>
      <c r="Q292" t="s">
        <v>322</v>
      </c>
      <c r="R292" t="s">
        <v>321</v>
      </c>
    </row>
    <row r="293" spans="1:21" x14ac:dyDescent="0.2">
      <c r="A293" s="2">
        <v>46051</v>
      </c>
      <c r="B293" s="2">
        <f t="shared" si="4"/>
        <v>46023</v>
      </c>
      <c r="C293" s="10">
        <v>0.66666666666666663</v>
      </c>
      <c r="D293" t="s">
        <v>212</v>
      </c>
      <c r="E293" t="s">
        <v>211</v>
      </c>
      <c r="F293">
        <v>13</v>
      </c>
      <c r="Q293" t="s">
        <v>246</v>
      </c>
      <c r="R293" t="s">
        <v>245</v>
      </c>
    </row>
    <row r="294" spans="1:21" x14ac:dyDescent="0.2">
      <c r="A294" s="2">
        <v>46052</v>
      </c>
      <c r="B294" s="2">
        <f t="shared" si="4"/>
        <v>46023</v>
      </c>
      <c r="C294" s="10">
        <v>0.45833333333333331</v>
      </c>
      <c r="D294" t="s">
        <v>238</v>
      </c>
      <c r="E294" t="s">
        <v>211</v>
      </c>
      <c r="F294">
        <v>16</v>
      </c>
      <c r="K294" t="s">
        <v>320</v>
      </c>
      <c r="Q294" t="s">
        <v>246</v>
      </c>
      <c r="R294" t="s">
        <v>283</v>
      </c>
    </row>
    <row r="295" spans="1:21" x14ac:dyDescent="0.2">
      <c r="A295" s="2">
        <v>46052</v>
      </c>
      <c r="B295" s="2">
        <f t="shared" si="4"/>
        <v>46023</v>
      </c>
      <c r="C295" s="10">
        <v>0.58333333333333337</v>
      </c>
      <c r="D295" t="s">
        <v>234</v>
      </c>
      <c r="E295" t="s">
        <v>211</v>
      </c>
      <c r="F295">
        <v>6</v>
      </c>
      <c r="K295" t="s">
        <v>320</v>
      </c>
      <c r="Q295" t="s">
        <v>246</v>
      </c>
      <c r="R295" t="s">
        <v>319</v>
      </c>
    </row>
    <row r="296" spans="1:21" x14ac:dyDescent="0.2">
      <c r="A296" s="2">
        <v>46055</v>
      </c>
      <c r="B296" s="2">
        <f t="shared" si="4"/>
        <v>46054</v>
      </c>
      <c r="C296" s="10">
        <v>0.5</v>
      </c>
      <c r="D296" t="s">
        <v>251</v>
      </c>
      <c r="E296" t="s">
        <v>211</v>
      </c>
      <c r="F296">
        <v>17</v>
      </c>
      <c r="G296" t="s">
        <v>318</v>
      </c>
      <c r="I296" t="s">
        <v>215</v>
      </c>
      <c r="K296" t="s">
        <v>317</v>
      </c>
      <c r="L296">
        <v>8</v>
      </c>
      <c r="M296" t="s">
        <v>316</v>
      </c>
      <c r="Q296" t="s">
        <v>239</v>
      </c>
    </row>
    <row r="297" spans="1:21" x14ac:dyDescent="0.2">
      <c r="A297" s="2">
        <v>46056</v>
      </c>
      <c r="B297" s="2">
        <f t="shared" si="4"/>
        <v>46054</v>
      </c>
      <c r="C297" s="10">
        <v>0.41666666666666669</v>
      </c>
      <c r="D297" t="s">
        <v>247</v>
      </c>
      <c r="E297" t="s">
        <v>211</v>
      </c>
      <c r="F297">
        <v>11</v>
      </c>
      <c r="G297" t="s">
        <v>315</v>
      </c>
      <c r="I297" t="s">
        <v>270</v>
      </c>
      <c r="K297" t="s">
        <v>314</v>
      </c>
      <c r="L297">
        <v>9</v>
      </c>
      <c r="M297" t="s">
        <v>313</v>
      </c>
      <c r="N297">
        <v>7596</v>
      </c>
      <c r="Q297" t="s">
        <v>239</v>
      </c>
    </row>
    <row r="298" spans="1:21" x14ac:dyDescent="0.2">
      <c r="A298" s="2">
        <v>46056</v>
      </c>
      <c r="B298" s="2">
        <f t="shared" si="4"/>
        <v>46054</v>
      </c>
      <c r="C298" s="10">
        <v>0.41666666666666669</v>
      </c>
      <c r="D298" t="s">
        <v>262</v>
      </c>
      <c r="E298" t="s">
        <v>211</v>
      </c>
      <c r="F298">
        <v>17</v>
      </c>
      <c r="G298" t="s">
        <v>282</v>
      </c>
      <c r="I298" t="s">
        <v>229</v>
      </c>
      <c r="K298" t="s">
        <v>311</v>
      </c>
      <c r="L298">
        <v>8</v>
      </c>
      <c r="M298" t="s">
        <v>312</v>
      </c>
      <c r="N298">
        <v>7595</v>
      </c>
      <c r="Q298" t="s">
        <v>239</v>
      </c>
    </row>
    <row r="299" spans="1:21" x14ac:dyDescent="0.2">
      <c r="A299" s="2">
        <v>46056</v>
      </c>
      <c r="B299" s="2">
        <f t="shared" si="4"/>
        <v>46054</v>
      </c>
      <c r="C299" s="10">
        <v>0.625</v>
      </c>
      <c r="D299" t="s">
        <v>230</v>
      </c>
      <c r="E299" t="s">
        <v>211</v>
      </c>
      <c r="F299">
        <v>11</v>
      </c>
      <c r="G299" t="s">
        <v>100</v>
      </c>
      <c r="I299" t="s">
        <v>229</v>
      </c>
      <c r="K299" t="s">
        <v>311</v>
      </c>
      <c r="L299">
        <v>6</v>
      </c>
      <c r="M299" t="s">
        <v>310</v>
      </c>
      <c r="N299">
        <v>7607</v>
      </c>
      <c r="Q299" t="s">
        <v>239</v>
      </c>
    </row>
    <row r="300" spans="1:21" x14ac:dyDescent="0.2">
      <c r="A300" s="2">
        <v>46056</v>
      </c>
      <c r="B300" s="2">
        <f t="shared" si="4"/>
        <v>46054</v>
      </c>
      <c r="C300" s="10">
        <v>0.66666666666666663</v>
      </c>
      <c r="D300" t="s">
        <v>234</v>
      </c>
      <c r="E300" t="s">
        <v>211</v>
      </c>
      <c r="F300">
        <v>6</v>
      </c>
      <c r="Q300" t="s">
        <v>246</v>
      </c>
      <c r="R300" t="s">
        <v>309</v>
      </c>
    </row>
    <row r="301" spans="1:21" ht="409.6" x14ac:dyDescent="0.2">
      <c r="A301" s="2">
        <v>46057</v>
      </c>
      <c r="B301" s="2">
        <f t="shared" si="4"/>
        <v>46054</v>
      </c>
      <c r="C301" s="10">
        <v>0.39583333333333331</v>
      </c>
      <c r="D301" t="s">
        <v>244</v>
      </c>
      <c r="E301" t="s">
        <v>211</v>
      </c>
      <c r="F301">
        <v>11</v>
      </c>
      <c r="G301" t="s">
        <v>100</v>
      </c>
      <c r="I301" t="s">
        <v>215</v>
      </c>
      <c r="L301">
        <v>8</v>
      </c>
      <c r="M301" t="s">
        <v>308</v>
      </c>
      <c r="N301">
        <v>7611</v>
      </c>
      <c r="Q301" t="s">
        <v>239</v>
      </c>
      <c r="S301" t="s">
        <v>307</v>
      </c>
      <c r="T301" t="s">
        <v>225</v>
      </c>
      <c r="U301" s="11" t="s">
        <v>306</v>
      </c>
    </row>
    <row r="302" spans="1:21" x14ac:dyDescent="0.2">
      <c r="A302" s="2">
        <v>46057</v>
      </c>
      <c r="B302" s="2">
        <f t="shared" si="4"/>
        <v>46054</v>
      </c>
      <c r="C302" s="10">
        <v>0.54166666666666663</v>
      </c>
      <c r="D302" t="s">
        <v>221</v>
      </c>
      <c r="E302" t="s">
        <v>211</v>
      </c>
      <c r="F302">
        <v>13</v>
      </c>
      <c r="Q302" t="s">
        <v>246</v>
      </c>
      <c r="R302" t="s">
        <v>305</v>
      </c>
    </row>
    <row r="303" spans="1:21" x14ac:dyDescent="0.2">
      <c r="A303" s="2">
        <v>46058</v>
      </c>
      <c r="B303" s="2">
        <f t="shared" si="4"/>
        <v>46054</v>
      </c>
      <c r="C303" s="10">
        <v>0.41666666666666669</v>
      </c>
      <c r="D303" t="s">
        <v>219</v>
      </c>
      <c r="E303" t="s">
        <v>211</v>
      </c>
      <c r="F303">
        <v>9</v>
      </c>
      <c r="Q303" t="s">
        <v>246</v>
      </c>
      <c r="R303" t="s">
        <v>283</v>
      </c>
    </row>
    <row r="304" spans="1:21" x14ac:dyDescent="0.2">
      <c r="A304" s="2">
        <v>46059</v>
      </c>
      <c r="B304" s="2">
        <f t="shared" si="4"/>
        <v>46054</v>
      </c>
      <c r="C304" s="10">
        <v>0.41666666666666669</v>
      </c>
      <c r="D304" t="s">
        <v>267</v>
      </c>
      <c r="E304" t="s">
        <v>211</v>
      </c>
      <c r="F304">
        <v>8</v>
      </c>
      <c r="I304" t="s">
        <v>213</v>
      </c>
      <c r="Q304" t="s">
        <v>237</v>
      </c>
    </row>
    <row r="305" spans="1:21" x14ac:dyDescent="0.2">
      <c r="A305" s="2">
        <v>46059</v>
      </c>
      <c r="B305" s="2">
        <f t="shared" si="4"/>
        <v>46054</v>
      </c>
      <c r="C305" s="10">
        <v>0.66666666666666663</v>
      </c>
      <c r="D305" t="s">
        <v>214</v>
      </c>
      <c r="E305" t="s">
        <v>211</v>
      </c>
      <c r="F305">
        <v>8</v>
      </c>
      <c r="G305" t="s">
        <v>100</v>
      </c>
      <c r="I305" t="s">
        <v>213</v>
      </c>
      <c r="L305">
        <v>10</v>
      </c>
      <c r="M305" t="s">
        <v>304</v>
      </c>
      <c r="N305">
        <v>7661</v>
      </c>
      <c r="Q305" t="s">
        <v>239</v>
      </c>
    </row>
    <row r="306" spans="1:21" x14ac:dyDescent="0.2">
      <c r="A306" s="2">
        <v>46062</v>
      </c>
      <c r="B306" s="2">
        <f t="shared" si="4"/>
        <v>46054</v>
      </c>
      <c r="C306" s="10">
        <v>0.625</v>
      </c>
      <c r="D306" t="s">
        <v>234</v>
      </c>
      <c r="E306" t="s">
        <v>211</v>
      </c>
      <c r="F306">
        <v>6</v>
      </c>
      <c r="G306" t="s">
        <v>277</v>
      </c>
      <c r="I306" t="s">
        <v>213</v>
      </c>
      <c r="L306">
        <v>10</v>
      </c>
      <c r="M306" t="s">
        <v>303</v>
      </c>
      <c r="N306">
        <v>7668</v>
      </c>
      <c r="Q306" t="s">
        <v>239</v>
      </c>
    </row>
    <row r="307" spans="1:21" x14ac:dyDescent="0.2">
      <c r="A307" s="2">
        <v>46063</v>
      </c>
      <c r="B307" s="2">
        <f t="shared" si="4"/>
        <v>46054</v>
      </c>
      <c r="C307" s="10">
        <v>0.625</v>
      </c>
      <c r="D307" t="s">
        <v>228</v>
      </c>
      <c r="E307" t="s">
        <v>211</v>
      </c>
      <c r="F307">
        <v>10</v>
      </c>
      <c r="I307" t="s">
        <v>213</v>
      </c>
      <c r="Q307" t="s">
        <v>237</v>
      </c>
    </row>
    <row r="308" spans="1:21" x14ac:dyDescent="0.2">
      <c r="A308" s="2">
        <v>46064</v>
      </c>
      <c r="B308" s="2">
        <f t="shared" si="4"/>
        <v>46054</v>
      </c>
      <c r="C308" s="10">
        <v>0.45833333333333331</v>
      </c>
      <c r="D308" t="s">
        <v>222</v>
      </c>
      <c r="E308" t="s">
        <v>211</v>
      </c>
      <c r="F308">
        <v>10</v>
      </c>
      <c r="I308" t="s">
        <v>270</v>
      </c>
      <c r="Q308" t="s">
        <v>237</v>
      </c>
    </row>
    <row r="309" spans="1:21" x14ac:dyDescent="0.2">
      <c r="A309" s="2">
        <v>46064</v>
      </c>
      <c r="B309" s="2">
        <f t="shared" si="4"/>
        <v>46054</v>
      </c>
      <c r="C309" s="10">
        <v>0.54166666666666663</v>
      </c>
      <c r="D309" t="s">
        <v>221</v>
      </c>
      <c r="E309" t="s">
        <v>211</v>
      </c>
      <c r="F309">
        <v>13</v>
      </c>
      <c r="G309" t="s">
        <v>292</v>
      </c>
      <c r="I309" t="s">
        <v>270</v>
      </c>
      <c r="L309" t="s">
        <v>241</v>
      </c>
      <c r="M309" t="s">
        <v>302</v>
      </c>
      <c r="Q309" t="s">
        <v>239</v>
      </c>
    </row>
    <row r="310" spans="1:21" ht="323" x14ac:dyDescent="0.2">
      <c r="A310" s="2">
        <v>46065</v>
      </c>
      <c r="B310" s="2">
        <f t="shared" si="4"/>
        <v>46054</v>
      </c>
      <c r="C310" s="10">
        <v>0.41666666666666669</v>
      </c>
      <c r="D310" t="s">
        <v>219</v>
      </c>
      <c r="E310" t="s">
        <v>211</v>
      </c>
      <c r="F310">
        <v>9</v>
      </c>
      <c r="G310" t="s">
        <v>87</v>
      </c>
      <c r="I310" t="s">
        <v>215</v>
      </c>
      <c r="L310">
        <v>9</v>
      </c>
      <c r="M310" t="s">
        <v>301</v>
      </c>
      <c r="N310">
        <v>7698</v>
      </c>
      <c r="Q310" t="s">
        <v>239</v>
      </c>
      <c r="S310" t="s">
        <v>300</v>
      </c>
      <c r="T310" t="s">
        <v>225</v>
      </c>
      <c r="U310" s="11" t="s">
        <v>299</v>
      </c>
    </row>
    <row r="311" spans="1:21" x14ac:dyDescent="0.2">
      <c r="A311" s="2">
        <v>46065</v>
      </c>
      <c r="B311" s="2">
        <f t="shared" si="4"/>
        <v>46054</v>
      </c>
      <c r="C311" s="10">
        <v>0.66666666666666663</v>
      </c>
      <c r="D311" t="s">
        <v>212</v>
      </c>
      <c r="E311" t="s">
        <v>211</v>
      </c>
      <c r="F311">
        <v>13</v>
      </c>
      <c r="Q311" t="s">
        <v>246</v>
      </c>
      <c r="R311" t="s">
        <v>298</v>
      </c>
    </row>
    <row r="312" spans="1:21" x14ac:dyDescent="0.2">
      <c r="A312" s="2">
        <v>46066</v>
      </c>
      <c r="B312" s="2">
        <f t="shared" si="4"/>
        <v>46054</v>
      </c>
      <c r="C312" s="10">
        <v>0.41666666666666669</v>
      </c>
      <c r="D312" t="s">
        <v>223</v>
      </c>
      <c r="E312" t="s">
        <v>211</v>
      </c>
      <c r="F312">
        <v>14</v>
      </c>
      <c r="G312" t="s">
        <v>292</v>
      </c>
      <c r="I312" t="s">
        <v>215</v>
      </c>
      <c r="L312">
        <v>9</v>
      </c>
      <c r="M312" t="s">
        <v>297</v>
      </c>
      <c r="Q312" t="s">
        <v>239</v>
      </c>
    </row>
    <row r="313" spans="1:21" x14ac:dyDescent="0.2">
      <c r="A313" s="2">
        <v>46066</v>
      </c>
      <c r="B313" s="2">
        <f t="shared" si="4"/>
        <v>46054</v>
      </c>
      <c r="C313" s="10">
        <v>0.45833333333333331</v>
      </c>
      <c r="D313" t="s">
        <v>238</v>
      </c>
      <c r="E313" t="s">
        <v>211</v>
      </c>
      <c r="F313">
        <v>16</v>
      </c>
      <c r="I313" t="s">
        <v>213</v>
      </c>
      <c r="Q313" t="s">
        <v>253</v>
      </c>
      <c r="R313" t="s">
        <v>296</v>
      </c>
    </row>
    <row r="314" spans="1:21" x14ac:dyDescent="0.2">
      <c r="A314" s="2">
        <v>46069</v>
      </c>
      <c r="B314" s="2">
        <f t="shared" si="4"/>
        <v>46054</v>
      </c>
      <c r="C314" s="10">
        <v>0.45833333333333331</v>
      </c>
      <c r="D314" t="s">
        <v>236</v>
      </c>
      <c r="E314" t="s">
        <v>211</v>
      </c>
      <c r="F314">
        <v>2</v>
      </c>
      <c r="G314" t="s">
        <v>216</v>
      </c>
      <c r="I314" t="s">
        <v>295</v>
      </c>
      <c r="L314" t="s">
        <v>241</v>
      </c>
      <c r="Q314" t="s">
        <v>239</v>
      </c>
    </row>
    <row r="315" spans="1:21" x14ac:dyDescent="0.2">
      <c r="A315" s="2">
        <v>46069</v>
      </c>
      <c r="B315" s="2">
        <f t="shared" si="4"/>
        <v>46054</v>
      </c>
      <c r="C315" s="10">
        <v>0.5</v>
      </c>
      <c r="D315" t="s">
        <v>251</v>
      </c>
      <c r="E315" t="s">
        <v>211</v>
      </c>
      <c r="F315">
        <v>17</v>
      </c>
      <c r="Q315" t="s">
        <v>246</v>
      </c>
      <c r="R315" t="s">
        <v>294</v>
      </c>
    </row>
    <row r="316" spans="1:21" x14ac:dyDescent="0.2">
      <c r="A316" s="2">
        <v>46069</v>
      </c>
      <c r="B316" s="2">
        <f t="shared" si="4"/>
        <v>46054</v>
      </c>
      <c r="C316" s="10">
        <v>0.625</v>
      </c>
      <c r="D316" t="s">
        <v>234</v>
      </c>
      <c r="E316" t="s">
        <v>211</v>
      </c>
      <c r="F316">
        <v>6</v>
      </c>
      <c r="Q316" t="s">
        <v>274</v>
      </c>
      <c r="R316" t="s">
        <v>293</v>
      </c>
    </row>
    <row r="317" spans="1:21" x14ac:dyDescent="0.2">
      <c r="A317" s="2">
        <v>46070</v>
      </c>
      <c r="B317" s="2">
        <f t="shared" si="4"/>
        <v>46054</v>
      </c>
      <c r="C317" s="10">
        <v>0.625</v>
      </c>
      <c r="D317" t="s">
        <v>230</v>
      </c>
      <c r="E317" t="s">
        <v>211</v>
      </c>
      <c r="F317">
        <v>11</v>
      </c>
      <c r="I317" t="s">
        <v>229</v>
      </c>
      <c r="Q317" t="s">
        <v>237</v>
      </c>
    </row>
    <row r="318" spans="1:21" x14ac:dyDescent="0.2">
      <c r="A318" s="2">
        <v>46071</v>
      </c>
      <c r="B318" s="2">
        <f t="shared" si="4"/>
        <v>46054</v>
      </c>
      <c r="C318" s="10">
        <v>0.39583333333333331</v>
      </c>
      <c r="D318" t="s">
        <v>244</v>
      </c>
      <c r="E318" t="s">
        <v>211</v>
      </c>
      <c r="F318">
        <v>11</v>
      </c>
      <c r="G318" t="s">
        <v>292</v>
      </c>
      <c r="I318" t="s">
        <v>229</v>
      </c>
      <c r="L318">
        <v>7</v>
      </c>
      <c r="M318" t="s">
        <v>291</v>
      </c>
      <c r="Q318" t="s">
        <v>239</v>
      </c>
    </row>
    <row r="319" spans="1:21" x14ac:dyDescent="0.2">
      <c r="A319" s="2">
        <v>46072</v>
      </c>
      <c r="B319" s="2">
        <f t="shared" si="4"/>
        <v>46054</v>
      </c>
      <c r="C319" s="10">
        <v>0.66666666666666663</v>
      </c>
      <c r="D319" t="s">
        <v>212</v>
      </c>
      <c r="E319" t="s">
        <v>211</v>
      </c>
      <c r="F319">
        <v>13</v>
      </c>
      <c r="Q319" t="s">
        <v>274</v>
      </c>
      <c r="R319" t="s">
        <v>290</v>
      </c>
    </row>
    <row r="320" spans="1:21" x14ac:dyDescent="0.2">
      <c r="A320" s="2">
        <v>46073</v>
      </c>
      <c r="B320" s="2">
        <f t="shared" si="4"/>
        <v>46054</v>
      </c>
      <c r="C320" s="10">
        <v>0.41666666666666669</v>
      </c>
      <c r="D320" t="s">
        <v>267</v>
      </c>
      <c r="E320" t="s">
        <v>211</v>
      </c>
      <c r="F320">
        <v>8</v>
      </c>
      <c r="I320" t="s">
        <v>215</v>
      </c>
      <c r="Q320" t="s">
        <v>237</v>
      </c>
    </row>
    <row r="321" spans="1:18" x14ac:dyDescent="0.2">
      <c r="A321" s="2">
        <v>46073</v>
      </c>
      <c r="B321" s="2">
        <f t="shared" si="4"/>
        <v>46054</v>
      </c>
      <c r="C321" s="10">
        <v>0.45833333333333331</v>
      </c>
      <c r="D321" t="s">
        <v>238</v>
      </c>
      <c r="E321" t="s">
        <v>211</v>
      </c>
      <c r="F321">
        <v>16</v>
      </c>
      <c r="Q321" t="s">
        <v>253</v>
      </c>
      <c r="R321" t="s">
        <v>289</v>
      </c>
    </row>
    <row r="322" spans="1:18" ht="85" x14ac:dyDescent="0.2">
      <c r="A322" s="2">
        <v>46076</v>
      </c>
      <c r="B322" s="2">
        <f t="shared" si="4"/>
        <v>46054</v>
      </c>
      <c r="C322" s="10">
        <v>0.47916666666666669</v>
      </c>
      <c r="D322" t="s">
        <v>251</v>
      </c>
      <c r="E322" t="s">
        <v>211</v>
      </c>
      <c r="F322">
        <v>17</v>
      </c>
      <c r="G322" t="s">
        <v>261</v>
      </c>
      <c r="I322" t="s">
        <v>229</v>
      </c>
      <c r="L322">
        <v>9</v>
      </c>
      <c r="M322" s="11" t="s">
        <v>288</v>
      </c>
      <c r="N322">
        <v>7794</v>
      </c>
      <c r="Q322" t="s">
        <v>239</v>
      </c>
    </row>
    <row r="323" spans="1:18" x14ac:dyDescent="0.2">
      <c r="A323" s="2">
        <v>46076</v>
      </c>
      <c r="B323" s="2">
        <f t="shared" ref="B323:B371" si="5">DATE(YEAR(A323), MONTH(A323), 1)</f>
        <v>46054</v>
      </c>
      <c r="C323" s="10">
        <v>0.625</v>
      </c>
      <c r="D323" t="s">
        <v>234</v>
      </c>
      <c r="E323" t="s">
        <v>211</v>
      </c>
      <c r="F323">
        <v>6</v>
      </c>
      <c r="G323" t="s">
        <v>151</v>
      </c>
      <c r="H323" t="s">
        <v>225</v>
      </c>
      <c r="I323" t="s">
        <v>229</v>
      </c>
      <c r="L323">
        <v>9</v>
      </c>
      <c r="M323" t="s">
        <v>287</v>
      </c>
      <c r="N323">
        <v>7800</v>
      </c>
      <c r="Q323" t="s">
        <v>239</v>
      </c>
    </row>
    <row r="324" spans="1:18" x14ac:dyDescent="0.2">
      <c r="A324" s="2">
        <v>46077</v>
      </c>
      <c r="B324" s="2">
        <f t="shared" si="5"/>
        <v>46054</v>
      </c>
      <c r="C324" s="10">
        <v>0.625</v>
      </c>
      <c r="D324" t="s">
        <v>228</v>
      </c>
      <c r="E324" t="s">
        <v>211</v>
      </c>
      <c r="F324">
        <v>10</v>
      </c>
      <c r="G324" t="s">
        <v>218</v>
      </c>
      <c r="I324" t="s">
        <v>229</v>
      </c>
      <c r="L324">
        <v>10</v>
      </c>
      <c r="M324" t="s">
        <v>286</v>
      </c>
      <c r="N324">
        <v>7811</v>
      </c>
      <c r="Q324" t="s">
        <v>239</v>
      </c>
    </row>
    <row r="325" spans="1:18" x14ac:dyDescent="0.2">
      <c r="A325" s="2">
        <v>46078</v>
      </c>
      <c r="B325" s="2">
        <f t="shared" si="5"/>
        <v>46054</v>
      </c>
      <c r="C325" s="10">
        <v>0.41666666666666669</v>
      </c>
      <c r="D325" t="s">
        <v>227</v>
      </c>
      <c r="E325" t="s">
        <v>211</v>
      </c>
      <c r="F325">
        <v>1</v>
      </c>
      <c r="I325" t="s">
        <v>215</v>
      </c>
      <c r="Q325" t="s">
        <v>253</v>
      </c>
      <c r="R325" t="s">
        <v>285</v>
      </c>
    </row>
    <row r="326" spans="1:18" x14ac:dyDescent="0.2">
      <c r="A326" s="2">
        <v>46078</v>
      </c>
      <c r="B326" s="2">
        <f t="shared" si="5"/>
        <v>46054</v>
      </c>
      <c r="C326" s="10">
        <v>0.45833333333333331</v>
      </c>
      <c r="D326" t="s">
        <v>223</v>
      </c>
      <c r="E326" t="s">
        <v>211</v>
      </c>
      <c r="F326">
        <v>14</v>
      </c>
      <c r="G326" t="s">
        <v>282</v>
      </c>
      <c r="I326" t="s">
        <v>215</v>
      </c>
      <c r="L326">
        <v>10</v>
      </c>
      <c r="M326" t="s">
        <v>284</v>
      </c>
      <c r="N326">
        <v>7816</v>
      </c>
      <c r="Q326" t="s">
        <v>239</v>
      </c>
    </row>
    <row r="327" spans="1:18" x14ac:dyDescent="0.2">
      <c r="A327" s="2">
        <v>46078</v>
      </c>
      <c r="B327" s="2">
        <f t="shared" si="5"/>
        <v>46054</v>
      </c>
      <c r="C327" s="10">
        <v>0.45833333333333331</v>
      </c>
      <c r="D327" t="s">
        <v>222</v>
      </c>
      <c r="E327" t="s">
        <v>211</v>
      </c>
      <c r="F327">
        <v>10</v>
      </c>
      <c r="Q327" t="s">
        <v>246</v>
      </c>
      <c r="R327" t="s">
        <v>283</v>
      </c>
    </row>
    <row r="328" spans="1:18" x14ac:dyDescent="0.2">
      <c r="A328" s="2">
        <v>46078</v>
      </c>
      <c r="B328" s="2">
        <f t="shared" si="5"/>
        <v>46054</v>
      </c>
      <c r="C328" s="10">
        <v>0.54166666666666663</v>
      </c>
      <c r="D328" t="s">
        <v>221</v>
      </c>
      <c r="E328" t="s">
        <v>211</v>
      </c>
      <c r="F328">
        <v>13</v>
      </c>
      <c r="G328" t="s">
        <v>282</v>
      </c>
      <c r="I328" t="s">
        <v>215</v>
      </c>
      <c r="L328">
        <v>8</v>
      </c>
      <c r="M328" t="s">
        <v>281</v>
      </c>
      <c r="N328">
        <v>7819</v>
      </c>
      <c r="Q328" t="s">
        <v>239</v>
      </c>
    </row>
    <row r="329" spans="1:18" x14ac:dyDescent="0.2">
      <c r="A329" s="2">
        <v>46079</v>
      </c>
      <c r="B329" s="2">
        <f t="shared" si="5"/>
        <v>46054</v>
      </c>
      <c r="C329" s="10">
        <v>0.41666666666666669</v>
      </c>
      <c r="D329" t="s">
        <v>219</v>
      </c>
      <c r="E329" t="s">
        <v>211</v>
      </c>
      <c r="F329">
        <v>9</v>
      </c>
      <c r="Q329" t="s">
        <v>246</v>
      </c>
      <c r="R329" t="s">
        <v>280</v>
      </c>
    </row>
    <row r="330" spans="1:18" x14ac:dyDescent="0.2">
      <c r="A330" s="2">
        <v>46079</v>
      </c>
      <c r="B330" s="2">
        <f t="shared" si="5"/>
        <v>46054</v>
      </c>
      <c r="C330" s="10">
        <v>0.45833333333333331</v>
      </c>
      <c r="D330" t="s">
        <v>236</v>
      </c>
      <c r="E330" t="s">
        <v>211</v>
      </c>
      <c r="F330">
        <v>2</v>
      </c>
      <c r="I330" t="s">
        <v>213</v>
      </c>
      <c r="K330" t="s">
        <v>279</v>
      </c>
      <c r="Q330" t="s">
        <v>237</v>
      </c>
    </row>
    <row r="331" spans="1:18" x14ac:dyDescent="0.2">
      <c r="A331" s="2">
        <v>46080</v>
      </c>
      <c r="B331" s="2">
        <f t="shared" si="5"/>
        <v>46054</v>
      </c>
      <c r="C331" s="10">
        <v>0.45833333333333331</v>
      </c>
      <c r="D331" t="s">
        <v>238</v>
      </c>
      <c r="E331" t="s">
        <v>211</v>
      </c>
      <c r="F331">
        <v>16</v>
      </c>
      <c r="I331" t="s">
        <v>215</v>
      </c>
      <c r="Q331" t="s">
        <v>237</v>
      </c>
    </row>
    <row r="332" spans="1:18" x14ac:dyDescent="0.2">
      <c r="A332" s="2">
        <v>46083</v>
      </c>
      <c r="B332" s="2">
        <f t="shared" si="5"/>
        <v>46082</v>
      </c>
      <c r="C332" s="10">
        <v>0.45833333333333331</v>
      </c>
      <c r="D332" t="s">
        <v>236</v>
      </c>
      <c r="E332" t="s">
        <v>211</v>
      </c>
      <c r="F332">
        <v>2</v>
      </c>
      <c r="G332" t="s">
        <v>226</v>
      </c>
      <c r="H332" t="s">
        <v>225</v>
      </c>
      <c r="I332" t="s">
        <v>213</v>
      </c>
      <c r="K332" t="s">
        <v>279</v>
      </c>
      <c r="L332">
        <v>10</v>
      </c>
      <c r="M332" t="s">
        <v>278</v>
      </c>
      <c r="N332">
        <v>7859</v>
      </c>
      <c r="Q332" t="s">
        <v>239</v>
      </c>
    </row>
    <row r="333" spans="1:18" x14ac:dyDescent="0.2">
      <c r="A333" s="2">
        <v>46083</v>
      </c>
      <c r="B333" s="2">
        <f t="shared" si="5"/>
        <v>46082</v>
      </c>
      <c r="C333" s="10">
        <v>0.625</v>
      </c>
      <c r="D333" t="s">
        <v>234</v>
      </c>
      <c r="E333" t="s">
        <v>211</v>
      </c>
      <c r="F333">
        <v>6</v>
      </c>
      <c r="Q333" t="s">
        <v>246</v>
      </c>
      <c r="R333" t="s">
        <v>245</v>
      </c>
    </row>
    <row r="334" spans="1:18" x14ac:dyDescent="0.2">
      <c r="A334" s="2">
        <v>46084</v>
      </c>
      <c r="B334" s="2">
        <f t="shared" si="5"/>
        <v>46082</v>
      </c>
      <c r="C334" s="10">
        <v>0.41666666666666669</v>
      </c>
      <c r="D334" t="s">
        <v>247</v>
      </c>
      <c r="E334" t="s">
        <v>211</v>
      </c>
      <c r="F334">
        <v>11</v>
      </c>
      <c r="G334" t="s">
        <v>277</v>
      </c>
      <c r="I334" t="s">
        <v>270</v>
      </c>
      <c r="K334" t="s">
        <v>276</v>
      </c>
      <c r="L334">
        <v>9</v>
      </c>
      <c r="M334" t="s">
        <v>275</v>
      </c>
      <c r="N334">
        <v>7866</v>
      </c>
      <c r="Q334" t="s">
        <v>239</v>
      </c>
    </row>
    <row r="335" spans="1:18" x14ac:dyDescent="0.2">
      <c r="A335" s="2">
        <v>46085</v>
      </c>
      <c r="B335" s="2">
        <f t="shared" si="5"/>
        <v>46082</v>
      </c>
      <c r="C335" s="10">
        <v>0.39583333333333331</v>
      </c>
      <c r="D335" t="s">
        <v>244</v>
      </c>
      <c r="E335" t="s">
        <v>211</v>
      </c>
      <c r="F335">
        <v>11</v>
      </c>
      <c r="Q335" t="s">
        <v>274</v>
      </c>
      <c r="R335" t="s">
        <v>273</v>
      </c>
    </row>
    <row r="336" spans="1:18" ht="204" x14ac:dyDescent="0.2">
      <c r="A336" s="2">
        <v>46086</v>
      </c>
      <c r="B336" s="2">
        <f t="shared" si="5"/>
        <v>46082</v>
      </c>
      <c r="C336" s="10">
        <v>0.39583333333333331</v>
      </c>
      <c r="D336" t="s">
        <v>244</v>
      </c>
      <c r="E336" t="s">
        <v>211</v>
      </c>
      <c r="F336">
        <v>11</v>
      </c>
      <c r="G336" t="s">
        <v>87</v>
      </c>
      <c r="I336" t="s">
        <v>215</v>
      </c>
      <c r="K336" s="11" t="s">
        <v>272</v>
      </c>
      <c r="L336">
        <v>9</v>
      </c>
      <c r="M336" t="s">
        <v>271</v>
      </c>
      <c r="N336">
        <v>7887</v>
      </c>
      <c r="Q336" t="s">
        <v>239</v>
      </c>
    </row>
    <row r="337" spans="1:18" x14ac:dyDescent="0.2">
      <c r="A337" s="2">
        <v>46086</v>
      </c>
      <c r="B337" s="2">
        <f t="shared" si="5"/>
        <v>46082</v>
      </c>
      <c r="C337" s="10">
        <v>0.41666666666666669</v>
      </c>
      <c r="D337" t="s">
        <v>219</v>
      </c>
      <c r="E337" t="s">
        <v>211</v>
      </c>
      <c r="F337">
        <v>9</v>
      </c>
      <c r="G337" t="s">
        <v>243</v>
      </c>
      <c r="I337" t="s">
        <v>270</v>
      </c>
      <c r="K337" t="s">
        <v>269</v>
      </c>
      <c r="L337" t="s">
        <v>241</v>
      </c>
      <c r="M337" t="s">
        <v>268</v>
      </c>
      <c r="Q337" t="s">
        <v>239</v>
      </c>
    </row>
    <row r="338" spans="1:18" x14ac:dyDescent="0.2">
      <c r="A338" s="2">
        <v>46087</v>
      </c>
      <c r="B338" s="2">
        <f t="shared" si="5"/>
        <v>46082</v>
      </c>
      <c r="C338" s="10">
        <v>0.41666666666666669</v>
      </c>
      <c r="D338" t="s">
        <v>267</v>
      </c>
      <c r="E338" t="s">
        <v>211</v>
      </c>
      <c r="F338">
        <v>8</v>
      </c>
      <c r="I338" t="s">
        <v>215</v>
      </c>
      <c r="Q338" t="s">
        <v>237</v>
      </c>
    </row>
    <row r="339" spans="1:18" x14ac:dyDescent="0.2">
      <c r="A339" s="2">
        <v>46090</v>
      </c>
      <c r="B339" s="2">
        <f t="shared" si="5"/>
        <v>46082</v>
      </c>
      <c r="C339" s="10">
        <v>0.47916666666666669</v>
      </c>
      <c r="D339" t="s">
        <v>251</v>
      </c>
      <c r="E339" t="s">
        <v>211</v>
      </c>
      <c r="F339">
        <v>17</v>
      </c>
      <c r="K339" t="s">
        <v>266</v>
      </c>
      <c r="Q339" t="s">
        <v>246</v>
      </c>
      <c r="R339" t="s">
        <v>265</v>
      </c>
    </row>
    <row r="340" spans="1:18" x14ac:dyDescent="0.2">
      <c r="A340" s="2">
        <v>46090</v>
      </c>
      <c r="B340" s="2">
        <f t="shared" si="5"/>
        <v>46082</v>
      </c>
      <c r="C340" s="10">
        <v>0.625</v>
      </c>
      <c r="D340" t="s">
        <v>234</v>
      </c>
      <c r="E340" t="s">
        <v>211</v>
      </c>
      <c r="F340">
        <v>6</v>
      </c>
      <c r="K340" t="s">
        <v>264</v>
      </c>
      <c r="Q340" t="s">
        <v>246</v>
      </c>
      <c r="R340" t="s">
        <v>263</v>
      </c>
    </row>
    <row r="341" spans="1:18" x14ac:dyDescent="0.2">
      <c r="A341" s="2">
        <v>46091</v>
      </c>
      <c r="B341" s="2">
        <f t="shared" si="5"/>
        <v>46082</v>
      </c>
      <c r="C341" s="10">
        <v>0.41666666666666669</v>
      </c>
      <c r="D341" t="s">
        <v>262</v>
      </c>
      <c r="E341" t="s">
        <v>211</v>
      </c>
      <c r="F341">
        <v>17</v>
      </c>
      <c r="G341" t="s">
        <v>261</v>
      </c>
      <c r="I341" t="s">
        <v>229</v>
      </c>
      <c r="L341">
        <v>10</v>
      </c>
      <c r="M341" t="s">
        <v>260</v>
      </c>
      <c r="N341">
        <v>7943</v>
      </c>
      <c r="Q341" t="s">
        <v>239</v>
      </c>
    </row>
    <row r="342" spans="1:18" x14ac:dyDescent="0.2">
      <c r="A342" s="2">
        <v>46091</v>
      </c>
      <c r="B342" s="2">
        <f t="shared" si="5"/>
        <v>46082</v>
      </c>
      <c r="C342" s="10">
        <v>0.625</v>
      </c>
      <c r="D342" t="s">
        <v>228</v>
      </c>
      <c r="E342" t="s">
        <v>211</v>
      </c>
      <c r="F342">
        <v>10</v>
      </c>
      <c r="I342" t="s">
        <v>213</v>
      </c>
      <c r="Q342" t="s">
        <v>253</v>
      </c>
      <c r="R342" t="s">
        <v>259</v>
      </c>
    </row>
    <row r="343" spans="1:18" x14ac:dyDescent="0.2">
      <c r="A343" s="2">
        <v>46092</v>
      </c>
      <c r="B343" s="2">
        <f t="shared" si="5"/>
        <v>46082</v>
      </c>
      <c r="C343" s="10">
        <v>0.41666666666666669</v>
      </c>
      <c r="D343" t="s">
        <v>227</v>
      </c>
      <c r="E343" t="s">
        <v>211</v>
      </c>
      <c r="F343">
        <v>1</v>
      </c>
      <c r="G343" t="s">
        <v>216</v>
      </c>
      <c r="I343" t="s">
        <v>215</v>
      </c>
      <c r="K343" t="s">
        <v>258</v>
      </c>
      <c r="L343" t="s">
        <v>241</v>
      </c>
      <c r="Q343" t="s">
        <v>239</v>
      </c>
    </row>
    <row r="344" spans="1:18" x14ac:dyDescent="0.2">
      <c r="A344" s="2">
        <v>46092</v>
      </c>
      <c r="B344" s="2">
        <f t="shared" si="5"/>
        <v>46082</v>
      </c>
      <c r="C344" s="10">
        <v>0.45833333333333331</v>
      </c>
      <c r="D344" t="s">
        <v>222</v>
      </c>
      <c r="E344" t="s">
        <v>211</v>
      </c>
      <c r="F344">
        <v>10</v>
      </c>
      <c r="Q344" t="s">
        <v>246</v>
      </c>
      <c r="R344" t="s">
        <v>257</v>
      </c>
    </row>
    <row r="345" spans="1:18" x14ac:dyDescent="0.2">
      <c r="A345" s="2">
        <v>46092</v>
      </c>
      <c r="B345" s="2">
        <f t="shared" si="5"/>
        <v>46082</v>
      </c>
      <c r="C345" s="10">
        <v>0.54166666666666663</v>
      </c>
      <c r="D345" t="s">
        <v>221</v>
      </c>
      <c r="E345" t="s">
        <v>211</v>
      </c>
      <c r="F345">
        <v>13</v>
      </c>
      <c r="I345" t="s">
        <v>215</v>
      </c>
      <c r="Q345" t="s">
        <v>253</v>
      </c>
      <c r="R345" t="s">
        <v>256</v>
      </c>
    </row>
    <row r="346" spans="1:18" x14ac:dyDescent="0.2">
      <c r="A346" s="2">
        <v>46093</v>
      </c>
      <c r="B346" s="2">
        <f t="shared" si="5"/>
        <v>46082</v>
      </c>
      <c r="C346" s="10">
        <v>0.375</v>
      </c>
      <c r="D346" t="s">
        <v>220</v>
      </c>
      <c r="E346" t="s">
        <v>211</v>
      </c>
      <c r="F346">
        <v>7</v>
      </c>
      <c r="Q346" t="s">
        <v>246</v>
      </c>
      <c r="R346" t="s">
        <v>245</v>
      </c>
    </row>
    <row r="347" spans="1:18" x14ac:dyDescent="0.2">
      <c r="A347" s="2">
        <v>46093</v>
      </c>
      <c r="B347" s="2">
        <f t="shared" si="5"/>
        <v>46082</v>
      </c>
      <c r="C347" s="10">
        <v>0.41666666666666669</v>
      </c>
      <c r="D347" t="s">
        <v>219</v>
      </c>
      <c r="E347" t="s">
        <v>211</v>
      </c>
      <c r="F347">
        <v>9</v>
      </c>
      <c r="I347" t="s">
        <v>215</v>
      </c>
      <c r="Q347" t="s">
        <v>253</v>
      </c>
      <c r="R347" t="s">
        <v>255</v>
      </c>
    </row>
    <row r="348" spans="1:18" x14ac:dyDescent="0.2">
      <c r="A348" s="2">
        <v>46093</v>
      </c>
      <c r="B348" s="2">
        <f t="shared" si="5"/>
        <v>46082</v>
      </c>
      <c r="C348" s="10">
        <v>0.45833333333333331</v>
      </c>
      <c r="D348" t="s">
        <v>223</v>
      </c>
      <c r="E348" t="s">
        <v>211</v>
      </c>
      <c r="F348">
        <v>14</v>
      </c>
      <c r="Q348" t="s">
        <v>246</v>
      </c>
      <c r="R348" t="s">
        <v>254</v>
      </c>
    </row>
    <row r="349" spans="1:18" x14ac:dyDescent="0.2">
      <c r="A349" s="2">
        <v>46094</v>
      </c>
      <c r="B349" s="2">
        <f t="shared" si="5"/>
        <v>46082</v>
      </c>
      <c r="C349" s="10">
        <v>0.45833333333333331</v>
      </c>
      <c r="D349" t="s">
        <v>238</v>
      </c>
      <c r="E349" t="s">
        <v>211</v>
      </c>
      <c r="F349">
        <v>16</v>
      </c>
      <c r="I349" t="s">
        <v>213</v>
      </c>
      <c r="Q349" t="s">
        <v>253</v>
      </c>
      <c r="R349" t="s">
        <v>252</v>
      </c>
    </row>
    <row r="350" spans="1:18" x14ac:dyDescent="0.2">
      <c r="A350" s="2">
        <v>46094</v>
      </c>
      <c r="B350" s="2">
        <f t="shared" si="5"/>
        <v>46082</v>
      </c>
      <c r="C350" s="10">
        <v>0.625</v>
      </c>
      <c r="D350" t="s">
        <v>230</v>
      </c>
      <c r="E350" t="s">
        <v>211</v>
      </c>
      <c r="F350">
        <v>11</v>
      </c>
      <c r="I350" t="s">
        <v>213</v>
      </c>
      <c r="Q350" t="s">
        <v>237</v>
      </c>
    </row>
    <row r="351" spans="1:18" x14ac:dyDescent="0.2">
      <c r="A351" s="2">
        <v>46097</v>
      </c>
      <c r="B351" s="2">
        <f t="shared" si="5"/>
        <v>46082</v>
      </c>
      <c r="C351" s="10">
        <v>0.45833333333333331</v>
      </c>
      <c r="D351" t="s">
        <v>236</v>
      </c>
      <c r="E351" t="s">
        <v>211</v>
      </c>
      <c r="F351">
        <v>2</v>
      </c>
      <c r="I351" t="s">
        <v>210</v>
      </c>
      <c r="Q351" t="s">
        <v>237</v>
      </c>
    </row>
    <row r="352" spans="1:18" x14ac:dyDescent="0.2">
      <c r="A352" s="2">
        <v>46097</v>
      </c>
      <c r="B352" s="2">
        <f t="shared" si="5"/>
        <v>46082</v>
      </c>
      <c r="C352" s="10">
        <v>0.47916666666666669</v>
      </c>
      <c r="D352" t="s">
        <v>251</v>
      </c>
      <c r="E352" t="s">
        <v>211</v>
      </c>
      <c r="F352">
        <v>17</v>
      </c>
      <c r="G352" t="s">
        <v>201</v>
      </c>
      <c r="I352" t="s">
        <v>213</v>
      </c>
      <c r="L352">
        <v>9</v>
      </c>
      <c r="M352" t="s">
        <v>250</v>
      </c>
      <c r="N352">
        <v>8027</v>
      </c>
      <c r="Q352" t="s">
        <v>239</v>
      </c>
    </row>
    <row r="353" spans="1:18" x14ac:dyDescent="0.2">
      <c r="A353" s="2">
        <v>46097</v>
      </c>
      <c r="B353" s="2">
        <f t="shared" si="5"/>
        <v>46082</v>
      </c>
      <c r="C353" s="10">
        <v>0.625</v>
      </c>
      <c r="D353" t="s">
        <v>234</v>
      </c>
      <c r="E353" t="s">
        <v>211</v>
      </c>
      <c r="F353">
        <v>6</v>
      </c>
      <c r="G353" t="s">
        <v>73</v>
      </c>
      <c r="I353" t="s">
        <v>213</v>
      </c>
      <c r="K353" t="s">
        <v>249</v>
      </c>
      <c r="L353">
        <v>8</v>
      </c>
      <c r="M353" t="s">
        <v>248</v>
      </c>
      <c r="N353">
        <v>8037</v>
      </c>
      <c r="Q353" t="s">
        <v>239</v>
      </c>
    </row>
    <row r="354" spans="1:18" x14ac:dyDescent="0.2">
      <c r="A354" s="2">
        <v>46098</v>
      </c>
      <c r="B354" s="2">
        <f t="shared" si="5"/>
        <v>46082</v>
      </c>
      <c r="C354" s="10">
        <v>0.41666666666666669</v>
      </c>
      <c r="D354" t="s">
        <v>247</v>
      </c>
      <c r="E354" t="s">
        <v>211</v>
      </c>
      <c r="F354">
        <v>11</v>
      </c>
      <c r="Q354" t="s">
        <v>246</v>
      </c>
      <c r="R354" t="s">
        <v>245</v>
      </c>
    </row>
    <row r="355" spans="1:18" x14ac:dyDescent="0.2">
      <c r="A355" s="2">
        <v>46099</v>
      </c>
      <c r="B355" s="2">
        <f t="shared" si="5"/>
        <v>46082</v>
      </c>
      <c r="C355" s="10">
        <v>0.35416666666666669</v>
      </c>
      <c r="D355" t="s">
        <v>227</v>
      </c>
      <c r="E355" t="s">
        <v>211</v>
      </c>
      <c r="F355">
        <v>1</v>
      </c>
      <c r="I355" t="s">
        <v>210</v>
      </c>
      <c r="Q355" t="s">
        <v>237</v>
      </c>
    </row>
    <row r="356" spans="1:18" x14ac:dyDescent="0.2">
      <c r="A356" s="2">
        <v>46099</v>
      </c>
      <c r="B356" s="2">
        <f t="shared" si="5"/>
        <v>46082</v>
      </c>
      <c r="C356" s="10">
        <v>0.39583333333333331</v>
      </c>
      <c r="D356" t="s">
        <v>244</v>
      </c>
      <c r="E356" t="s">
        <v>211</v>
      </c>
      <c r="F356">
        <v>11</v>
      </c>
      <c r="G356" t="s">
        <v>243</v>
      </c>
      <c r="I356" t="s">
        <v>215</v>
      </c>
      <c r="K356" t="s">
        <v>242</v>
      </c>
      <c r="L356" t="s">
        <v>241</v>
      </c>
      <c r="M356" t="s">
        <v>240</v>
      </c>
      <c r="Q356" t="s">
        <v>239</v>
      </c>
    </row>
    <row r="357" spans="1:18" x14ac:dyDescent="0.2">
      <c r="A357" s="2">
        <v>46101</v>
      </c>
      <c r="B357" s="2">
        <f t="shared" si="5"/>
        <v>46082</v>
      </c>
      <c r="C357" s="10">
        <v>0.45833333333333331</v>
      </c>
      <c r="D357" t="s">
        <v>238</v>
      </c>
      <c r="E357" t="s">
        <v>211</v>
      </c>
      <c r="F357">
        <v>16</v>
      </c>
      <c r="I357" t="s">
        <v>215</v>
      </c>
      <c r="Q357" t="s">
        <v>237</v>
      </c>
    </row>
    <row r="358" spans="1:18" x14ac:dyDescent="0.2">
      <c r="A358" s="2">
        <v>46104</v>
      </c>
      <c r="B358" s="2">
        <f t="shared" si="5"/>
        <v>46082</v>
      </c>
      <c r="C358" s="10">
        <v>0.45833333333333331</v>
      </c>
      <c r="D358" t="s">
        <v>236</v>
      </c>
      <c r="E358" t="s">
        <v>211</v>
      </c>
      <c r="F358">
        <v>2</v>
      </c>
      <c r="G358" t="s">
        <v>235</v>
      </c>
      <c r="H358" t="s">
        <v>225</v>
      </c>
      <c r="I358" t="s">
        <v>213</v>
      </c>
    </row>
    <row r="359" spans="1:18" x14ac:dyDescent="0.2">
      <c r="A359" s="2">
        <v>46104</v>
      </c>
      <c r="B359" s="2">
        <f t="shared" si="5"/>
        <v>46082</v>
      </c>
      <c r="C359" s="10">
        <v>0.625</v>
      </c>
      <c r="D359" t="s">
        <v>234</v>
      </c>
      <c r="E359" t="s">
        <v>211</v>
      </c>
      <c r="F359">
        <v>6</v>
      </c>
      <c r="G359" t="s">
        <v>233</v>
      </c>
      <c r="H359" t="s">
        <v>225</v>
      </c>
      <c r="I359" t="s">
        <v>213</v>
      </c>
      <c r="K359" t="s">
        <v>232</v>
      </c>
    </row>
    <row r="360" spans="1:18" x14ac:dyDescent="0.2">
      <c r="A360" s="2">
        <v>46105</v>
      </c>
      <c r="B360" s="2">
        <f t="shared" si="5"/>
        <v>46082</v>
      </c>
      <c r="C360" s="10">
        <v>0.625</v>
      </c>
      <c r="D360" t="s">
        <v>231</v>
      </c>
      <c r="E360" t="s">
        <v>211</v>
      </c>
      <c r="G360" t="s">
        <v>231</v>
      </c>
    </row>
    <row r="361" spans="1:18" x14ac:dyDescent="0.2">
      <c r="A361" s="2">
        <v>46105</v>
      </c>
      <c r="B361" s="2">
        <f t="shared" si="5"/>
        <v>46082</v>
      </c>
      <c r="C361" s="10">
        <v>0.625</v>
      </c>
      <c r="D361" t="s">
        <v>230</v>
      </c>
      <c r="E361" t="s">
        <v>211</v>
      </c>
      <c r="F361">
        <v>11</v>
      </c>
      <c r="G361" t="s">
        <v>168</v>
      </c>
      <c r="I361" t="s">
        <v>229</v>
      </c>
    </row>
    <row r="362" spans="1:18" x14ac:dyDescent="0.2">
      <c r="A362" s="2">
        <v>46105</v>
      </c>
      <c r="B362" s="2">
        <f t="shared" si="5"/>
        <v>46082</v>
      </c>
      <c r="C362" s="10">
        <v>0.625</v>
      </c>
      <c r="D362" t="s">
        <v>228</v>
      </c>
      <c r="E362" t="s">
        <v>211</v>
      </c>
      <c r="F362">
        <v>10</v>
      </c>
      <c r="G362" t="s">
        <v>100</v>
      </c>
      <c r="I362" t="s">
        <v>210</v>
      </c>
    </row>
    <row r="363" spans="1:18" x14ac:dyDescent="0.2">
      <c r="A363" s="2">
        <v>46106</v>
      </c>
      <c r="B363" s="2">
        <f t="shared" si="5"/>
        <v>46082</v>
      </c>
      <c r="C363" s="10">
        <v>0.35416666666666669</v>
      </c>
      <c r="D363" t="s">
        <v>227</v>
      </c>
      <c r="E363" t="s">
        <v>211</v>
      </c>
      <c r="F363">
        <v>1</v>
      </c>
      <c r="G363" t="s">
        <v>226</v>
      </c>
      <c r="H363" t="s">
        <v>225</v>
      </c>
      <c r="I363" t="s">
        <v>210</v>
      </c>
      <c r="K363" t="s">
        <v>224</v>
      </c>
    </row>
    <row r="364" spans="1:18" x14ac:dyDescent="0.2">
      <c r="A364" s="2">
        <v>46106</v>
      </c>
      <c r="B364" s="2">
        <f t="shared" si="5"/>
        <v>46082</v>
      </c>
      <c r="C364" s="10">
        <v>0.45833333333333331</v>
      </c>
      <c r="D364" t="s">
        <v>223</v>
      </c>
      <c r="E364" t="s">
        <v>211</v>
      </c>
      <c r="F364">
        <v>14</v>
      </c>
      <c r="G364" t="s">
        <v>168</v>
      </c>
      <c r="I364" t="s">
        <v>215</v>
      </c>
    </row>
    <row r="365" spans="1:18" x14ac:dyDescent="0.2">
      <c r="A365" s="2">
        <v>46106</v>
      </c>
      <c r="B365" s="2">
        <f t="shared" si="5"/>
        <v>46082</v>
      </c>
      <c r="C365" s="10">
        <v>0.45833333333333331</v>
      </c>
      <c r="D365" t="s">
        <v>222</v>
      </c>
      <c r="E365" t="s">
        <v>211</v>
      </c>
      <c r="F365">
        <v>10</v>
      </c>
      <c r="G365" t="s">
        <v>100</v>
      </c>
      <c r="I365" t="s">
        <v>213</v>
      </c>
    </row>
    <row r="366" spans="1:18" x14ac:dyDescent="0.2">
      <c r="A366" s="2">
        <v>46106</v>
      </c>
      <c r="B366" s="2">
        <f t="shared" si="5"/>
        <v>46082</v>
      </c>
      <c r="C366" s="10">
        <v>0.54166666666666663</v>
      </c>
      <c r="D366" t="s">
        <v>221</v>
      </c>
      <c r="E366" t="s">
        <v>211</v>
      </c>
      <c r="F366">
        <v>13</v>
      </c>
      <c r="G366" t="s">
        <v>168</v>
      </c>
      <c r="I366" t="s">
        <v>215</v>
      </c>
    </row>
    <row r="367" spans="1:18" x14ac:dyDescent="0.2">
      <c r="A367" s="2">
        <v>46107</v>
      </c>
      <c r="B367" s="2">
        <f t="shared" si="5"/>
        <v>46082</v>
      </c>
      <c r="C367" s="10">
        <v>0.375</v>
      </c>
      <c r="D367" t="s">
        <v>220</v>
      </c>
      <c r="E367" t="s">
        <v>211</v>
      </c>
      <c r="F367">
        <v>7</v>
      </c>
      <c r="G367" t="s">
        <v>87</v>
      </c>
      <c r="I367" t="s">
        <v>213</v>
      </c>
    </row>
    <row r="368" spans="1:18" x14ac:dyDescent="0.2">
      <c r="A368" s="2">
        <v>46107</v>
      </c>
      <c r="B368" s="2">
        <f t="shared" si="5"/>
        <v>46082</v>
      </c>
      <c r="C368" s="10">
        <v>0.41666666666666669</v>
      </c>
      <c r="D368" t="s">
        <v>219</v>
      </c>
      <c r="E368" t="s">
        <v>211</v>
      </c>
      <c r="F368">
        <v>9</v>
      </c>
      <c r="G368" t="s">
        <v>218</v>
      </c>
      <c r="I368" t="s">
        <v>210</v>
      </c>
    </row>
    <row r="369" spans="1:9" x14ac:dyDescent="0.2">
      <c r="A369" s="2">
        <v>46108</v>
      </c>
      <c r="B369" s="2">
        <f t="shared" si="5"/>
        <v>46082</v>
      </c>
      <c r="C369" s="10">
        <v>0.45833333333333331</v>
      </c>
      <c r="D369" t="s">
        <v>217</v>
      </c>
      <c r="E369" t="s">
        <v>211</v>
      </c>
      <c r="F369">
        <v>0</v>
      </c>
      <c r="G369" t="s">
        <v>216</v>
      </c>
      <c r="I369" t="s">
        <v>215</v>
      </c>
    </row>
    <row r="370" spans="1:9" x14ac:dyDescent="0.2">
      <c r="A370" s="2">
        <v>46108</v>
      </c>
      <c r="B370" s="2">
        <f t="shared" si="5"/>
        <v>46082</v>
      </c>
      <c r="C370" s="10">
        <v>0.66666666666666663</v>
      </c>
      <c r="D370" t="s">
        <v>214</v>
      </c>
      <c r="E370" t="s">
        <v>211</v>
      </c>
      <c r="F370">
        <v>8</v>
      </c>
      <c r="G370" t="s">
        <v>87</v>
      </c>
      <c r="I370" t="s">
        <v>213</v>
      </c>
    </row>
    <row r="371" spans="1:9" x14ac:dyDescent="0.2">
      <c r="A371" s="2">
        <v>46108</v>
      </c>
      <c r="B371" s="2">
        <f t="shared" si="5"/>
        <v>46082</v>
      </c>
      <c r="C371" s="10">
        <v>0.66666666666666663</v>
      </c>
      <c r="D371" t="s">
        <v>212</v>
      </c>
      <c r="E371" t="s">
        <v>211</v>
      </c>
      <c r="F371">
        <v>13</v>
      </c>
      <c r="G371" t="s">
        <v>168</v>
      </c>
      <c r="I371" t="s">
        <v>210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78E5F-8B52-204B-A2CD-6B7BDC56343F}">
  <dimension ref="A1:B21"/>
  <sheetViews>
    <sheetView workbookViewId="0">
      <selection activeCell="C16" sqref="C16"/>
    </sheetView>
  </sheetViews>
  <sheetFormatPr baseColWidth="10" defaultRowHeight="16" x14ac:dyDescent="0.2"/>
  <cols>
    <col min="1" max="1" width="25.5" customWidth="1"/>
  </cols>
  <sheetData>
    <row r="1" spans="1:2" x14ac:dyDescent="0.2">
      <c r="A1" s="8" t="s">
        <v>5</v>
      </c>
      <c r="B1" s="8" t="s">
        <v>207</v>
      </c>
    </row>
    <row r="2" spans="1:2" x14ac:dyDescent="0.2">
      <c r="A2" s="7" t="s">
        <v>140</v>
      </c>
      <c r="B2">
        <v>3</v>
      </c>
    </row>
    <row r="3" spans="1:2" x14ac:dyDescent="0.2">
      <c r="A3" s="7" t="s">
        <v>107</v>
      </c>
      <c r="B3">
        <v>2</v>
      </c>
    </row>
    <row r="4" spans="1:2" x14ac:dyDescent="0.2">
      <c r="A4" s="7" t="s">
        <v>118</v>
      </c>
      <c r="B4" t="s">
        <v>208</v>
      </c>
    </row>
    <row r="5" spans="1:2" x14ac:dyDescent="0.2">
      <c r="A5" s="7" t="s">
        <v>53</v>
      </c>
      <c r="B5">
        <v>1</v>
      </c>
    </row>
    <row r="6" spans="1:2" x14ac:dyDescent="0.2">
      <c r="A6" s="7" t="s">
        <v>146</v>
      </c>
      <c r="B6">
        <v>3</v>
      </c>
    </row>
    <row r="7" spans="1:2" x14ac:dyDescent="0.2">
      <c r="A7" s="7" t="s">
        <v>143</v>
      </c>
      <c r="B7">
        <v>2</v>
      </c>
    </row>
    <row r="8" spans="1:2" x14ac:dyDescent="0.2">
      <c r="A8" s="7" t="s">
        <v>131</v>
      </c>
      <c r="B8">
        <v>2</v>
      </c>
    </row>
    <row r="9" spans="1:2" x14ac:dyDescent="0.2">
      <c r="A9" s="7" t="s">
        <v>110</v>
      </c>
      <c r="B9">
        <v>2</v>
      </c>
    </row>
    <row r="10" spans="1:2" x14ac:dyDescent="0.2">
      <c r="A10" s="7" t="s">
        <v>47</v>
      </c>
      <c r="B10">
        <v>1</v>
      </c>
    </row>
    <row r="11" spans="1:2" x14ac:dyDescent="0.2">
      <c r="A11" s="7" t="s">
        <v>135</v>
      </c>
      <c r="B11">
        <v>3</v>
      </c>
    </row>
    <row r="12" spans="1:2" x14ac:dyDescent="0.2">
      <c r="A12" s="7" t="s">
        <v>59</v>
      </c>
      <c r="B12">
        <v>1</v>
      </c>
    </row>
    <row r="13" spans="1:2" x14ac:dyDescent="0.2">
      <c r="A13" s="7" t="s">
        <v>165</v>
      </c>
      <c r="B13">
        <v>4</v>
      </c>
    </row>
    <row r="14" spans="1:2" x14ac:dyDescent="0.2">
      <c r="A14" s="7" t="s">
        <v>137</v>
      </c>
      <c r="B14">
        <v>3</v>
      </c>
    </row>
    <row r="15" spans="1:2" x14ac:dyDescent="0.2">
      <c r="A15" s="7" t="s">
        <v>154</v>
      </c>
      <c r="B15">
        <v>3</v>
      </c>
    </row>
    <row r="16" spans="1:2" x14ac:dyDescent="0.2">
      <c r="A16" s="7" t="s">
        <v>196</v>
      </c>
      <c r="B16">
        <v>4</v>
      </c>
    </row>
    <row r="17" spans="1:2" x14ac:dyDescent="0.2">
      <c r="A17" s="7" t="s">
        <v>82</v>
      </c>
      <c r="B17" t="s">
        <v>208</v>
      </c>
    </row>
    <row r="18" spans="1:2" x14ac:dyDescent="0.2">
      <c r="A18" s="7" t="s">
        <v>65</v>
      </c>
      <c r="B18">
        <v>1</v>
      </c>
    </row>
    <row r="19" spans="1:2" x14ac:dyDescent="0.2">
      <c r="A19" s="7" t="s">
        <v>124</v>
      </c>
      <c r="B19">
        <v>2</v>
      </c>
    </row>
    <row r="20" spans="1:2" x14ac:dyDescent="0.2">
      <c r="A20" s="7" t="s">
        <v>114</v>
      </c>
      <c r="B20">
        <v>2</v>
      </c>
    </row>
    <row r="21" spans="1:2" x14ac:dyDescent="0.2">
      <c r="A21" s="7" t="s">
        <v>62</v>
      </c>
      <c r="B2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1DCF-FF77-4544-AB15-A4BF1D411ECE}">
  <dimension ref="A1:G78"/>
  <sheetViews>
    <sheetView topLeftCell="E76" workbookViewId="0">
      <selection activeCell="Q45" sqref="Q45"/>
    </sheetView>
  </sheetViews>
  <sheetFormatPr baseColWidth="10" defaultRowHeight="16" x14ac:dyDescent="0.2"/>
  <cols>
    <col min="1" max="1" width="16.5" bestFit="1" customWidth="1"/>
    <col min="2" max="2" width="17.33203125" bestFit="1" customWidth="1"/>
    <col min="3" max="3" width="22.83203125" bestFit="1" customWidth="1"/>
    <col min="4" max="4" width="14.5" bestFit="1" customWidth="1"/>
    <col min="5" max="5" width="14.83203125" bestFit="1" customWidth="1"/>
    <col min="6" max="6" width="12.6640625" bestFit="1" customWidth="1"/>
    <col min="7" max="7" width="13" bestFit="1" customWidth="1"/>
  </cols>
  <sheetData>
    <row r="1" spans="1:2" x14ac:dyDescent="0.2">
      <c r="A1" s="3" t="s">
        <v>202</v>
      </c>
      <c r="B1" t="s">
        <v>209</v>
      </c>
    </row>
    <row r="3" spans="1:2" x14ac:dyDescent="0.2">
      <c r="A3" s="3" t="s">
        <v>203</v>
      </c>
      <c r="B3" t="s">
        <v>206</v>
      </c>
    </row>
    <row r="4" spans="1:2" x14ac:dyDescent="0.2">
      <c r="A4" s="4">
        <v>1</v>
      </c>
      <c r="B4" s="5">
        <v>58</v>
      </c>
    </row>
    <row r="5" spans="1:2" x14ac:dyDescent="0.2">
      <c r="A5" s="9" t="s">
        <v>53</v>
      </c>
      <c r="B5" s="5">
        <v>13</v>
      </c>
    </row>
    <row r="6" spans="1:2" x14ac:dyDescent="0.2">
      <c r="A6" s="9" t="s">
        <v>47</v>
      </c>
      <c r="B6" s="5">
        <v>14</v>
      </c>
    </row>
    <row r="7" spans="1:2" x14ac:dyDescent="0.2">
      <c r="A7" s="9" t="s">
        <v>59</v>
      </c>
      <c r="B7" s="5">
        <v>13</v>
      </c>
    </row>
    <row r="8" spans="1:2" x14ac:dyDescent="0.2">
      <c r="A8" s="9" t="s">
        <v>65</v>
      </c>
      <c r="B8" s="5">
        <v>10</v>
      </c>
    </row>
    <row r="9" spans="1:2" x14ac:dyDescent="0.2">
      <c r="A9" s="9" t="s">
        <v>62</v>
      </c>
      <c r="B9" s="5">
        <v>8</v>
      </c>
    </row>
    <row r="10" spans="1:2" x14ac:dyDescent="0.2">
      <c r="A10" s="4">
        <v>2</v>
      </c>
      <c r="B10" s="5">
        <v>47</v>
      </c>
    </row>
    <row r="11" spans="1:2" x14ac:dyDescent="0.2">
      <c r="A11" s="9" t="s">
        <v>107</v>
      </c>
      <c r="B11" s="5">
        <v>11</v>
      </c>
    </row>
    <row r="12" spans="1:2" x14ac:dyDescent="0.2">
      <c r="A12" s="9" t="s">
        <v>143</v>
      </c>
      <c r="B12" s="5">
        <v>9</v>
      </c>
    </row>
    <row r="13" spans="1:2" x14ac:dyDescent="0.2">
      <c r="A13" s="9" t="s">
        <v>131</v>
      </c>
      <c r="B13" s="5">
        <v>9</v>
      </c>
    </row>
    <row r="14" spans="1:2" x14ac:dyDescent="0.2">
      <c r="A14" s="9" t="s">
        <v>110</v>
      </c>
      <c r="B14" s="5">
        <v>10</v>
      </c>
    </row>
    <row r="15" spans="1:2" x14ac:dyDescent="0.2">
      <c r="A15" s="9" t="s">
        <v>124</v>
      </c>
      <c r="B15" s="5">
        <v>1</v>
      </c>
    </row>
    <row r="16" spans="1:2" x14ac:dyDescent="0.2">
      <c r="A16" s="9" t="s">
        <v>114</v>
      </c>
      <c r="B16" s="5">
        <v>7</v>
      </c>
    </row>
    <row r="17" spans="1:7" x14ac:dyDescent="0.2">
      <c r="A17" s="4">
        <v>3</v>
      </c>
      <c r="B17" s="5">
        <v>36</v>
      </c>
    </row>
    <row r="18" spans="1:7" x14ac:dyDescent="0.2">
      <c r="A18" s="9" t="s">
        <v>140</v>
      </c>
      <c r="B18" s="5">
        <v>7</v>
      </c>
    </row>
    <row r="19" spans="1:7" x14ac:dyDescent="0.2">
      <c r="A19" s="9" t="s">
        <v>146</v>
      </c>
      <c r="B19" s="5">
        <v>6</v>
      </c>
    </row>
    <row r="20" spans="1:7" x14ac:dyDescent="0.2">
      <c r="A20" s="9" t="s">
        <v>135</v>
      </c>
      <c r="B20" s="5">
        <v>7</v>
      </c>
    </row>
    <row r="21" spans="1:7" x14ac:dyDescent="0.2">
      <c r="A21" s="9" t="s">
        <v>137</v>
      </c>
      <c r="B21" s="5">
        <v>8</v>
      </c>
    </row>
    <row r="22" spans="1:7" x14ac:dyDescent="0.2">
      <c r="A22" s="9" t="s">
        <v>154</v>
      </c>
      <c r="B22" s="5">
        <v>8</v>
      </c>
    </row>
    <row r="23" spans="1:7" x14ac:dyDescent="0.2">
      <c r="A23" s="4">
        <v>4</v>
      </c>
      <c r="B23" s="5">
        <v>6</v>
      </c>
    </row>
    <row r="24" spans="1:7" x14ac:dyDescent="0.2">
      <c r="A24" s="9" t="s">
        <v>165</v>
      </c>
      <c r="B24" s="5">
        <v>5</v>
      </c>
    </row>
    <row r="25" spans="1:7" x14ac:dyDescent="0.2">
      <c r="A25" s="9" t="s">
        <v>196</v>
      </c>
      <c r="B25" s="5">
        <v>1</v>
      </c>
    </row>
    <row r="26" spans="1:7" x14ac:dyDescent="0.2">
      <c r="A26" s="4" t="s">
        <v>205</v>
      </c>
      <c r="B26" s="5">
        <v>147</v>
      </c>
    </row>
    <row r="30" spans="1:7" x14ac:dyDescent="0.2">
      <c r="A30" s="3" t="s">
        <v>202</v>
      </c>
      <c r="B30" t="s">
        <v>209</v>
      </c>
    </row>
    <row r="32" spans="1:7" x14ac:dyDescent="0.2">
      <c r="A32" s="3" t="s">
        <v>203</v>
      </c>
      <c r="B32" t="s">
        <v>633</v>
      </c>
      <c r="C32" t="s">
        <v>634</v>
      </c>
      <c r="D32" t="s">
        <v>635</v>
      </c>
      <c r="E32" t="s">
        <v>636</v>
      </c>
      <c r="F32" t="s">
        <v>637</v>
      </c>
      <c r="G32" t="s">
        <v>638</v>
      </c>
    </row>
    <row r="33" spans="1:7" x14ac:dyDescent="0.2">
      <c r="A33" s="4" t="s">
        <v>140</v>
      </c>
      <c r="B33" s="5">
        <v>0.7857142857142857</v>
      </c>
      <c r="C33" s="5">
        <v>0.1558441558441554</v>
      </c>
      <c r="D33" s="5">
        <v>0.37142857142857116</v>
      </c>
      <c r="E33" s="5">
        <v>0.6190476190476184</v>
      </c>
      <c r="F33" s="5">
        <v>0.58730158730158677</v>
      </c>
      <c r="G33" s="5">
        <v>7</v>
      </c>
    </row>
    <row r="34" spans="1:7" x14ac:dyDescent="0.2">
      <c r="A34" s="4" t="s">
        <v>107</v>
      </c>
      <c r="B34" s="5">
        <v>1</v>
      </c>
      <c r="C34" s="5">
        <v>0.38842975206611519</v>
      </c>
      <c r="D34" s="5">
        <v>0.52121212121212068</v>
      </c>
      <c r="E34" s="5">
        <v>0.54545454545454508</v>
      </c>
      <c r="F34" s="5">
        <v>0.75757575757575679</v>
      </c>
      <c r="G34" s="5">
        <v>11</v>
      </c>
    </row>
    <row r="35" spans="1:7" x14ac:dyDescent="0.2">
      <c r="A35" s="4" t="s">
        <v>118</v>
      </c>
      <c r="B35" s="5">
        <v>0.875</v>
      </c>
      <c r="C35" s="5">
        <v>0.2386363636363632</v>
      </c>
      <c r="D35" s="5">
        <v>0.44999999999999973</v>
      </c>
      <c r="E35" s="5">
        <v>0.54166666666666641</v>
      </c>
      <c r="F35" s="5">
        <v>0.54166666666666607</v>
      </c>
      <c r="G35" s="5">
        <v>8</v>
      </c>
    </row>
    <row r="36" spans="1:7" x14ac:dyDescent="0.2">
      <c r="A36" s="4" t="s">
        <v>53</v>
      </c>
      <c r="B36" s="5">
        <v>0.84615384615384615</v>
      </c>
      <c r="C36" s="5">
        <v>0.34965034965034913</v>
      </c>
      <c r="D36" s="5">
        <v>0.48717948717948684</v>
      </c>
      <c r="E36" s="5">
        <v>0.57692307692307654</v>
      </c>
      <c r="F36" s="5">
        <v>0.53846153846153788</v>
      </c>
      <c r="G36" s="5">
        <v>13</v>
      </c>
    </row>
    <row r="37" spans="1:7" x14ac:dyDescent="0.2">
      <c r="A37" s="4" t="s">
        <v>146</v>
      </c>
      <c r="B37" s="5">
        <v>0.83333333333333337</v>
      </c>
      <c r="C37" s="5">
        <v>0.22727272727272677</v>
      </c>
      <c r="D37" s="5">
        <v>0.39999999999999969</v>
      </c>
      <c r="E37" s="5">
        <v>0.63888888888888851</v>
      </c>
      <c r="F37" s="5">
        <v>0.5740740740740734</v>
      </c>
      <c r="G37" s="5">
        <v>6</v>
      </c>
    </row>
    <row r="38" spans="1:7" x14ac:dyDescent="0.2">
      <c r="A38" s="4" t="s">
        <v>143</v>
      </c>
      <c r="B38" s="5">
        <v>0.72222222222222221</v>
      </c>
      <c r="C38" s="5">
        <v>0.22222222222222174</v>
      </c>
      <c r="D38" s="5">
        <v>0.39259259259259216</v>
      </c>
      <c r="E38" s="5">
        <v>0.51851851851851827</v>
      </c>
      <c r="F38" s="5">
        <v>0.59259259259259212</v>
      </c>
      <c r="G38" s="5">
        <v>9</v>
      </c>
    </row>
    <row r="39" spans="1:7" x14ac:dyDescent="0.2">
      <c r="A39" s="4" t="s">
        <v>131</v>
      </c>
      <c r="B39" s="5">
        <v>0.72222222222222221</v>
      </c>
      <c r="C39" s="5">
        <v>0.25252525252525232</v>
      </c>
      <c r="D39" s="5">
        <v>0.41481481481481469</v>
      </c>
      <c r="E39" s="5">
        <v>0.59259259259259234</v>
      </c>
      <c r="F39" s="5">
        <v>0.61728395061728347</v>
      </c>
      <c r="G39" s="5">
        <v>9</v>
      </c>
    </row>
    <row r="40" spans="1:7" x14ac:dyDescent="0.2">
      <c r="A40" s="4" t="s">
        <v>110</v>
      </c>
      <c r="B40" s="5">
        <v>1</v>
      </c>
      <c r="C40" s="5">
        <v>0.31818181818181779</v>
      </c>
      <c r="D40" s="5">
        <v>0.43999999999999967</v>
      </c>
      <c r="E40" s="5">
        <v>0.63333333333333286</v>
      </c>
      <c r="F40" s="5">
        <v>0.57777777777777717</v>
      </c>
      <c r="G40" s="5">
        <v>10</v>
      </c>
    </row>
    <row r="41" spans="1:7" x14ac:dyDescent="0.2">
      <c r="A41" s="4" t="s">
        <v>47</v>
      </c>
      <c r="B41" s="5">
        <v>0.8571428571428571</v>
      </c>
      <c r="C41" s="5">
        <v>0.42207792207792155</v>
      </c>
      <c r="D41" s="5">
        <v>0.59047619047619015</v>
      </c>
      <c r="E41" s="5">
        <v>0.57142857142857095</v>
      </c>
      <c r="F41" s="5">
        <v>0.682539682539682</v>
      </c>
      <c r="G41" s="5">
        <v>14</v>
      </c>
    </row>
    <row r="42" spans="1:7" x14ac:dyDescent="0.2">
      <c r="A42" s="4" t="s">
        <v>135</v>
      </c>
      <c r="B42" s="5">
        <v>0.5714285714285714</v>
      </c>
      <c r="C42" s="5">
        <v>0.1948051948051944</v>
      </c>
      <c r="D42" s="5">
        <v>0.3809523809523806</v>
      </c>
      <c r="E42" s="5">
        <v>0.5238095238095235</v>
      </c>
      <c r="F42" s="5">
        <v>0.55555555555555503</v>
      </c>
      <c r="G42" s="5">
        <v>7</v>
      </c>
    </row>
    <row r="43" spans="1:7" x14ac:dyDescent="0.2">
      <c r="A43" s="4" t="s">
        <v>59</v>
      </c>
      <c r="B43" s="5">
        <v>0.96153846153846156</v>
      </c>
      <c r="C43" s="5">
        <v>0.43356643356643293</v>
      </c>
      <c r="D43" s="5">
        <v>0.62564102564102519</v>
      </c>
      <c r="E43" s="5">
        <v>0.61538461538461509</v>
      </c>
      <c r="F43" s="5">
        <v>0.72649572649572591</v>
      </c>
      <c r="G43" s="5">
        <v>13</v>
      </c>
    </row>
    <row r="44" spans="1:7" x14ac:dyDescent="0.2">
      <c r="A44" s="4" t="s">
        <v>165</v>
      </c>
      <c r="B44" s="5">
        <v>0.6</v>
      </c>
      <c r="C44" s="5">
        <v>0.23636363636363575</v>
      </c>
      <c r="D44" s="5">
        <v>0.43999999999999961</v>
      </c>
      <c r="E44" s="5">
        <v>0.33333333333333304</v>
      </c>
      <c r="F44" s="5">
        <v>0.57777777777777717</v>
      </c>
      <c r="G44" s="5">
        <v>5</v>
      </c>
    </row>
    <row r="45" spans="1:7" x14ac:dyDescent="0.2">
      <c r="A45" s="4" t="s">
        <v>137</v>
      </c>
      <c r="B45" s="5">
        <v>0.5625</v>
      </c>
      <c r="C45" s="5">
        <v>0.22727272727272685</v>
      </c>
      <c r="D45" s="5">
        <v>0.36666666666666659</v>
      </c>
      <c r="E45" s="5">
        <v>0.52083333333333315</v>
      </c>
      <c r="F45" s="5">
        <v>0.55555555555555503</v>
      </c>
      <c r="G45" s="5">
        <v>8</v>
      </c>
    </row>
    <row r="46" spans="1:7" x14ac:dyDescent="0.2">
      <c r="A46" s="4" t="s">
        <v>154</v>
      </c>
      <c r="B46" s="5">
        <v>1</v>
      </c>
      <c r="C46" s="5">
        <v>0.44318181818181779</v>
      </c>
      <c r="D46" s="5">
        <v>0.62499999999999978</v>
      </c>
      <c r="E46" s="5">
        <v>0.66666666666666596</v>
      </c>
      <c r="F46" s="5">
        <v>0.74999999999999933</v>
      </c>
      <c r="G46" s="5">
        <v>8</v>
      </c>
    </row>
    <row r="47" spans="1:7" x14ac:dyDescent="0.2">
      <c r="A47" s="4" t="s">
        <v>196</v>
      </c>
      <c r="B47" s="5">
        <v>0.5</v>
      </c>
      <c r="C47" s="5">
        <v>9.0909090909090898E-2</v>
      </c>
      <c r="D47" s="5">
        <v>0.33333333333333298</v>
      </c>
      <c r="E47" s="5">
        <v>0.16666666666666599</v>
      </c>
      <c r="F47" s="5">
        <v>0</v>
      </c>
      <c r="G47" s="5">
        <v>1</v>
      </c>
    </row>
    <row r="48" spans="1:7" x14ac:dyDescent="0.2">
      <c r="A48" s="4" t="s">
        <v>82</v>
      </c>
      <c r="B48" s="5">
        <v>0.75</v>
      </c>
      <c r="C48" s="5">
        <v>0.38636363636363596</v>
      </c>
      <c r="D48" s="5">
        <v>0.51666666666666627</v>
      </c>
      <c r="E48" s="5">
        <v>0.4999999999999995</v>
      </c>
      <c r="F48" s="5">
        <v>0.55555555555555491</v>
      </c>
      <c r="G48" s="5">
        <v>4</v>
      </c>
    </row>
    <row r="49" spans="1:7" x14ac:dyDescent="0.2">
      <c r="A49" s="4" t="s">
        <v>65</v>
      </c>
      <c r="B49" s="5">
        <v>1</v>
      </c>
      <c r="C49" s="5">
        <v>0.38181818181818117</v>
      </c>
      <c r="D49" s="5">
        <v>0.47999999999999982</v>
      </c>
      <c r="E49" s="5">
        <v>0.69999999999999973</v>
      </c>
      <c r="F49" s="5">
        <v>0.65555555555555478</v>
      </c>
      <c r="G49" s="5">
        <v>10</v>
      </c>
    </row>
    <row r="50" spans="1:7" x14ac:dyDescent="0.2">
      <c r="A50" s="4" t="s">
        <v>124</v>
      </c>
      <c r="B50" s="5">
        <v>0.5</v>
      </c>
      <c r="C50" s="5">
        <v>9.0909090909090898E-2</v>
      </c>
      <c r="D50" s="5">
        <v>0.2</v>
      </c>
      <c r="E50" s="5">
        <v>0.66666666666666596</v>
      </c>
      <c r="F50" s="5">
        <v>0.11111111111111099</v>
      </c>
      <c r="G50" s="5">
        <v>1</v>
      </c>
    </row>
    <row r="51" spans="1:7" x14ac:dyDescent="0.2">
      <c r="A51" s="4" t="s">
        <v>114</v>
      </c>
      <c r="B51" s="5">
        <v>0.5714285714285714</v>
      </c>
      <c r="C51" s="5">
        <v>0.2077922077922075</v>
      </c>
      <c r="D51" s="5">
        <v>0.33333333333333298</v>
      </c>
      <c r="E51" s="5">
        <v>0.47619047619047583</v>
      </c>
      <c r="F51" s="5">
        <v>0.36507936507936473</v>
      </c>
      <c r="G51" s="5">
        <v>7</v>
      </c>
    </row>
    <row r="52" spans="1:7" x14ac:dyDescent="0.2">
      <c r="A52" s="4" t="s">
        <v>62</v>
      </c>
      <c r="B52" s="5">
        <v>0.9375</v>
      </c>
      <c r="C52" s="5">
        <v>0.20454545454545409</v>
      </c>
      <c r="D52" s="5">
        <v>0.37499999999999967</v>
      </c>
      <c r="E52" s="5">
        <v>0.58333333333333304</v>
      </c>
      <c r="F52" s="5">
        <v>0.45833333333333287</v>
      </c>
      <c r="G52" s="5">
        <v>8</v>
      </c>
    </row>
    <row r="58" spans="1:7" x14ac:dyDescent="0.2">
      <c r="A58" s="6" t="s">
        <v>203</v>
      </c>
      <c r="B58" s="6" t="s">
        <v>633</v>
      </c>
      <c r="C58" s="6" t="s">
        <v>634</v>
      </c>
      <c r="D58" s="6" t="s">
        <v>635</v>
      </c>
      <c r="E58" s="6" t="s">
        <v>636</v>
      </c>
      <c r="F58" s="6" t="s">
        <v>637</v>
      </c>
      <c r="G58" s="6" t="s">
        <v>638</v>
      </c>
    </row>
    <row r="59" spans="1:7" x14ac:dyDescent="0.2">
      <c r="A59" s="4" t="s">
        <v>140</v>
      </c>
      <c r="B59" s="13">
        <v>0.78571428571428603</v>
      </c>
      <c r="C59" s="13">
        <v>0.1558441558441554</v>
      </c>
      <c r="D59" s="13">
        <v>0.37142857142857116</v>
      </c>
      <c r="E59" s="13">
        <v>0.6190476190476184</v>
      </c>
      <c r="F59" s="13">
        <v>0.58730158730158677</v>
      </c>
      <c r="G59" s="5">
        <v>7</v>
      </c>
    </row>
    <row r="60" spans="1:7" x14ac:dyDescent="0.2">
      <c r="A60" s="4" t="s">
        <v>107</v>
      </c>
      <c r="B60" s="13">
        <v>1</v>
      </c>
      <c r="C60" s="13">
        <v>0.38842975206611519</v>
      </c>
      <c r="D60" s="13">
        <v>0.52121212121212068</v>
      </c>
      <c r="E60" s="13">
        <v>0.54545454545454508</v>
      </c>
      <c r="F60" s="13">
        <v>0.75757575757575679</v>
      </c>
      <c r="G60" s="5">
        <v>11</v>
      </c>
    </row>
    <row r="61" spans="1:7" x14ac:dyDescent="0.2">
      <c r="A61" s="4" t="s">
        <v>118</v>
      </c>
      <c r="B61" s="13">
        <v>0.875</v>
      </c>
      <c r="C61" s="13">
        <v>0.2386363636363632</v>
      </c>
      <c r="D61" s="13">
        <v>0.44999999999999973</v>
      </c>
      <c r="E61" s="13">
        <v>0.54166666666666641</v>
      </c>
      <c r="F61" s="13">
        <v>0.54166666666666607</v>
      </c>
      <c r="G61" s="5">
        <v>8</v>
      </c>
    </row>
    <row r="62" spans="1:7" x14ac:dyDescent="0.2">
      <c r="A62" s="4" t="s">
        <v>53</v>
      </c>
      <c r="B62" s="13">
        <v>0.84615384615384615</v>
      </c>
      <c r="C62" s="13">
        <v>0.34965034965034913</v>
      </c>
      <c r="D62" s="13">
        <v>0.48717948717948684</v>
      </c>
      <c r="E62" s="13">
        <v>0.57692307692307654</v>
      </c>
      <c r="F62" s="13">
        <v>0.53846153846153788</v>
      </c>
      <c r="G62" s="5">
        <v>13</v>
      </c>
    </row>
    <row r="63" spans="1:7" x14ac:dyDescent="0.2">
      <c r="A63" s="4" t="s">
        <v>146</v>
      </c>
      <c r="B63" s="13">
        <v>0.83333333333333337</v>
      </c>
      <c r="C63" s="13">
        <v>0.22727272727272677</v>
      </c>
      <c r="D63" s="13">
        <v>0.39999999999999969</v>
      </c>
      <c r="E63" s="13">
        <v>0.63888888888888851</v>
      </c>
      <c r="F63" s="13">
        <v>0.5740740740740734</v>
      </c>
      <c r="G63" s="5">
        <v>6</v>
      </c>
    </row>
    <row r="64" spans="1:7" x14ac:dyDescent="0.2">
      <c r="A64" s="4" t="s">
        <v>143</v>
      </c>
      <c r="B64" s="13">
        <v>0.72222222222222221</v>
      </c>
      <c r="C64" s="13">
        <v>0.22222222222222174</v>
      </c>
      <c r="D64" s="13">
        <v>0.39259259259259216</v>
      </c>
      <c r="E64" s="13">
        <v>0.51851851851851827</v>
      </c>
      <c r="F64" s="13">
        <v>0.59259259259259212</v>
      </c>
      <c r="G64" s="5">
        <v>9</v>
      </c>
    </row>
    <row r="65" spans="1:7" x14ac:dyDescent="0.2">
      <c r="A65" s="4" t="s">
        <v>131</v>
      </c>
      <c r="B65" s="13">
        <v>0.72222222222222221</v>
      </c>
      <c r="C65" s="13">
        <v>0.25252525252525232</v>
      </c>
      <c r="D65" s="13">
        <v>0.41481481481481469</v>
      </c>
      <c r="E65" s="13">
        <v>0.59259259259259234</v>
      </c>
      <c r="F65" s="13">
        <v>0.61728395061728347</v>
      </c>
      <c r="G65" s="5">
        <v>9</v>
      </c>
    </row>
    <row r="66" spans="1:7" x14ac:dyDescent="0.2">
      <c r="A66" s="4" t="s">
        <v>110</v>
      </c>
      <c r="B66" s="13">
        <v>1</v>
      </c>
      <c r="C66" s="13">
        <v>0.31818181818181779</v>
      </c>
      <c r="D66" s="13">
        <v>0.43999999999999967</v>
      </c>
      <c r="E66" s="13">
        <v>0.63333333333333286</v>
      </c>
      <c r="F66" s="13">
        <v>0.57777777777777717</v>
      </c>
      <c r="G66" s="5">
        <v>10</v>
      </c>
    </row>
    <row r="67" spans="1:7" x14ac:dyDescent="0.2">
      <c r="A67" s="4" t="s">
        <v>47</v>
      </c>
      <c r="B67" s="13">
        <v>0.8571428571428571</v>
      </c>
      <c r="C67" s="13">
        <v>0.42207792207792155</v>
      </c>
      <c r="D67" s="13">
        <v>0.59047619047619015</v>
      </c>
      <c r="E67" s="13">
        <v>0.57142857142857095</v>
      </c>
      <c r="F67" s="13">
        <v>0.682539682539682</v>
      </c>
      <c r="G67" s="5">
        <v>14</v>
      </c>
    </row>
    <row r="68" spans="1:7" x14ac:dyDescent="0.2">
      <c r="A68" s="4" t="s">
        <v>135</v>
      </c>
      <c r="B68" s="13">
        <v>0.5714285714285714</v>
      </c>
      <c r="C68" s="13">
        <v>0.1948051948051944</v>
      </c>
      <c r="D68" s="13">
        <v>0.3809523809523806</v>
      </c>
      <c r="E68" s="13">
        <v>0.5238095238095235</v>
      </c>
      <c r="F68" s="13">
        <v>0.55555555555555503</v>
      </c>
      <c r="G68" s="5">
        <v>7</v>
      </c>
    </row>
    <row r="69" spans="1:7" x14ac:dyDescent="0.2">
      <c r="A69" s="4" t="s">
        <v>59</v>
      </c>
      <c r="B69" s="13">
        <v>0.96153846153846156</v>
      </c>
      <c r="C69" s="13">
        <v>0.43356643356643293</v>
      </c>
      <c r="D69" s="13">
        <v>0.62564102564102519</v>
      </c>
      <c r="E69" s="13">
        <v>0.61538461538461509</v>
      </c>
      <c r="F69" s="13">
        <v>0.72649572649572591</v>
      </c>
      <c r="G69" s="5">
        <v>13</v>
      </c>
    </row>
    <row r="70" spans="1:7" x14ac:dyDescent="0.2">
      <c r="A70" s="4" t="s">
        <v>165</v>
      </c>
      <c r="B70" s="13">
        <v>0.6</v>
      </c>
      <c r="C70" s="13">
        <v>0.23636363636363575</v>
      </c>
      <c r="D70" s="13">
        <v>0.43999999999999961</v>
      </c>
      <c r="E70" s="13">
        <v>0.33333333333333304</v>
      </c>
      <c r="F70" s="13">
        <v>0.57777777777777717</v>
      </c>
      <c r="G70" s="5">
        <v>5</v>
      </c>
    </row>
    <row r="71" spans="1:7" x14ac:dyDescent="0.2">
      <c r="A71" s="4" t="s">
        <v>137</v>
      </c>
      <c r="B71" s="13">
        <v>0.5625</v>
      </c>
      <c r="C71" s="13">
        <v>0.22727272727272685</v>
      </c>
      <c r="D71" s="13">
        <v>0.36666666666666659</v>
      </c>
      <c r="E71" s="13">
        <v>0.52083333333333315</v>
      </c>
      <c r="F71" s="13">
        <v>0.55555555555555503</v>
      </c>
      <c r="G71" s="5">
        <v>8</v>
      </c>
    </row>
    <row r="72" spans="1:7" x14ac:dyDescent="0.2">
      <c r="A72" s="4" t="s">
        <v>154</v>
      </c>
      <c r="B72" s="13">
        <v>1</v>
      </c>
      <c r="C72" s="13">
        <v>0.44318181818181779</v>
      </c>
      <c r="D72" s="13">
        <v>0.62499999999999978</v>
      </c>
      <c r="E72" s="13">
        <v>0.66666666666666596</v>
      </c>
      <c r="F72" s="13">
        <v>0.74999999999999933</v>
      </c>
      <c r="G72" s="5">
        <v>8</v>
      </c>
    </row>
    <row r="73" spans="1:7" x14ac:dyDescent="0.2">
      <c r="A73" s="4" t="s">
        <v>196</v>
      </c>
      <c r="B73" s="13">
        <v>0.5</v>
      </c>
      <c r="C73" s="13">
        <v>9.0909090909090898E-2</v>
      </c>
      <c r="D73" s="13">
        <v>0.33333333333333298</v>
      </c>
      <c r="E73" s="13">
        <v>0.16666666666666599</v>
      </c>
      <c r="F73" s="13">
        <v>0</v>
      </c>
      <c r="G73" s="5">
        <v>1</v>
      </c>
    </row>
    <row r="74" spans="1:7" x14ac:dyDescent="0.2">
      <c r="A74" s="4" t="s">
        <v>82</v>
      </c>
      <c r="B74" s="13">
        <v>0.75</v>
      </c>
      <c r="C74" s="13">
        <v>0.38636363636363596</v>
      </c>
      <c r="D74" s="13">
        <v>0.51666666666666627</v>
      </c>
      <c r="E74" s="13">
        <v>0.4999999999999995</v>
      </c>
      <c r="F74" s="13">
        <v>0.55555555555555491</v>
      </c>
      <c r="G74" s="5">
        <v>4</v>
      </c>
    </row>
    <row r="75" spans="1:7" x14ac:dyDescent="0.2">
      <c r="A75" s="4" t="s">
        <v>65</v>
      </c>
      <c r="B75" s="13">
        <v>1</v>
      </c>
      <c r="C75" s="13">
        <v>0.38181818181818117</v>
      </c>
      <c r="D75" s="13">
        <v>0.47999999999999982</v>
      </c>
      <c r="E75" s="13">
        <v>0.69999999999999973</v>
      </c>
      <c r="F75" s="13">
        <v>0.65555555555555478</v>
      </c>
      <c r="G75" s="5">
        <v>10</v>
      </c>
    </row>
    <row r="76" spans="1:7" x14ac:dyDescent="0.2">
      <c r="A76" s="4" t="s">
        <v>124</v>
      </c>
      <c r="B76" s="13">
        <v>0.5</v>
      </c>
      <c r="C76" s="13">
        <v>9.0909090909090898E-2</v>
      </c>
      <c r="D76" s="13">
        <v>0.2</v>
      </c>
      <c r="E76" s="13">
        <v>0.66666666666666596</v>
      </c>
      <c r="F76" s="13">
        <v>0.11111111111111099</v>
      </c>
      <c r="G76" s="5">
        <v>1</v>
      </c>
    </row>
    <row r="77" spans="1:7" x14ac:dyDescent="0.2">
      <c r="A77" s="4" t="s">
        <v>114</v>
      </c>
      <c r="B77" s="13">
        <v>0.5714285714285714</v>
      </c>
      <c r="C77" s="13">
        <v>0.2077922077922075</v>
      </c>
      <c r="D77" s="13">
        <v>0.33333333333333298</v>
      </c>
      <c r="E77" s="13">
        <v>0.47619047619047583</v>
      </c>
      <c r="F77" s="13">
        <v>0.36507936507936473</v>
      </c>
      <c r="G77" s="5">
        <v>7</v>
      </c>
    </row>
    <row r="78" spans="1:7" x14ac:dyDescent="0.2">
      <c r="A78" s="4" t="s">
        <v>62</v>
      </c>
      <c r="B78" s="13">
        <v>0.9375</v>
      </c>
      <c r="C78" s="13">
        <v>0.20454545454545409</v>
      </c>
      <c r="D78" s="13">
        <v>0.37499999999999967</v>
      </c>
      <c r="E78" s="13">
        <v>0.58333333333333304</v>
      </c>
      <c r="F78" s="13">
        <v>0.45833333333333287</v>
      </c>
      <c r="G78" s="5">
        <v>8</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E6CF-1BA4-F745-B93A-FA7F85851CB8}">
  <dimension ref="A1"/>
  <sheetViews>
    <sheetView tabSelected="1" zoomScale="75" workbookViewId="0">
      <selection activeCell="AB23" sqref="AB23"/>
    </sheetView>
  </sheetViews>
  <sheetFormatPr baseColWidth="10"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5587-5E20-8C45-A866-E29BE5AFD942}">
  <dimension ref="A1:AT160"/>
  <sheetViews>
    <sheetView workbookViewId="0">
      <selection activeCell="G34" sqref="G34"/>
    </sheetView>
  </sheetViews>
  <sheetFormatPr baseColWidth="10" defaultRowHeight="16" x14ac:dyDescent="0.2"/>
  <cols>
    <col min="4" max="4" width="12.6640625" customWidth="1"/>
    <col min="5" max="5" width="14.6640625" customWidth="1"/>
    <col min="6" max="6" width="17.33203125" customWidth="1"/>
    <col min="7" max="8" width="15.1640625" customWidth="1"/>
    <col min="9" max="9" width="16.83203125" customWidth="1"/>
    <col min="10" max="10" width="17.6640625" customWidth="1"/>
  </cols>
  <sheetData>
    <row r="1" spans="1:46" x14ac:dyDescent="0.2">
      <c r="A1" t="s">
        <v>0</v>
      </c>
      <c r="B1" t="s">
        <v>202</v>
      </c>
      <c r="C1" t="s">
        <v>1</v>
      </c>
      <c r="D1" t="s">
        <v>2</v>
      </c>
      <c r="E1" t="s">
        <v>3</v>
      </c>
      <c r="F1" t="s">
        <v>4</v>
      </c>
      <c r="G1" t="s">
        <v>5</v>
      </c>
      <c r="H1" t="s">
        <v>207</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row>
    <row r="2" spans="1:46" x14ac:dyDescent="0.2">
      <c r="A2" t="s">
        <v>44</v>
      </c>
      <c r="B2" s="2">
        <f>DATE(YEAR(DATEVALUE(LEFT(A2,10))), MONTH(DATEVALUE(LEFT(A2,10))), 1)</f>
        <v>45748</v>
      </c>
      <c r="C2" t="s">
        <v>45</v>
      </c>
      <c r="D2" s="1">
        <v>9.525462962962963E-3</v>
      </c>
      <c r="E2">
        <v>3</v>
      </c>
      <c r="F2" t="s">
        <v>46</v>
      </c>
      <c r="G2" t="s">
        <v>47</v>
      </c>
      <c r="H2">
        <f>VLOOKUP(G2, cohort!A$2:B$21, 2, FALSE)</f>
        <v>1</v>
      </c>
      <c r="I2" t="s">
        <v>48</v>
      </c>
      <c r="J2">
        <v>0.77777777777777701</v>
      </c>
      <c r="K2">
        <v>1</v>
      </c>
      <c r="L2">
        <v>0.66666666666666596</v>
      </c>
      <c r="M2">
        <v>0.6</v>
      </c>
      <c r="N2">
        <v>0.27272727272727199</v>
      </c>
      <c r="O2">
        <v>0</v>
      </c>
      <c r="P2">
        <v>0</v>
      </c>
      <c r="Q2">
        <v>1</v>
      </c>
      <c r="R2">
        <v>0</v>
      </c>
      <c r="S2">
        <v>0</v>
      </c>
      <c r="T2">
        <v>0</v>
      </c>
      <c r="U2">
        <v>0</v>
      </c>
      <c r="V2">
        <v>0</v>
      </c>
      <c r="W2">
        <v>0</v>
      </c>
      <c r="X2">
        <v>0</v>
      </c>
      <c r="Y2">
        <v>0</v>
      </c>
      <c r="Z2">
        <v>0</v>
      </c>
      <c r="AA2">
        <v>0</v>
      </c>
      <c r="AB2">
        <v>0</v>
      </c>
      <c r="AC2">
        <v>0</v>
      </c>
      <c r="AD2">
        <v>0</v>
      </c>
      <c r="AE2">
        <v>0</v>
      </c>
      <c r="AF2">
        <v>0</v>
      </c>
      <c r="AG2">
        <v>0</v>
      </c>
      <c r="AH2">
        <v>0</v>
      </c>
      <c r="AI2">
        <v>0</v>
      </c>
      <c r="AJ2">
        <v>0</v>
      </c>
      <c r="AK2">
        <v>1</v>
      </c>
      <c r="AL2">
        <v>0</v>
      </c>
      <c r="AM2">
        <v>0</v>
      </c>
      <c r="AN2" t="s">
        <v>49</v>
      </c>
      <c r="AO2">
        <v>0</v>
      </c>
      <c r="AP2">
        <v>1</v>
      </c>
      <c r="AQ2">
        <v>2</v>
      </c>
      <c r="AR2">
        <v>0</v>
      </c>
      <c r="AS2">
        <v>0</v>
      </c>
      <c r="AT2">
        <v>0</v>
      </c>
    </row>
    <row r="3" spans="1:46" x14ac:dyDescent="0.2">
      <c r="A3" t="s">
        <v>44</v>
      </c>
      <c r="B3" s="2">
        <f t="shared" ref="B3:B66" si="0">DATE(YEAR(DATEVALUE(LEFT(A3,10))), MONTH(DATEVALUE(LEFT(A3,10))), 1)</f>
        <v>45748</v>
      </c>
      <c r="C3" t="s">
        <v>45</v>
      </c>
      <c r="D3" s="1">
        <v>1.3900462962962963E-2</v>
      </c>
      <c r="E3">
        <v>3</v>
      </c>
      <c r="F3" t="s">
        <v>46</v>
      </c>
      <c r="G3" t="s">
        <v>47</v>
      </c>
      <c r="H3">
        <f>VLOOKUP(G3, cohort!A$2:B$21, 2, FALSE)</f>
        <v>1</v>
      </c>
      <c r="I3" t="s">
        <v>50</v>
      </c>
      <c r="J3">
        <v>0</v>
      </c>
      <c r="K3">
        <v>0.5</v>
      </c>
      <c r="L3">
        <v>0.33333333333333298</v>
      </c>
      <c r="M3">
        <v>0</v>
      </c>
      <c r="N3">
        <v>0</v>
      </c>
      <c r="O3">
        <v>0</v>
      </c>
      <c r="P3">
        <v>0</v>
      </c>
      <c r="Q3">
        <v>1</v>
      </c>
      <c r="R3">
        <v>0</v>
      </c>
      <c r="S3">
        <v>0</v>
      </c>
      <c r="T3">
        <v>0</v>
      </c>
      <c r="U3">
        <v>0</v>
      </c>
      <c r="V3">
        <v>0</v>
      </c>
      <c r="W3">
        <v>0</v>
      </c>
      <c r="X3">
        <v>0</v>
      </c>
      <c r="Y3">
        <v>0</v>
      </c>
      <c r="Z3">
        <v>0</v>
      </c>
      <c r="AA3">
        <v>0</v>
      </c>
      <c r="AB3">
        <v>0</v>
      </c>
      <c r="AC3">
        <v>0</v>
      </c>
      <c r="AD3">
        <v>0</v>
      </c>
      <c r="AE3">
        <v>0</v>
      </c>
      <c r="AF3">
        <v>0</v>
      </c>
      <c r="AG3">
        <v>0</v>
      </c>
      <c r="AH3">
        <v>0</v>
      </c>
      <c r="AI3">
        <v>0</v>
      </c>
      <c r="AJ3">
        <v>0</v>
      </c>
      <c r="AK3">
        <v>1</v>
      </c>
      <c r="AL3">
        <v>0</v>
      </c>
      <c r="AM3">
        <v>0</v>
      </c>
      <c r="AN3" t="s">
        <v>49</v>
      </c>
      <c r="AO3">
        <v>0</v>
      </c>
      <c r="AP3">
        <v>1</v>
      </c>
      <c r="AQ3">
        <v>2</v>
      </c>
      <c r="AR3">
        <v>0</v>
      </c>
      <c r="AS3">
        <v>0</v>
      </c>
      <c r="AT3">
        <v>0</v>
      </c>
    </row>
    <row r="4" spans="1:46" x14ac:dyDescent="0.2">
      <c r="A4" t="s">
        <v>51</v>
      </c>
      <c r="B4" s="2">
        <f t="shared" si="0"/>
        <v>45778</v>
      </c>
      <c r="C4" t="s">
        <v>52</v>
      </c>
      <c r="D4" s="1">
        <v>1.3900462962962963E-2</v>
      </c>
      <c r="E4">
        <v>3</v>
      </c>
      <c r="F4" t="s">
        <v>46</v>
      </c>
      <c r="G4" t="s">
        <v>53</v>
      </c>
      <c r="H4">
        <f>VLOOKUP(G4, cohort!A$2:B$21, 2, FALSE)</f>
        <v>1</v>
      </c>
      <c r="I4" t="s">
        <v>50</v>
      </c>
      <c r="J4">
        <v>0.33333333333333298</v>
      </c>
      <c r="K4">
        <v>1</v>
      </c>
      <c r="L4">
        <v>0.5</v>
      </c>
      <c r="M4">
        <v>0.46666666666666601</v>
      </c>
      <c r="N4">
        <v>0.18181818181818099</v>
      </c>
      <c r="O4">
        <v>0</v>
      </c>
      <c r="P4">
        <v>0</v>
      </c>
      <c r="Q4">
        <v>1</v>
      </c>
      <c r="R4">
        <v>0</v>
      </c>
      <c r="S4">
        <v>0</v>
      </c>
      <c r="T4">
        <v>0</v>
      </c>
      <c r="U4">
        <v>0</v>
      </c>
      <c r="V4">
        <v>0</v>
      </c>
      <c r="W4">
        <v>0</v>
      </c>
      <c r="X4">
        <v>0</v>
      </c>
      <c r="Y4">
        <v>0</v>
      </c>
      <c r="Z4">
        <v>0</v>
      </c>
      <c r="AA4">
        <v>0</v>
      </c>
      <c r="AB4">
        <v>0</v>
      </c>
      <c r="AC4">
        <v>0</v>
      </c>
      <c r="AD4">
        <v>0</v>
      </c>
      <c r="AE4">
        <v>0</v>
      </c>
      <c r="AF4">
        <v>0</v>
      </c>
      <c r="AG4">
        <v>0</v>
      </c>
      <c r="AH4">
        <v>0</v>
      </c>
      <c r="AI4">
        <v>0</v>
      </c>
      <c r="AJ4">
        <v>0</v>
      </c>
      <c r="AK4">
        <v>1</v>
      </c>
      <c r="AL4">
        <v>0</v>
      </c>
      <c r="AM4">
        <v>0</v>
      </c>
      <c r="AN4" t="s">
        <v>49</v>
      </c>
      <c r="AO4">
        <v>0</v>
      </c>
      <c r="AP4">
        <v>1</v>
      </c>
      <c r="AQ4">
        <v>2</v>
      </c>
      <c r="AR4">
        <v>0</v>
      </c>
      <c r="AS4">
        <v>0</v>
      </c>
      <c r="AT4">
        <v>0</v>
      </c>
    </row>
    <row r="5" spans="1:46" x14ac:dyDescent="0.2">
      <c r="A5" t="s">
        <v>54</v>
      </c>
      <c r="B5" s="2">
        <f t="shared" si="0"/>
        <v>45778</v>
      </c>
      <c r="C5" t="s">
        <v>45</v>
      </c>
      <c r="D5" s="1">
        <v>9.4444444444444445E-3</v>
      </c>
      <c r="E5">
        <v>5</v>
      </c>
      <c r="F5" t="s">
        <v>55</v>
      </c>
      <c r="G5" t="s">
        <v>47</v>
      </c>
      <c r="H5">
        <f>VLOOKUP(G5, cohort!A$2:B$21, 2, FALSE)</f>
        <v>1</v>
      </c>
      <c r="I5" t="s">
        <v>48</v>
      </c>
      <c r="J5">
        <v>0.77777777777777701</v>
      </c>
      <c r="K5">
        <v>1</v>
      </c>
      <c r="L5">
        <v>0.66666666666666596</v>
      </c>
      <c r="M5">
        <v>0.6</v>
      </c>
      <c r="N5">
        <v>0.36363636363636298</v>
      </c>
      <c r="O5">
        <v>0</v>
      </c>
      <c r="P5">
        <v>0</v>
      </c>
      <c r="Q5">
        <v>1</v>
      </c>
      <c r="R5">
        <v>0</v>
      </c>
      <c r="S5">
        <v>0</v>
      </c>
      <c r="T5">
        <v>0</v>
      </c>
      <c r="U5">
        <v>0</v>
      </c>
      <c r="V5">
        <v>0</v>
      </c>
      <c r="W5">
        <v>0</v>
      </c>
      <c r="X5">
        <v>0</v>
      </c>
      <c r="Y5">
        <v>0</v>
      </c>
      <c r="Z5">
        <v>1</v>
      </c>
      <c r="AA5">
        <v>0</v>
      </c>
      <c r="AB5">
        <v>0</v>
      </c>
      <c r="AC5">
        <v>0</v>
      </c>
      <c r="AD5">
        <v>0</v>
      </c>
      <c r="AE5">
        <v>0</v>
      </c>
      <c r="AF5">
        <v>0</v>
      </c>
      <c r="AG5">
        <v>0</v>
      </c>
      <c r="AH5">
        <v>0</v>
      </c>
      <c r="AI5">
        <v>0</v>
      </c>
      <c r="AJ5">
        <v>0</v>
      </c>
      <c r="AK5">
        <v>0</v>
      </c>
      <c r="AL5">
        <v>0</v>
      </c>
      <c r="AM5">
        <v>0</v>
      </c>
      <c r="AN5" t="s">
        <v>49</v>
      </c>
      <c r="AO5">
        <v>0</v>
      </c>
      <c r="AP5">
        <v>1</v>
      </c>
      <c r="AQ5">
        <v>1</v>
      </c>
      <c r="AR5">
        <v>0</v>
      </c>
      <c r="AS5">
        <v>0</v>
      </c>
      <c r="AT5">
        <v>0</v>
      </c>
    </row>
    <row r="6" spans="1:46" x14ac:dyDescent="0.2">
      <c r="A6" t="s">
        <v>56</v>
      </c>
      <c r="B6" s="2">
        <f t="shared" si="0"/>
        <v>45778</v>
      </c>
      <c r="C6" t="s">
        <v>52</v>
      </c>
      <c r="D6" s="1">
        <v>1.4050925925925927E-2</v>
      </c>
      <c r="E6">
        <v>5</v>
      </c>
      <c r="F6" t="s">
        <v>55</v>
      </c>
      <c r="G6" t="s">
        <v>53</v>
      </c>
      <c r="H6">
        <f>VLOOKUP(G6, cohort!A$2:B$21, 2, FALSE)</f>
        <v>1</v>
      </c>
      <c r="I6" t="s">
        <v>48</v>
      </c>
      <c r="J6">
        <v>0.66666666666666596</v>
      </c>
      <c r="K6">
        <v>0</v>
      </c>
      <c r="L6">
        <v>0.16666666666666599</v>
      </c>
      <c r="M6">
        <v>0.46666666666666601</v>
      </c>
      <c r="N6">
        <v>0.27272727272727199</v>
      </c>
      <c r="O6">
        <v>0</v>
      </c>
      <c r="P6">
        <v>0</v>
      </c>
      <c r="Q6">
        <v>1</v>
      </c>
      <c r="R6">
        <v>0</v>
      </c>
      <c r="S6">
        <v>0</v>
      </c>
      <c r="T6">
        <v>0</v>
      </c>
      <c r="U6">
        <v>0</v>
      </c>
      <c r="V6">
        <v>0</v>
      </c>
      <c r="W6">
        <v>0</v>
      </c>
      <c r="X6">
        <v>0</v>
      </c>
      <c r="Y6">
        <v>0</v>
      </c>
      <c r="Z6">
        <v>1</v>
      </c>
      <c r="AA6">
        <v>0</v>
      </c>
      <c r="AB6">
        <v>0</v>
      </c>
      <c r="AC6">
        <v>0</v>
      </c>
      <c r="AD6">
        <v>0</v>
      </c>
      <c r="AE6">
        <v>0</v>
      </c>
      <c r="AF6">
        <v>0</v>
      </c>
      <c r="AG6">
        <v>0</v>
      </c>
      <c r="AH6">
        <v>0</v>
      </c>
      <c r="AI6">
        <v>0</v>
      </c>
      <c r="AJ6">
        <v>0</v>
      </c>
      <c r="AK6">
        <v>0</v>
      </c>
      <c r="AL6">
        <v>0</v>
      </c>
      <c r="AM6">
        <v>0</v>
      </c>
      <c r="AN6" t="s">
        <v>49</v>
      </c>
      <c r="AO6">
        <v>0</v>
      </c>
      <c r="AP6">
        <v>1</v>
      </c>
      <c r="AQ6">
        <v>1</v>
      </c>
      <c r="AR6">
        <v>0</v>
      </c>
      <c r="AS6">
        <v>0</v>
      </c>
      <c r="AT6">
        <v>0</v>
      </c>
    </row>
    <row r="7" spans="1:46" x14ac:dyDescent="0.2">
      <c r="A7" t="s">
        <v>57</v>
      </c>
      <c r="B7" s="2">
        <f t="shared" si="0"/>
        <v>45778</v>
      </c>
      <c r="C7" t="s">
        <v>58</v>
      </c>
      <c r="D7" s="1">
        <v>1.0902777777777779E-2</v>
      </c>
      <c r="E7">
        <v>3</v>
      </c>
      <c r="F7" t="s">
        <v>46</v>
      </c>
      <c r="G7" t="s">
        <v>59</v>
      </c>
      <c r="H7">
        <f>VLOOKUP(G7, cohort!A$2:B$21, 2, FALSE)</f>
        <v>1</v>
      </c>
      <c r="I7" t="s">
        <v>48</v>
      </c>
      <c r="J7">
        <v>0.55555555555555503</v>
      </c>
      <c r="K7">
        <v>1</v>
      </c>
      <c r="L7">
        <v>0.66666666666666596</v>
      </c>
      <c r="M7">
        <v>0.53333333333333299</v>
      </c>
      <c r="N7">
        <v>0.18181818181818099</v>
      </c>
      <c r="O7">
        <v>0</v>
      </c>
      <c r="P7">
        <v>0</v>
      </c>
      <c r="Q7">
        <v>1</v>
      </c>
      <c r="R7">
        <v>0</v>
      </c>
      <c r="S7">
        <v>0</v>
      </c>
      <c r="T7">
        <v>0</v>
      </c>
      <c r="U7">
        <v>0</v>
      </c>
      <c r="V7">
        <v>0</v>
      </c>
      <c r="W7">
        <v>0</v>
      </c>
      <c r="X7">
        <v>0</v>
      </c>
      <c r="Y7">
        <v>0</v>
      </c>
      <c r="Z7">
        <v>0</v>
      </c>
      <c r="AA7">
        <v>0</v>
      </c>
      <c r="AB7">
        <v>0</v>
      </c>
      <c r="AC7">
        <v>0</v>
      </c>
      <c r="AD7">
        <v>0</v>
      </c>
      <c r="AE7">
        <v>0</v>
      </c>
      <c r="AF7">
        <v>0</v>
      </c>
      <c r="AG7">
        <v>0</v>
      </c>
      <c r="AH7">
        <v>0</v>
      </c>
      <c r="AI7">
        <v>0</v>
      </c>
      <c r="AJ7">
        <v>0</v>
      </c>
      <c r="AK7">
        <v>1</v>
      </c>
      <c r="AL7">
        <v>0</v>
      </c>
      <c r="AM7">
        <v>0</v>
      </c>
      <c r="AN7" t="s">
        <v>49</v>
      </c>
      <c r="AO7">
        <v>0</v>
      </c>
      <c r="AP7">
        <v>1</v>
      </c>
      <c r="AQ7">
        <v>2</v>
      </c>
      <c r="AR7">
        <v>0</v>
      </c>
      <c r="AS7">
        <v>0</v>
      </c>
      <c r="AT7">
        <v>0</v>
      </c>
    </row>
    <row r="8" spans="1:46" x14ac:dyDescent="0.2">
      <c r="A8" t="s">
        <v>60</v>
      </c>
      <c r="B8" s="2">
        <f t="shared" si="0"/>
        <v>45778</v>
      </c>
      <c r="C8" t="s">
        <v>61</v>
      </c>
      <c r="D8" s="1">
        <v>9.9884259259259266E-3</v>
      </c>
      <c r="E8">
        <v>3</v>
      </c>
      <c r="F8" t="s">
        <v>46</v>
      </c>
      <c r="G8" t="s">
        <v>62</v>
      </c>
      <c r="H8">
        <f>VLOOKUP(G8, cohort!A$2:B$21, 2, FALSE)</f>
        <v>1</v>
      </c>
      <c r="I8" t="s">
        <v>48</v>
      </c>
      <c r="J8">
        <v>0</v>
      </c>
      <c r="K8">
        <v>0.5</v>
      </c>
      <c r="L8">
        <v>0.5</v>
      </c>
      <c r="M8">
        <v>0.133333333333333</v>
      </c>
      <c r="N8">
        <v>0</v>
      </c>
      <c r="O8">
        <v>0</v>
      </c>
      <c r="P8">
        <v>0</v>
      </c>
      <c r="Q8">
        <v>1</v>
      </c>
      <c r="R8">
        <v>0</v>
      </c>
      <c r="S8">
        <v>0</v>
      </c>
      <c r="T8">
        <v>0</v>
      </c>
      <c r="U8">
        <v>0</v>
      </c>
      <c r="V8">
        <v>0</v>
      </c>
      <c r="W8">
        <v>0</v>
      </c>
      <c r="X8">
        <v>0</v>
      </c>
      <c r="Y8">
        <v>0</v>
      </c>
      <c r="Z8">
        <v>0</v>
      </c>
      <c r="AA8">
        <v>0</v>
      </c>
      <c r="AB8">
        <v>0</v>
      </c>
      <c r="AC8">
        <v>0</v>
      </c>
      <c r="AD8">
        <v>0</v>
      </c>
      <c r="AE8">
        <v>0</v>
      </c>
      <c r="AF8">
        <v>0</v>
      </c>
      <c r="AG8">
        <v>0</v>
      </c>
      <c r="AH8">
        <v>0</v>
      </c>
      <c r="AI8">
        <v>0</v>
      </c>
      <c r="AJ8">
        <v>0</v>
      </c>
      <c r="AK8">
        <v>1</v>
      </c>
      <c r="AL8">
        <v>0</v>
      </c>
      <c r="AM8">
        <v>0</v>
      </c>
      <c r="AN8" t="s">
        <v>49</v>
      </c>
      <c r="AO8">
        <v>0</v>
      </c>
      <c r="AP8">
        <v>1</v>
      </c>
      <c r="AQ8">
        <v>2</v>
      </c>
      <c r="AR8">
        <v>0</v>
      </c>
      <c r="AS8">
        <v>0</v>
      </c>
      <c r="AT8">
        <v>0</v>
      </c>
    </row>
    <row r="9" spans="1:46" x14ac:dyDescent="0.2">
      <c r="A9" t="s">
        <v>63</v>
      </c>
      <c r="B9" s="2">
        <f t="shared" si="0"/>
        <v>45778</v>
      </c>
      <c r="C9" t="s">
        <v>58</v>
      </c>
      <c r="D9" s="1">
        <v>1.238425925925926E-2</v>
      </c>
      <c r="E9">
        <v>5</v>
      </c>
      <c r="F9" t="s">
        <v>55</v>
      </c>
      <c r="G9" t="s">
        <v>59</v>
      </c>
      <c r="H9">
        <f>VLOOKUP(G9, cohort!A$2:B$21, 2, FALSE)</f>
        <v>1</v>
      </c>
      <c r="I9" t="s">
        <v>48</v>
      </c>
      <c r="J9">
        <v>1</v>
      </c>
      <c r="K9">
        <v>1</v>
      </c>
      <c r="L9">
        <v>0.5</v>
      </c>
      <c r="M9">
        <v>0.6</v>
      </c>
      <c r="N9">
        <v>0.36363636363636298</v>
      </c>
      <c r="O9">
        <v>0</v>
      </c>
      <c r="P9">
        <v>0</v>
      </c>
      <c r="Q9">
        <v>1</v>
      </c>
      <c r="R9">
        <v>0</v>
      </c>
      <c r="S9">
        <v>0</v>
      </c>
      <c r="T9">
        <v>0</v>
      </c>
      <c r="U9">
        <v>0</v>
      </c>
      <c r="V9">
        <v>0</v>
      </c>
      <c r="W9">
        <v>0</v>
      </c>
      <c r="X9">
        <v>0</v>
      </c>
      <c r="Y9">
        <v>0</v>
      </c>
      <c r="Z9">
        <v>1</v>
      </c>
      <c r="AA9">
        <v>0</v>
      </c>
      <c r="AB9">
        <v>0</v>
      </c>
      <c r="AC9">
        <v>0</v>
      </c>
      <c r="AD9">
        <v>0</v>
      </c>
      <c r="AE9">
        <v>0</v>
      </c>
      <c r="AF9">
        <v>0</v>
      </c>
      <c r="AG9">
        <v>0</v>
      </c>
      <c r="AH9">
        <v>0</v>
      </c>
      <c r="AI9">
        <v>0</v>
      </c>
      <c r="AJ9">
        <v>0</v>
      </c>
      <c r="AK9">
        <v>0</v>
      </c>
      <c r="AL9">
        <v>0</v>
      </c>
      <c r="AM9">
        <v>0</v>
      </c>
      <c r="AN9" t="s">
        <v>49</v>
      </c>
      <c r="AO9">
        <v>0</v>
      </c>
      <c r="AP9">
        <v>1</v>
      </c>
      <c r="AQ9">
        <v>1</v>
      </c>
      <c r="AR9">
        <v>0</v>
      </c>
      <c r="AS9">
        <v>0</v>
      </c>
      <c r="AT9">
        <v>0</v>
      </c>
    </row>
    <row r="10" spans="1:46" x14ac:dyDescent="0.2">
      <c r="A10" t="s">
        <v>64</v>
      </c>
      <c r="B10" s="2">
        <f t="shared" si="0"/>
        <v>45778</v>
      </c>
      <c r="C10" t="s">
        <v>45</v>
      </c>
      <c r="D10" s="1">
        <v>9.0624999999999994E-3</v>
      </c>
      <c r="E10">
        <v>3</v>
      </c>
      <c r="F10" t="s">
        <v>46</v>
      </c>
      <c r="G10" t="s">
        <v>65</v>
      </c>
      <c r="H10">
        <f>VLOOKUP(G10, cohort!A$2:B$21, 2, FALSE)</f>
        <v>1</v>
      </c>
      <c r="I10" t="s">
        <v>48</v>
      </c>
      <c r="J10">
        <v>0.55555555555555503</v>
      </c>
      <c r="K10">
        <v>1</v>
      </c>
      <c r="L10">
        <v>0.83333333333333304</v>
      </c>
      <c r="M10">
        <v>0.4</v>
      </c>
      <c r="N10">
        <v>0.27272727272727199</v>
      </c>
      <c r="O10">
        <v>0</v>
      </c>
      <c r="P10">
        <v>0</v>
      </c>
      <c r="Q10">
        <v>1</v>
      </c>
      <c r="R10">
        <v>0</v>
      </c>
      <c r="S10">
        <v>0</v>
      </c>
      <c r="T10">
        <v>0</v>
      </c>
      <c r="U10">
        <v>0</v>
      </c>
      <c r="V10">
        <v>0</v>
      </c>
      <c r="W10">
        <v>0</v>
      </c>
      <c r="X10">
        <v>0</v>
      </c>
      <c r="Y10">
        <v>0</v>
      </c>
      <c r="Z10">
        <v>0</v>
      </c>
      <c r="AA10">
        <v>0</v>
      </c>
      <c r="AB10">
        <v>0</v>
      </c>
      <c r="AC10">
        <v>0</v>
      </c>
      <c r="AD10">
        <v>0</v>
      </c>
      <c r="AE10">
        <v>0</v>
      </c>
      <c r="AF10">
        <v>0</v>
      </c>
      <c r="AG10">
        <v>0</v>
      </c>
      <c r="AH10">
        <v>0</v>
      </c>
      <c r="AI10">
        <v>0</v>
      </c>
      <c r="AJ10">
        <v>0</v>
      </c>
      <c r="AK10">
        <v>1</v>
      </c>
      <c r="AL10">
        <v>0</v>
      </c>
      <c r="AM10">
        <v>0</v>
      </c>
      <c r="AN10" t="s">
        <v>49</v>
      </c>
      <c r="AO10">
        <v>0</v>
      </c>
      <c r="AP10">
        <v>1</v>
      </c>
      <c r="AQ10">
        <v>2</v>
      </c>
      <c r="AR10">
        <v>0</v>
      </c>
      <c r="AS10">
        <v>0</v>
      </c>
      <c r="AT10">
        <v>0</v>
      </c>
    </row>
    <row r="11" spans="1:46" x14ac:dyDescent="0.2">
      <c r="A11" t="s">
        <v>66</v>
      </c>
      <c r="B11" s="2">
        <f t="shared" si="0"/>
        <v>45778</v>
      </c>
      <c r="C11" t="s">
        <v>52</v>
      </c>
      <c r="D11" s="1">
        <v>1.3900462962962963E-2</v>
      </c>
      <c r="E11">
        <v>6</v>
      </c>
      <c r="F11" t="s">
        <v>67</v>
      </c>
      <c r="G11" t="s">
        <v>53</v>
      </c>
      <c r="H11">
        <f>VLOOKUP(G11, cohort!A$2:B$21, 2, FALSE)</f>
        <v>1</v>
      </c>
      <c r="I11" t="s">
        <v>50</v>
      </c>
      <c r="J11">
        <v>0.44444444444444398</v>
      </c>
      <c r="K11">
        <v>1</v>
      </c>
      <c r="L11">
        <v>0.33333333333333298</v>
      </c>
      <c r="M11">
        <v>0.266666666666666</v>
      </c>
      <c r="N11">
        <v>0.27272727272727199</v>
      </c>
      <c r="O11">
        <v>0</v>
      </c>
      <c r="P11">
        <v>0</v>
      </c>
      <c r="Q11">
        <v>0</v>
      </c>
      <c r="R11">
        <v>0</v>
      </c>
      <c r="S11">
        <v>0</v>
      </c>
      <c r="T11">
        <v>0</v>
      </c>
      <c r="U11">
        <v>0</v>
      </c>
      <c r="V11">
        <v>0</v>
      </c>
      <c r="W11">
        <v>1</v>
      </c>
      <c r="X11">
        <v>0</v>
      </c>
      <c r="Y11">
        <v>0</v>
      </c>
      <c r="Z11">
        <v>0</v>
      </c>
      <c r="AA11">
        <v>0</v>
      </c>
      <c r="AB11">
        <v>0</v>
      </c>
      <c r="AC11">
        <v>0</v>
      </c>
      <c r="AD11">
        <v>0</v>
      </c>
      <c r="AE11">
        <v>0</v>
      </c>
      <c r="AF11">
        <v>0</v>
      </c>
      <c r="AG11">
        <v>0</v>
      </c>
      <c r="AH11">
        <v>1</v>
      </c>
      <c r="AI11">
        <v>1</v>
      </c>
      <c r="AJ11">
        <v>1</v>
      </c>
      <c r="AK11">
        <v>0</v>
      </c>
      <c r="AL11">
        <v>0</v>
      </c>
      <c r="AM11">
        <v>0</v>
      </c>
      <c r="AN11" t="s">
        <v>49</v>
      </c>
      <c r="AO11">
        <v>0</v>
      </c>
      <c r="AP11">
        <v>2</v>
      </c>
      <c r="AQ11">
        <v>0</v>
      </c>
      <c r="AR11">
        <v>2</v>
      </c>
      <c r="AS11">
        <v>0</v>
      </c>
      <c r="AT11">
        <v>0</v>
      </c>
    </row>
    <row r="12" spans="1:46" x14ac:dyDescent="0.2">
      <c r="A12" t="s">
        <v>68</v>
      </c>
      <c r="B12" s="2">
        <f t="shared" si="0"/>
        <v>45778</v>
      </c>
      <c r="C12" t="s">
        <v>45</v>
      </c>
      <c r="D12" s="1">
        <v>1.2673611111111111E-2</v>
      </c>
      <c r="E12">
        <v>6</v>
      </c>
      <c r="F12" t="s">
        <v>67</v>
      </c>
      <c r="G12" t="s">
        <v>47</v>
      </c>
      <c r="H12">
        <f>VLOOKUP(G12, cohort!A$2:B$21, 2, FALSE)</f>
        <v>1</v>
      </c>
      <c r="I12" t="s">
        <v>48</v>
      </c>
      <c r="J12">
        <v>1</v>
      </c>
      <c r="K12">
        <v>1</v>
      </c>
      <c r="L12">
        <v>0.83333333333333304</v>
      </c>
      <c r="M12">
        <v>0.66666666666666596</v>
      </c>
      <c r="N12">
        <v>0.45454545454545398</v>
      </c>
      <c r="O12">
        <v>0</v>
      </c>
      <c r="P12">
        <v>0</v>
      </c>
      <c r="Q12">
        <v>0</v>
      </c>
      <c r="R12">
        <v>0</v>
      </c>
      <c r="S12">
        <v>0</v>
      </c>
      <c r="T12">
        <v>0</v>
      </c>
      <c r="U12">
        <v>0</v>
      </c>
      <c r="V12">
        <v>0</v>
      </c>
      <c r="W12">
        <v>1</v>
      </c>
      <c r="X12">
        <v>0</v>
      </c>
      <c r="Y12">
        <v>0</v>
      </c>
      <c r="Z12">
        <v>0</v>
      </c>
      <c r="AA12">
        <v>0</v>
      </c>
      <c r="AB12">
        <v>0</v>
      </c>
      <c r="AC12">
        <v>0</v>
      </c>
      <c r="AD12">
        <v>0</v>
      </c>
      <c r="AE12">
        <v>0</v>
      </c>
      <c r="AF12">
        <v>0</v>
      </c>
      <c r="AG12">
        <v>0</v>
      </c>
      <c r="AH12">
        <v>1</v>
      </c>
      <c r="AI12">
        <v>1</v>
      </c>
      <c r="AJ12">
        <v>1</v>
      </c>
      <c r="AK12">
        <v>0</v>
      </c>
      <c r="AL12">
        <v>0</v>
      </c>
      <c r="AM12">
        <v>0</v>
      </c>
      <c r="AN12" t="s">
        <v>49</v>
      </c>
      <c r="AO12">
        <v>0</v>
      </c>
      <c r="AP12">
        <v>2</v>
      </c>
      <c r="AQ12">
        <v>0</v>
      </c>
      <c r="AR12">
        <v>2</v>
      </c>
      <c r="AS12">
        <v>0</v>
      </c>
      <c r="AT12">
        <v>0</v>
      </c>
    </row>
    <row r="13" spans="1:46" x14ac:dyDescent="0.2">
      <c r="A13" t="s">
        <v>69</v>
      </c>
      <c r="B13" s="2">
        <f t="shared" si="0"/>
        <v>45778</v>
      </c>
      <c r="C13" t="s">
        <v>52</v>
      </c>
      <c r="D13" s="1">
        <v>1.2291666666666666E-2</v>
      </c>
      <c r="E13">
        <v>7</v>
      </c>
      <c r="F13" t="s">
        <v>70</v>
      </c>
      <c r="G13" t="s">
        <v>53</v>
      </c>
      <c r="H13">
        <f>VLOOKUP(G13, cohort!A$2:B$21, 2, FALSE)</f>
        <v>1</v>
      </c>
      <c r="I13" t="s">
        <v>48</v>
      </c>
      <c r="J13">
        <v>0.55555555555555503</v>
      </c>
      <c r="K13">
        <v>1</v>
      </c>
      <c r="L13">
        <v>0.66666666666666596</v>
      </c>
      <c r="M13">
        <v>0.46666666666666601</v>
      </c>
      <c r="N13">
        <v>0.45454545454545398</v>
      </c>
      <c r="O13">
        <v>0</v>
      </c>
      <c r="P13">
        <v>0</v>
      </c>
      <c r="Q13">
        <v>0</v>
      </c>
      <c r="R13">
        <v>0</v>
      </c>
      <c r="S13">
        <v>0</v>
      </c>
      <c r="T13">
        <v>0</v>
      </c>
      <c r="U13">
        <v>1</v>
      </c>
      <c r="V13">
        <v>0</v>
      </c>
      <c r="W13">
        <v>1</v>
      </c>
      <c r="X13">
        <v>0</v>
      </c>
      <c r="Y13">
        <v>0</v>
      </c>
      <c r="Z13">
        <v>0</v>
      </c>
      <c r="AA13">
        <v>0</v>
      </c>
      <c r="AB13">
        <v>0</v>
      </c>
      <c r="AC13">
        <v>0</v>
      </c>
      <c r="AD13">
        <v>0</v>
      </c>
      <c r="AE13">
        <v>0</v>
      </c>
      <c r="AF13">
        <v>0</v>
      </c>
      <c r="AG13">
        <v>0</v>
      </c>
      <c r="AH13">
        <v>0</v>
      </c>
      <c r="AI13">
        <v>0</v>
      </c>
      <c r="AJ13">
        <v>1</v>
      </c>
      <c r="AK13">
        <v>0</v>
      </c>
      <c r="AL13">
        <v>0</v>
      </c>
      <c r="AM13">
        <v>0</v>
      </c>
      <c r="AN13" t="s">
        <v>49</v>
      </c>
      <c r="AO13">
        <v>0</v>
      </c>
      <c r="AP13">
        <v>2</v>
      </c>
      <c r="AQ13">
        <v>0</v>
      </c>
      <c r="AR13">
        <v>1</v>
      </c>
      <c r="AS13">
        <v>0</v>
      </c>
      <c r="AT13">
        <v>0</v>
      </c>
    </row>
    <row r="14" spans="1:46" x14ac:dyDescent="0.2">
      <c r="A14" t="s">
        <v>71</v>
      </c>
      <c r="B14" s="2">
        <f t="shared" si="0"/>
        <v>45809</v>
      </c>
      <c r="C14" t="s">
        <v>45</v>
      </c>
      <c r="D14" s="1">
        <v>1.3020833333333334E-2</v>
      </c>
      <c r="E14">
        <v>5</v>
      </c>
      <c r="F14" t="s">
        <v>55</v>
      </c>
      <c r="G14" t="s">
        <v>65</v>
      </c>
      <c r="H14">
        <f>VLOOKUP(G14, cohort!A$2:B$21, 2, FALSE)</f>
        <v>1</v>
      </c>
      <c r="I14" t="s">
        <v>48</v>
      </c>
      <c r="J14">
        <v>0.77777777777777701</v>
      </c>
      <c r="K14">
        <v>1</v>
      </c>
      <c r="L14">
        <v>0.83333333333333304</v>
      </c>
      <c r="M14">
        <v>0.66666666666666596</v>
      </c>
      <c r="N14">
        <v>0.45454545454545398</v>
      </c>
      <c r="O14">
        <v>0</v>
      </c>
      <c r="P14">
        <v>0</v>
      </c>
      <c r="Q14">
        <v>1</v>
      </c>
      <c r="R14">
        <v>0</v>
      </c>
      <c r="S14">
        <v>0</v>
      </c>
      <c r="T14">
        <v>0</v>
      </c>
      <c r="U14">
        <v>0</v>
      </c>
      <c r="V14">
        <v>0</v>
      </c>
      <c r="W14">
        <v>0</v>
      </c>
      <c r="X14">
        <v>0</v>
      </c>
      <c r="Y14">
        <v>0</v>
      </c>
      <c r="Z14">
        <v>1</v>
      </c>
      <c r="AA14">
        <v>0</v>
      </c>
      <c r="AB14">
        <v>0</v>
      </c>
      <c r="AC14">
        <v>0</v>
      </c>
      <c r="AD14">
        <v>0</v>
      </c>
      <c r="AE14">
        <v>0</v>
      </c>
      <c r="AF14">
        <v>0</v>
      </c>
      <c r="AG14">
        <v>0</v>
      </c>
      <c r="AH14">
        <v>0</v>
      </c>
      <c r="AI14">
        <v>0</v>
      </c>
      <c r="AJ14">
        <v>0</v>
      </c>
      <c r="AK14">
        <v>0</v>
      </c>
      <c r="AL14">
        <v>0</v>
      </c>
      <c r="AM14">
        <v>0</v>
      </c>
      <c r="AN14" t="s">
        <v>49</v>
      </c>
      <c r="AO14">
        <v>0</v>
      </c>
      <c r="AP14">
        <v>1</v>
      </c>
      <c r="AQ14">
        <v>1</v>
      </c>
      <c r="AR14">
        <v>0</v>
      </c>
      <c r="AS14">
        <v>0</v>
      </c>
      <c r="AT14">
        <v>0</v>
      </c>
    </row>
    <row r="15" spans="1:46" x14ac:dyDescent="0.2">
      <c r="A15" t="s">
        <v>72</v>
      </c>
      <c r="B15" s="2">
        <f t="shared" si="0"/>
        <v>45809</v>
      </c>
      <c r="C15" t="s">
        <v>61</v>
      </c>
      <c r="D15" s="1">
        <v>1.3368055555555555E-2</v>
      </c>
      <c r="E15">
        <v>16</v>
      </c>
      <c r="F15" t="s">
        <v>73</v>
      </c>
      <c r="G15" t="s">
        <v>53</v>
      </c>
      <c r="H15">
        <f>VLOOKUP(G15, cohort!A$2:B$21, 2, FALSE)</f>
        <v>1</v>
      </c>
      <c r="I15" t="s">
        <v>48</v>
      </c>
      <c r="J15">
        <v>0.55555555555555503</v>
      </c>
      <c r="K15">
        <v>1</v>
      </c>
      <c r="L15">
        <v>0.66666666666666596</v>
      </c>
      <c r="M15">
        <v>0.4</v>
      </c>
      <c r="N15">
        <v>9.0909090909090898E-2</v>
      </c>
      <c r="O15">
        <v>0</v>
      </c>
      <c r="P15">
        <v>0</v>
      </c>
      <c r="Q15">
        <v>0</v>
      </c>
      <c r="R15">
        <v>1</v>
      </c>
      <c r="S15">
        <v>0</v>
      </c>
      <c r="T15">
        <v>0</v>
      </c>
      <c r="U15">
        <v>0</v>
      </c>
      <c r="V15">
        <v>0</v>
      </c>
      <c r="W15">
        <v>0</v>
      </c>
      <c r="X15">
        <v>0</v>
      </c>
      <c r="Y15">
        <v>0</v>
      </c>
      <c r="Z15">
        <v>0</v>
      </c>
      <c r="AA15">
        <v>0</v>
      </c>
      <c r="AB15">
        <v>1</v>
      </c>
      <c r="AC15">
        <v>0</v>
      </c>
      <c r="AD15">
        <v>0</v>
      </c>
      <c r="AE15">
        <v>0</v>
      </c>
      <c r="AF15">
        <v>0</v>
      </c>
      <c r="AG15">
        <v>0</v>
      </c>
      <c r="AH15">
        <v>0</v>
      </c>
      <c r="AI15">
        <v>0</v>
      </c>
      <c r="AJ15">
        <v>0</v>
      </c>
      <c r="AK15">
        <v>0</v>
      </c>
      <c r="AL15">
        <v>0</v>
      </c>
      <c r="AM15">
        <v>0</v>
      </c>
      <c r="AN15" t="s">
        <v>49</v>
      </c>
      <c r="AO15">
        <v>0</v>
      </c>
      <c r="AP15">
        <v>1</v>
      </c>
      <c r="AQ15">
        <v>0</v>
      </c>
      <c r="AR15">
        <v>0</v>
      </c>
      <c r="AS15">
        <v>1</v>
      </c>
      <c r="AT15">
        <v>0</v>
      </c>
    </row>
    <row r="16" spans="1:46" x14ac:dyDescent="0.2">
      <c r="A16" t="s">
        <v>72</v>
      </c>
      <c r="B16" s="2">
        <f t="shared" si="0"/>
        <v>45809</v>
      </c>
      <c r="C16" t="s">
        <v>61</v>
      </c>
      <c r="D16" s="1">
        <v>1.2094907407407407E-2</v>
      </c>
      <c r="E16">
        <v>5</v>
      </c>
      <c r="F16" t="s">
        <v>55</v>
      </c>
      <c r="G16" t="s">
        <v>62</v>
      </c>
      <c r="H16">
        <f>VLOOKUP(G16, cohort!A$2:B$21, 2, FALSE)</f>
        <v>1</v>
      </c>
      <c r="I16" t="s">
        <v>48</v>
      </c>
      <c r="J16">
        <v>0.55555555555555503</v>
      </c>
      <c r="K16">
        <v>1</v>
      </c>
      <c r="L16">
        <v>0.66666666666666596</v>
      </c>
      <c r="M16">
        <v>0.46666666666666601</v>
      </c>
      <c r="N16">
        <v>0.18181818181818099</v>
      </c>
      <c r="O16">
        <v>0</v>
      </c>
      <c r="P16">
        <v>0</v>
      </c>
      <c r="Q16">
        <v>1</v>
      </c>
      <c r="R16">
        <v>0</v>
      </c>
      <c r="S16">
        <v>0</v>
      </c>
      <c r="T16">
        <v>0</v>
      </c>
      <c r="U16">
        <v>0</v>
      </c>
      <c r="V16">
        <v>0</v>
      </c>
      <c r="W16">
        <v>0</v>
      </c>
      <c r="X16">
        <v>0</v>
      </c>
      <c r="Y16">
        <v>0</v>
      </c>
      <c r="Z16">
        <v>1</v>
      </c>
      <c r="AA16">
        <v>0</v>
      </c>
      <c r="AB16">
        <v>0</v>
      </c>
      <c r="AC16">
        <v>0</v>
      </c>
      <c r="AD16">
        <v>0</v>
      </c>
      <c r="AE16">
        <v>0</v>
      </c>
      <c r="AF16">
        <v>0</v>
      </c>
      <c r="AG16">
        <v>0</v>
      </c>
      <c r="AH16">
        <v>0</v>
      </c>
      <c r="AI16">
        <v>0</v>
      </c>
      <c r="AJ16">
        <v>0</v>
      </c>
      <c r="AK16">
        <v>0</v>
      </c>
      <c r="AL16">
        <v>0</v>
      </c>
      <c r="AM16">
        <v>0</v>
      </c>
      <c r="AN16" t="s">
        <v>49</v>
      </c>
      <c r="AO16">
        <v>0</v>
      </c>
      <c r="AP16">
        <v>1</v>
      </c>
      <c r="AQ16">
        <v>1</v>
      </c>
      <c r="AR16">
        <v>0</v>
      </c>
      <c r="AS16">
        <v>0</v>
      </c>
      <c r="AT16">
        <v>0</v>
      </c>
    </row>
    <row r="17" spans="1:46" x14ac:dyDescent="0.2">
      <c r="A17" t="s">
        <v>74</v>
      </c>
      <c r="B17" s="2">
        <f t="shared" si="0"/>
        <v>45809</v>
      </c>
      <c r="C17" t="s">
        <v>58</v>
      </c>
      <c r="D17" s="1">
        <v>1.3472222222222222E-2</v>
      </c>
      <c r="E17">
        <v>6</v>
      </c>
      <c r="F17" t="s">
        <v>67</v>
      </c>
      <c r="G17" t="s">
        <v>59</v>
      </c>
      <c r="H17">
        <f>VLOOKUP(G17, cohort!A$2:B$21, 2, FALSE)</f>
        <v>1</v>
      </c>
      <c r="I17" t="s">
        <v>48</v>
      </c>
      <c r="J17">
        <v>0.44444444444444398</v>
      </c>
      <c r="K17">
        <v>1</v>
      </c>
      <c r="L17">
        <v>0.83333333333333304</v>
      </c>
      <c r="M17">
        <v>0.53333333333333299</v>
      </c>
      <c r="N17">
        <v>0.27272727272727199</v>
      </c>
      <c r="O17">
        <v>0</v>
      </c>
      <c r="P17">
        <v>0</v>
      </c>
      <c r="Q17">
        <v>0</v>
      </c>
      <c r="R17">
        <v>0</v>
      </c>
      <c r="S17">
        <v>0</v>
      </c>
      <c r="T17">
        <v>0</v>
      </c>
      <c r="U17">
        <v>0</v>
      </c>
      <c r="V17">
        <v>0</v>
      </c>
      <c r="W17">
        <v>1</v>
      </c>
      <c r="X17">
        <v>0</v>
      </c>
      <c r="Y17">
        <v>0</v>
      </c>
      <c r="Z17">
        <v>0</v>
      </c>
      <c r="AA17">
        <v>0</v>
      </c>
      <c r="AB17">
        <v>0</v>
      </c>
      <c r="AC17">
        <v>0</v>
      </c>
      <c r="AD17">
        <v>0</v>
      </c>
      <c r="AE17">
        <v>0</v>
      </c>
      <c r="AF17">
        <v>0</v>
      </c>
      <c r="AG17">
        <v>0</v>
      </c>
      <c r="AH17">
        <v>1</v>
      </c>
      <c r="AI17">
        <v>1</v>
      </c>
      <c r="AJ17">
        <v>1</v>
      </c>
      <c r="AK17">
        <v>0</v>
      </c>
      <c r="AL17">
        <v>0</v>
      </c>
      <c r="AM17">
        <v>0</v>
      </c>
      <c r="AN17" t="s">
        <v>49</v>
      </c>
      <c r="AO17">
        <v>0</v>
      </c>
      <c r="AP17">
        <v>2</v>
      </c>
      <c r="AQ17">
        <v>0</v>
      </c>
      <c r="AR17">
        <v>2</v>
      </c>
      <c r="AS17">
        <v>0</v>
      </c>
      <c r="AT17">
        <v>0</v>
      </c>
    </row>
    <row r="18" spans="1:46" x14ac:dyDescent="0.2">
      <c r="A18" t="s">
        <v>75</v>
      </c>
      <c r="B18" s="2">
        <f t="shared" si="0"/>
        <v>45809</v>
      </c>
      <c r="C18" t="s">
        <v>45</v>
      </c>
      <c r="D18" s="1">
        <v>1.0405092592592593E-2</v>
      </c>
      <c r="E18">
        <v>7</v>
      </c>
      <c r="F18" t="s">
        <v>70</v>
      </c>
      <c r="G18" t="s">
        <v>47</v>
      </c>
      <c r="H18">
        <f>VLOOKUP(G18, cohort!A$2:B$21, 2, FALSE)</f>
        <v>1</v>
      </c>
      <c r="I18" t="s">
        <v>48</v>
      </c>
      <c r="J18">
        <v>0.66666666666666596</v>
      </c>
      <c r="K18">
        <v>0</v>
      </c>
      <c r="L18">
        <v>0</v>
      </c>
      <c r="M18">
        <v>0.4</v>
      </c>
      <c r="N18">
        <v>0.36363636363636298</v>
      </c>
      <c r="O18">
        <v>0</v>
      </c>
      <c r="P18">
        <v>0</v>
      </c>
      <c r="Q18">
        <v>0</v>
      </c>
      <c r="R18">
        <v>0</v>
      </c>
      <c r="S18">
        <v>0</v>
      </c>
      <c r="T18">
        <v>0</v>
      </c>
      <c r="U18">
        <v>1</v>
      </c>
      <c r="V18">
        <v>0</v>
      </c>
      <c r="W18">
        <v>1</v>
      </c>
      <c r="X18">
        <v>0</v>
      </c>
      <c r="Y18">
        <v>0</v>
      </c>
      <c r="Z18">
        <v>0</v>
      </c>
      <c r="AA18">
        <v>0</v>
      </c>
      <c r="AB18">
        <v>0</v>
      </c>
      <c r="AC18">
        <v>0</v>
      </c>
      <c r="AD18">
        <v>0</v>
      </c>
      <c r="AE18">
        <v>0</v>
      </c>
      <c r="AF18">
        <v>0</v>
      </c>
      <c r="AG18">
        <v>0</v>
      </c>
      <c r="AH18">
        <v>0</v>
      </c>
      <c r="AI18">
        <v>0</v>
      </c>
      <c r="AJ18">
        <v>1</v>
      </c>
      <c r="AK18">
        <v>0</v>
      </c>
      <c r="AL18">
        <v>0</v>
      </c>
      <c r="AM18">
        <v>0</v>
      </c>
      <c r="AN18" t="s">
        <v>49</v>
      </c>
      <c r="AO18">
        <v>0</v>
      </c>
      <c r="AP18">
        <v>2</v>
      </c>
      <c r="AQ18">
        <v>0</v>
      </c>
      <c r="AR18">
        <v>1</v>
      </c>
      <c r="AS18">
        <v>0</v>
      </c>
      <c r="AT18">
        <v>0</v>
      </c>
    </row>
    <row r="19" spans="1:46" x14ac:dyDescent="0.2">
      <c r="A19" t="s">
        <v>75</v>
      </c>
      <c r="B19" s="2">
        <f t="shared" si="0"/>
        <v>45809</v>
      </c>
      <c r="C19" t="s">
        <v>45</v>
      </c>
      <c r="D19" s="1">
        <v>1.1747685185185186E-2</v>
      </c>
      <c r="E19">
        <v>6</v>
      </c>
      <c r="F19" t="s">
        <v>67</v>
      </c>
      <c r="G19" t="s">
        <v>65</v>
      </c>
      <c r="H19">
        <f>VLOOKUP(G19, cohort!A$2:B$21, 2, FALSE)</f>
        <v>1</v>
      </c>
      <c r="I19" t="s">
        <v>48</v>
      </c>
      <c r="J19">
        <v>0.44444444444444398</v>
      </c>
      <c r="K19">
        <v>1</v>
      </c>
      <c r="L19">
        <v>0.5</v>
      </c>
      <c r="M19">
        <v>0.53333333333333299</v>
      </c>
      <c r="N19">
        <v>0.36363636363636298</v>
      </c>
      <c r="O19">
        <v>0</v>
      </c>
      <c r="P19">
        <v>0</v>
      </c>
      <c r="Q19">
        <v>0</v>
      </c>
      <c r="R19">
        <v>0</v>
      </c>
      <c r="S19">
        <v>0</v>
      </c>
      <c r="T19">
        <v>0</v>
      </c>
      <c r="U19">
        <v>0</v>
      </c>
      <c r="V19">
        <v>0</v>
      </c>
      <c r="W19">
        <v>1</v>
      </c>
      <c r="X19">
        <v>0</v>
      </c>
      <c r="Y19">
        <v>0</v>
      </c>
      <c r="Z19">
        <v>0</v>
      </c>
      <c r="AA19">
        <v>0</v>
      </c>
      <c r="AB19">
        <v>0</v>
      </c>
      <c r="AC19">
        <v>0</v>
      </c>
      <c r="AD19">
        <v>0</v>
      </c>
      <c r="AE19">
        <v>0</v>
      </c>
      <c r="AF19">
        <v>0</v>
      </c>
      <c r="AG19">
        <v>0</v>
      </c>
      <c r="AH19">
        <v>1</v>
      </c>
      <c r="AI19">
        <v>1</v>
      </c>
      <c r="AJ19">
        <v>1</v>
      </c>
      <c r="AK19">
        <v>0</v>
      </c>
      <c r="AL19">
        <v>0</v>
      </c>
      <c r="AM19">
        <v>0</v>
      </c>
      <c r="AN19" t="s">
        <v>49</v>
      </c>
      <c r="AO19">
        <v>0</v>
      </c>
      <c r="AP19">
        <v>2</v>
      </c>
      <c r="AQ19">
        <v>0</v>
      </c>
      <c r="AR19">
        <v>2</v>
      </c>
      <c r="AS19">
        <v>0</v>
      </c>
      <c r="AT19">
        <v>0</v>
      </c>
    </row>
    <row r="20" spans="1:46" x14ac:dyDescent="0.2">
      <c r="A20" t="s">
        <v>76</v>
      </c>
      <c r="B20" s="2">
        <f t="shared" si="0"/>
        <v>45809</v>
      </c>
      <c r="C20" t="s">
        <v>61</v>
      </c>
      <c r="D20" s="1">
        <v>1.3900462962962963E-2</v>
      </c>
      <c r="E20">
        <v>14</v>
      </c>
      <c r="F20" t="s">
        <v>77</v>
      </c>
      <c r="G20" t="s">
        <v>53</v>
      </c>
      <c r="H20">
        <f>VLOOKUP(G20, cohort!A$2:B$21, 2, FALSE)</f>
        <v>1</v>
      </c>
      <c r="I20" t="s">
        <v>50</v>
      </c>
      <c r="J20">
        <v>0.33333333333333298</v>
      </c>
      <c r="K20">
        <v>1</v>
      </c>
      <c r="L20">
        <v>0.66666666666666596</v>
      </c>
      <c r="M20">
        <v>0.6</v>
      </c>
      <c r="N20">
        <v>0.45454545454545398</v>
      </c>
      <c r="O20">
        <v>0</v>
      </c>
      <c r="P20">
        <v>0</v>
      </c>
      <c r="Q20">
        <v>0</v>
      </c>
      <c r="R20">
        <v>0</v>
      </c>
      <c r="S20">
        <v>0</v>
      </c>
      <c r="T20">
        <v>0</v>
      </c>
      <c r="U20">
        <v>0</v>
      </c>
      <c r="V20">
        <v>0</v>
      </c>
      <c r="W20">
        <v>1</v>
      </c>
      <c r="X20">
        <v>1</v>
      </c>
      <c r="Y20">
        <v>0</v>
      </c>
      <c r="Z20">
        <v>0</v>
      </c>
      <c r="AA20">
        <v>0</v>
      </c>
      <c r="AB20">
        <v>0</v>
      </c>
      <c r="AC20">
        <v>1</v>
      </c>
      <c r="AD20">
        <v>0</v>
      </c>
      <c r="AE20">
        <v>0</v>
      </c>
      <c r="AF20">
        <v>0</v>
      </c>
      <c r="AG20">
        <v>0</v>
      </c>
      <c r="AH20">
        <v>0</v>
      </c>
      <c r="AI20">
        <v>0</v>
      </c>
      <c r="AJ20">
        <v>0</v>
      </c>
      <c r="AK20">
        <v>0</v>
      </c>
      <c r="AL20">
        <v>0</v>
      </c>
      <c r="AM20">
        <v>0</v>
      </c>
      <c r="AN20" t="s">
        <v>49</v>
      </c>
      <c r="AO20">
        <v>1</v>
      </c>
      <c r="AP20">
        <v>2</v>
      </c>
      <c r="AQ20">
        <v>1</v>
      </c>
      <c r="AR20">
        <v>1</v>
      </c>
      <c r="AS20">
        <v>2</v>
      </c>
      <c r="AT20">
        <v>1</v>
      </c>
    </row>
    <row r="21" spans="1:46" x14ac:dyDescent="0.2">
      <c r="A21" t="s">
        <v>78</v>
      </c>
      <c r="B21" s="2">
        <f t="shared" si="0"/>
        <v>45809</v>
      </c>
      <c r="C21" t="s">
        <v>45</v>
      </c>
      <c r="D21" s="1">
        <v>1.2835648148148148E-2</v>
      </c>
      <c r="E21">
        <v>14</v>
      </c>
      <c r="F21" t="s">
        <v>77</v>
      </c>
      <c r="G21" t="s">
        <v>47</v>
      </c>
      <c r="H21">
        <f>VLOOKUP(G21, cohort!A$2:B$21, 2, FALSE)</f>
        <v>1</v>
      </c>
      <c r="I21" t="s">
        <v>48</v>
      </c>
      <c r="J21">
        <v>1</v>
      </c>
      <c r="K21">
        <v>1</v>
      </c>
      <c r="L21">
        <v>0.83333333333333304</v>
      </c>
      <c r="M21">
        <v>0.86666666666666603</v>
      </c>
      <c r="N21">
        <v>0.63636363636363602</v>
      </c>
      <c r="O21">
        <v>0</v>
      </c>
      <c r="P21">
        <v>0</v>
      </c>
      <c r="Q21">
        <v>0</v>
      </c>
      <c r="R21">
        <v>0</v>
      </c>
      <c r="S21">
        <v>0</v>
      </c>
      <c r="T21">
        <v>0</v>
      </c>
      <c r="U21">
        <v>0</v>
      </c>
      <c r="V21">
        <v>0</v>
      </c>
      <c r="W21">
        <v>1</v>
      </c>
      <c r="X21">
        <v>1</v>
      </c>
      <c r="Y21">
        <v>0</v>
      </c>
      <c r="Z21">
        <v>0</v>
      </c>
      <c r="AA21">
        <v>0</v>
      </c>
      <c r="AB21">
        <v>0</v>
      </c>
      <c r="AC21">
        <v>1</v>
      </c>
      <c r="AD21">
        <v>0</v>
      </c>
      <c r="AE21">
        <v>0</v>
      </c>
      <c r="AF21">
        <v>0</v>
      </c>
      <c r="AG21">
        <v>0</v>
      </c>
      <c r="AH21">
        <v>0</v>
      </c>
      <c r="AI21">
        <v>0</v>
      </c>
      <c r="AJ21">
        <v>0</v>
      </c>
      <c r="AK21">
        <v>0</v>
      </c>
      <c r="AL21">
        <v>0</v>
      </c>
      <c r="AM21">
        <v>0</v>
      </c>
      <c r="AN21" t="s">
        <v>49</v>
      </c>
      <c r="AO21">
        <v>1</v>
      </c>
      <c r="AP21">
        <v>2</v>
      </c>
      <c r="AQ21">
        <v>1</v>
      </c>
      <c r="AR21">
        <v>1</v>
      </c>
      <c r="AS21">
        <v>2</v>
      </c>
      <c r="AT21">
        <v>1</v>
      </c>
    </row>
    <row r="22" spans="1:46" x14ac:dyDescent="0.2">
      <c r="A22" t="s">
        <v>79</v>
      </c>
      <c r="B22" s="2">
        <f t="shared" si="0"/>
        <v>45809</v>
      </c>
      <c r="C22" t="s">
        <v>58</v>
      </c>
      <c r="D22" s="1">
        <v>7.8819444444444449E-3</v>
      </c>
      <c r="E22">
        <v>7</v>
      </c>
      <c r="F22" t="s">
        <v>70</v>
      </c>
      <c r="G22" t="s">
        <v>59</v>
      </c>
      <c r="H22">
        <f>VLOOKUP(G22, cohort!A$2:B$21, 2, FALSE)</f>
        <v>1</v>
      </c>
      <c r="I22" t="s">
        <v>48</v>
      </c>
      <c r="J22">
        <v>0.77777777777777701</v>
      </c>
      <c r="K22">
        <v>1</v>
      </c>
      <c r="L22">
        <v>0.5</v>
      </c>
      <c r="M22">
        <v>0.6</v>
      </c>
      <c r="N22">
        <v>0.54545454545454497</v>
      </c>
      <c r="O22">
        <v>0</v>
      </c>
      <c r="P22">
        <v>0</v>
      </c>
      <c r="Q22">
        <v>0</v>
      </c>
      <c r="R22">
        <v>0</v>
      </c>
      <c r="S22">
        <v>0</v>
      </c>
      <c r="T22">
        <v>0</v>
      </c>
      <c r="U22">
        <v>1</v>
      </c>
      <c r="V22">
        <v>0</v>
      </c>
      <c r="W22">
        <v>1</v>
      </c>
      <c r="X22">
        <v>0</v>
      </c>
      <c r="Y22">
        <v>0</v>
      </c>
      <c r="Z22">
        <v>0</v>
      </c>
      <c r="AA22">
        <v>0</v>
      </c>
      <c r="AB22">
        <v>0</v>
      </c>
      <c r="AC22">
        <v>0</v>
      </c>
      <c r="AD22">
        <v>0</v>
      </c>
      <c r="AE22">
        <v>0</v>
      </c>
      <c r="AF22">
        <v>0</v>
      </c>
      <c r="AG22">
        <v>0</v>
      </c>
      <c r="AH22">
        <v>0</v>
      </c>
      <c r="AI22">
        <v>0</v>
      </c>
      <c r="AJ22">
        <v>1</v>
      </c>
      <c r="AK22">
        <v>0</v>
      </c>
      <c r="AL22">
        <v>0</v>
      </c>
      <c r="AM22">
        <v>0</v>
      </c>
      <c r="AN22" t="s">
        <v>49</v>
      </c>
      <c r="AO22">
        <v>0</v>
      </c>
      <c r="AP22">
        <v>2</v>
      </c>
      <c r="AQ22">
        <v>0</v>
      </c>
      <c r="AR22">
        <v>1</v>
      </c>
      <c r="AS22">
        <v>0</v>
      </c>
      <c r="AT22">
        <v>0</v>
      </c>
    </row>
    <row r="23" spans="1:46" x14ac:dyDescent="0.2">
      <c r="A23" t="s">
        <v>80</v>
      </c>
      <c r="B23" s="2">
        <f t="shared" si="0"/>
        <v>45809</v>
      </c>
      <c r="C23" t="s">
        <v>45</v>
      </c>
      <c r="D23" s="1">
        <v>1.2048611111111111E-2</v>
      </c>
      <c r="E23">
        <v>16</v>
      </c>
      <c r="F23" t="s">
        <v>73</v>
      </c>
      <c r="G23" t="s">
        <v>47</v>
      </c>
      <c r="H23">
        <f>VLOOKUP(G23, cohort!A$2:B$21, 2, FALSE)</f>
        <v>1</v>
      </c>
      <c r="I23" t="s">
        <v>48</v>
      </c>
      <c r="J23">
        <v>0.66666666666666596</v>
      </c>
      <c r="K23">
        <v>1</v>
      </c>
      <c r="L23">
        <v>0.66666666666666596</v>
      </c>
      <c r="M23">
        <v>0.53333333333333299</v>
      </c>
      <c r="N23">
        <v>0.36363636363636298</v>
      </c>
      <c r="O23">
        <v>0</v>
      </c>
      <c r="P23">
        <v>0</v>
      </c>
      <c r="Q23">
        <v>0</v>
      </c>
      <c r="R23">
        <v>1</v>
      </c>
      <c r="S23">
        <v>0</v>
      </c>
      <c r="T23">
        <v>0</v>
      </c>
      <c r="U23">
        <v>0</v>
      </c>
      <c r="V23">
        <v>0</v>
      </c>
      <c r="W23">
        <v>0</v>
      </c>
      <c r="X23">
        <v>0</v>
      </c>
      <c r="Y23">
        <v>0</v>
      </c>
      <c r="Z23">
        <v>0</v>
      </c>
      <c r="AA23">
        <v>0</v>
      </c>
      <c r="AB23">
        <v>1</v>
      </c>
      <c r="AC23">
        <v>0</v>
      </c>
      <c r="AD23">
        <v>0</v>
      </c>
      <c r="AE23">
        <v>0</v>
      </c>
      <c r="AF23">
        <v>0</v>
      </c>
      <c r="AG23">
        <v>0</v>
      </c>
      <c r="AH23">
        <v>0</v>
      </c>
      <c r="AI23">
        <v>0</v>
      </c>
      <c r="AJ23">
        <v>0</v>
      </c>
      <c r="AK23">
        <v>0</v>
      </c>
      <c r="AL23">
        <v>0</v>
      </c>
      <c r="AM23">
        <v>0</v>
      </c>
      <c r="AN23" t="s">
        <v>49</v>
      </c>
      <c r="AO23">
        <v>0</v>
      </c>
      <c r="AP23">
        <v>1</v>
      </c>
      <c r="AQ23">
        <v>0</v>
      </c>
      <c r="AR23">
        <v>0</v>
      </c>
      <c r="AS23">
        <v>1</v>
      </c>
      <c r="AT23">
        <v>0</v>
      </c>
    </row>
    <row r="24" spans="1:46" x14ac:dyDescent="0.2">
      <c r="A24" t="s">
        <v>80</v>
      </c>
      <c r="B24" s="2">
        <f t="shared" si="0"/>
        <v>45809</v>
      </c>
      <c r="C24" t="s">
        <v>45</v>
      </c>
      <c r="D24" s="1">
        <v>6.6550925925925927E-3</v>
      </c>
      <c r="E24">
        <v>7</v>
      </c>
      <c r="F24" t="s">
        <v>70</v>
      </c>
      <c r="G24" t="s">
        <v>65</v>
      </c>
      <c r="H24">
        <f>VLOOKUP(G24, cohort!A$2:B$21, 2, FALSE)</f>
        <v>1</v>
      </c>
      <c r="I24" t="s">
        <v>48</v>
      </c>
      <c r="J24">
        <v>0.66666666666666596</v>
      </c>
      <c r="K24">
        <v>1</v>
      </c>
      <c r="L24">
        <v>0.66666666666666596</v>
      </c>
      <c r="M24">
        <v>0.33333333333333298</v>
      </c>
      <c r="N24">
        <v>0.27272727272727199</v>
      </c>
      <c r="O24">
        <v>0</v>
      </c>
      <c r="P24">
        <v>0</v>
      </c>
      <c r="Q24">
        <v>0</v>
      </c>
      <c r="R24">
        <v>0</v>
      </c>
      <c r="S24">
        <v>0</v>
      </c>
      <c r="T24">
        <v>0</v>
      </c>
      <c r="U24">
        <v>1</v>
      </c>
      <c r="V24">
        <v>0</v>
      </c>
      <c r="W24">
        <v>1</v>
      </c>
      <c r="X24">
        <v>0</v>
      </c>
      <c r="Y24">
        <v>0</v>
      </c>
      <c r="Z24">
        <v>0</v>
      </c>
      <c r="AA24">
        <v>0</v>
      </c>
      <c r="AB24">
        <v>0</v>
      </c>
      <c r="AC24">
        <v>0</v>
      </c>
      <c r="AD24">
        <v>0</v>
      </c>
      <c r="AE24">
        <v>0</v>
      </c>
      <c r="AF24">
        <v>0</v>
      </c>
      <c r="AG24">
        <v>0</v>
      </c>
      <c r="AH24">
        <v>0</v>
      </c>
      <c r="AI24">
        <v>0</v>
      </c>
      <c r="AJ24">
        <v>1</v>
      </c>
      <c r="AK24">
        <v>0</v>
      </c>
      <c r="AL24">
        <v>0</v>
      </c>
      <c r="AM24">
        <v>0</v>
      </c>
      <c r="AN24" t="s">
        <v>49</v>
      </c>
      <c r="AO24">
        <v>0</v>
      </c>
      <c r="AP24">
        <v>2</v>
      </c>
      <c r="AQ24">
        <v>0</v>
      </c>
      <c r="AR24">
        <v>1</v>
      </c>
      <c r="AS24">
        <v>0</v>
      </c>
      <c r="AT24">
        <v>0</v>
      </c>
    </row>
    <row r="25" spans="1:46" x14ac:dyDescent="0.2">
      <c r="A25" t="s">
        <v>81</v>
      </c>
      <c r="B25" s="2">
        <f t="shared" si="0"/>
        <v>45809</v>
      </c>
      <c r="C25" t="s">
        <v>61</v>
      </c>
      <c r="D25" s="1">
        <v>1.1134259259259259E-2</v>
      </c>
      <c r="E25">
        <v>3</v>
      </c>
      <c r="F25" t="s">
        <v>46</v>
      </c>
      <c r="G25" t="s">
        <v>82</v>
      </c>
      <c r="H25" t="str">
        <f>VLOOKUP(G25, cohort!A$2:B$21, 2, FALSE)</f>
        <v>x</v>
      </c>
      <c r="I25" t="s">
        <v>48</v>
      </c>
      <c r="J25">
        <v>0.11111111111111099</v>
      </c>
      <c r="K25">
        <v>0</v>
      </c>
      <c r="L25">
        <v>0.16666666666666599</v>
      </c>
      <c r="M25">
        <v>0.33333333333333298</v>
      </c>
      <c r="N25">
        <v>9.0909090909090898E-2</v>
      </c>
      <c r="O25">
        <v>0</v>
      </c>
      <c r="P25">
        <v>0</v>
      </c>
      <c r="Q25">
        <v>1</v>
      </c>
      <c r="R25">
        <v>0</v>
      </c>
      <c r="S25">
        <v>0</v>
      </c>
      <c r="T25">
        <v>0</v>
      </c>
      <c r="U25">
        <v>0</v>
      </c>
      <c r="V25">
        <v>0</v>
      </c>
      <c r="W25">
        <v>0</v>
      </c>
      <c r="X25">
        <v>0</v>
      </c>
      <c r="Y25">
        <v>0</v>
      </c>
      <c r="Z25">
        <v>0</v>
      </c>
      <c r="AA25">
        <v>0</v>
      </c>
      <c r="AB25">
        <v>0</v>
      </c>
      <c r="AC25">
        <v>0</v>
      </c>
      <c r="AD25">
        <v>0</v>
      </c>
      <c r="AE25">
        <v>0</v>
      </c>
      <c r="AF25">
        <v>0</v>
      </c>
      <c r="AG25">
        <v>0</v>
      </c>
      <c r="AH25">
        <v>0</v>
      </c>
      <c r="AI25">
        <v>0</v>
      </c>
      <c r="AJ25">
        <v>0</v>
      </c>
      <c r="AK25">
        <v>1</v>
      </c>
      <c r="AL25">
        <v>0</v>
      </c>
      <c r="AM25">
        <v>0</v>
      </c>
      <c r="AN25" t="s">
        <v>49</v>
      </c>
      <c r="AO25">
        <v>0</v>
      </c>
      <c r="AP25">
        <v>1</v>
      </c>
      <c r="AQ25">
        <v>2</v>
      </c>
      <c r="AR25">
        <v>0</v>
      </c>
      <c r="AS25">
        <v>0</v>
      </c>
      <c r="AT25">
        <v>0</v>
      </c>
    </row>
    <row r="26" spans="1:46" x14ac:dyDescent="0.2">
      <c r="A26" t="s">
        <v>83</v>
      </c>
      <c r="B26" s="2">
        <f t="shared" si="0"/>
        <v>45839</v>
      </c>
      <c r="C26" t="s">
        <v>52</v>
      </c>
      <c r="D26" s="1">
        <v>2.0856481481481483E-2</v>
      </c>
      <c r="E26">
        <v>28</v>
      </c>
      <c r="F26" t="s">
        <v>84</v>
      </c>
      <c r="G26" t="s">
        <v>82</v>
      </c>
      <c r="H26" t="str">
        <f>VLOOKUP(G26, cohort!A$2:B$21, 2, FALSE)</f>
        <v>x</v>
      </c>
      <c r="I26" t="s">
        <v>50</v>
      </c>
      <c r="J26">
        <v>0.44444444444444398</v>
      </c>
      <c r="K26">
        <v>1</v>
      </c>
      <c r="L26">
        <v>0.66666666666666596</v>
      </c>
      <c r="M26">
        <v>0.266666666666666</v>
      </c>
      <c r="N26">
        <v>0.18181818181818099</v>
      </c>
      <c r="O26">
        <v>0</v>
      </c>
      <c r="P26">
        <v>0</v>
      </c>
      <c r="Q26">
        <v>0</v>
      </c>
      <c r="R26">
        <v>0</v>
      </c>
      <c r="S26">
        <v>0</v>
      </c>
      <c r="T26">
        <v>1</v>
      </c>
      <c r="U26">
        <v>1</v>
      </c>
      <c r="V26">
        <v>0</v>
      </c>
      <c r="W26">
        <v>0</v>
      </c>
      <c r="X26">
        <v>0</v>
      </c>
      <c r="Y26">
        <v>0</v>
      </c>
      <c r="Z26">
        <v>0</v>
      </c>
      <c r="AA26">
        <v>0</v>
      </c>
      <c r="AB26">
        <v>0</v>
      </c>
      <c r="AC26">
        <v>0</v>
      </c>
      <c r="AD26">
        <v>0</v>
      </c>
      <c r="AE26">
        <v>0</v>
      </c>
      <c r="AF26">
        <v>0</v>
      </c>
      <c r="AG26">
        <v>0</v>
      </c>
      <c r="AH26">
        <v>0</v>
      </c>
      <c r="AI26">
        <v>0</v>
      </c>
      <c r="AJ26">
        <v>0</v>
      </c>
      <c r="AK26">
        <v>0</v>
      </c>
      <c r="AL26">
        <v>1</v>
      </c>
      <c r="AM26">
        <v>0</v>
      </c>
      <c r="AN26" t="s">
        <v>49</v>
      </c>
      <c r="AO26">
        <v>0</v>
      </c>
      <c r="AP26">
        <v>1</v>
      </c>
      <c r="AQ26">
        <v>1</v>
      </c>
      <c r="AR26">
        <v>1</v>
      </c>
      <c r="AS26">
        <v>0</v>
      </c>
      <c r="AT26">
        <v>1</v>
      </c>
    </row>
    <row r="27" spans="1:46" x14ac:dyDescent="0.2">
      <c r="A27" t="s">
        <v>85</v>
      </c>
      <c r="B27" s="2">
        <f t="shared" si="0"/>
        <v>45839</v>
      </c>
      <c r="C27" t="s">
        <v>58</v>
      </c>
      <c r="D27" s="1">
        <v>1.1458333333333333E-2</v>
      </c>
      <c r="E27">
        <v>14</v>
      </c>
      <c r="F27" t="s">
        <v>77</v>
      </c>
      <c r="G27" t="s">
        <v>59</v>
      </c>
      <c r="H27">
        <f>VLOOKUP(G27, cohort!A$2:B$21, 2, FALSE)</f>
        <v>1</v>
      </c>
      <c r="I27" t="s">
        <v>48</v>
      </c>
      <c r="J27">
        <v>0.88888888888888795</v>
      </c>
      <c r="K27">
        <v>1</v>
      </c>
      <c r="L27">
        <v>0.5</v>
      </c>
      <c r="M27">
        <v>0.8</v>
      </c>
      <c r="N27">
        <v>0.54545454545454497</v>
      </c>
      <c r="O27">
        <v>0</v>
      </c>
      <c r="P27">
        <v>0</v>
      </c>
      <c r="Q27">
        <v>0</v>
      </c>
      <c r="R27">
        <v>0</v>
      </c>
      <c r="S27">
        <v>0</v>
      </c>
      <c r="T27">
        <v>0</v>
      </c>
      <c r="U27">
        <v>0</v>
      </c>
      <c r="V27">
        <v>0</v>
      </c>
      <c r="W27">
        <v>1</v>
      </c>
      <c r="X27">
        <v>1</v>
      </c>
      <c r="Y27">
        <v>0</v>
      </c>
      <c r="Z27">
        <v>0</v>
      </c>
      <c r="AA27">
        <v>0</v>
      </c>
      <c r="AB27">
        <v>0</v>
      </c>
      <c r="AC27">
        <v>1</v>
      </c>
      <c r="AD27">
        <v>0</v>
      </c>
      <c r="AE27">
        <v>0</v>
      </c>
      <c r="AF27">
        <v>0</v>
      </c>
      <c r="AG27">
        <v>0</v>
      </c>
      <c r="AH27">
        <v>0</v>
      </c>
      <c r="AI27">
        <v>0</v>
      </c>
      <c r="AJ27">
        <v>0</v>
      </c>
      <c r="AK27">
        <v>0</v>
      </c>
      <c r="AL27">
        <v>0</v>
      </c>
      <c r="AM27">
        <v>0</v>
      </c>
      <c r="AN27" t="s">
        <v>49</v>
      </c>
      <c r="AO27">
        <v>1</v>
      </c>
      <c r="AP27">
        <v>2</v>
      </c>
      <c r="AQ27">
        <v>1</v>
      </c>
      <c r="AR27">
        <v>1</v>
      </c>
      <c r="AS27">
        <v>2</v>
      </c>
      <c r="AT27">
        <v>1</v>
      </c>
    </row>
    <row r="28" spans="1:46" x14ac:dyDescent="0.2">
      <c r="A28" t="s">
        <v>86</v>
      </c>
      <c r="B28" s="2">
        <f t="shared" si="0"/>
        <v>45839</v>
      </c>
      <c r="C28" t="s">
        <v>45</v>
      </c>
      <c r="D28" s="1">
        <v>1.3900462962962963E-2</v>
      </c>
      <c r="E28">
        <v>4</v>
      </c>
      <c r="F28" t="s">
        <v>87</v>
      </c>
      <c r="G28" t="s">
        <v>47</v>
      </c>
      <c r="H28">
        <f>VLOOKUP(G28, cohort!A$2:B$21, 2, FALSE)</f>
        <v>1</v>
      </c>
      <c r="I28" t="s">
        <v>50</v>
      </c>
      <c r="J28">
        <v>0.33333333333333298</v>
      </c>
      <c r="K28">
        <v>1</v>
      </c>
      <c r="L28">
        <v>0.33333333333333298</v>
      </c>
      <c r="M28">
        <v>0.46666666666666601</v>
      </c>
      <c r="N28">
        <v>0.27272727272727199</v>
      </c>
      <c r="O28">
        <v>1</v>
      </c>
      <c r="P28">
        <v>0</v>
      </c>
      <c r="Q28">
        <v>0</v>
      </c>
      <c r="R28">
        <v>0</v>
      </c>
      <c r="S28">
        <v>0</v>
      </c>
      <c r="T28">
        <v>0</v>
      </c>
      <c r="U28">
        <v>0</v>
      </c>
      <c r="V28">
        <v>0</v>
      </c>
      <c r="W28">
        <v>0</v>
      </c>
      <c r="X28">
        <v>0</v>
      </c>
      <c r="Y28">
        <v>0</v>
      </c>
      <c r="Z28">
        <v>0</v>
      </c>
      <c r="AA28">
        <v>0</v>
      </c>
      <c r="AB28">
        <v>0</v>
      </c>
      <c r="AC28">
        <v>1</v>
      </c>
      <c r="AD28">
        <v>0</v>
      </c>
      <c r="AE28">
        <v>1</v>
      </c>
      <c r="AF28">
        <v>0</v>
      </c>
      <c r="AG28">
        <v>1</v>
      </c>
      <c r="AH28">
        <v>0</v>
      </c>
      <c r="AI28">
        <v>0</v>
      </c>
      <c r="AJ28">
        <v>0</v>
      </c>
      <c r="AK28">
        <v>0</v>
      </c>
      <c r="AL28">
        <v>0</v>
      </c>
      <c r="AM28">
        <v>0</v>
      </c>
      <c r="AN28" t="s">
        <v>49</v>
      </c>
      <c r="AO28">
        <v>1</v>
      </c>
      <c r="AP28">
        <v>4</v>
      </c>
      <c r="AQ28">
        <v>1</v>
      </c>
      <c r="AR28">
        <v>1</v>
      </c>
      <c r="AS28">
        <v>1</v>
      </c>
      <c r="AT28">
        <v>1</v>
      </c>
    </row>
    <row r="29" spans="1:46" x14ac:dyDescent="0.2">
      <c r="A29" t="s">
        <v>88</v>
      </c>
      <c r="B29" s="2">
        <f t="shared" si="0"/>
        <v>45839</v>
      </c>
      <c r="C29" t="s">
        <v>61</v>
      </c>
      <c r="D29" s="1">
        <v>1.4074074074074074E-2</v>
      </c>
      <c r="E29">
        <v>4</v>
      </c>
      <c r="F29" t="s">
        <v>87</v>
      </c>
      <c r="G29" t="s">
        <v>53</v>
      </c>
      <c r="H29">
        <f>VLOOKUP(G29, cohort!A$2:B$21, 2, FALSE)</f>
        <v>1</v>
      </c>
      <c r="I29" t="s">
        <v>48</v>
      </c>
      <c r="J29">
        <v>0.44444444444444398</v>
      </c>
      <c r="K29">
        <v>1</v>
      </c>
      <c r="L29">
        <v>0.66666666666666596</v>
      </c>
      <c r="M29">
        <v>0.53333333333333299</v>
      </c>
      <c r="N29">
        <v>0.18181818181818099</v>
      </c>
      <c r="O29">
        <v>1</v>
      </c>
      <c r="P29">
        <v>0</v>
      </c>
      <c r="Q29">
        <v>0</v>
      </c>
      <c r="R29">
        <v>0</v>
      </c>
      <c r="S29">
        <v>0</v>
      </c>
      <c r="T29">
        <v>0</v>
      </c>
      <c r="U29">
        <v>0</v>
      </c>
      <c r="V29">
        <v>0</v>
      </c>
      <c r="W29">
        <v>0</v>
      </c>
      <c r="X29">
        <v>0</v>
      </c>
      <c r="Y29">
        <v>0</v>
      </c>
      <c r="Z29">
        <v>0</v>
      </c>
      <c r="AA29">
        <v>0</v>
      </c>
      <c r="AB29">
        <v>0</v>
      </c>
      <c r="AC29">
        <v>1</v>
      </c>
      <c r="AD29">
        <v>0</v>
      </c>
      <c r="AE29">
        <v>1</v>
      </c>
      <c r="AF29">
        <v>0</v>
      </c>
      <c r="AG29">
        <v>1</v>
      </c>
      <c r="AH29">
        <v>0</v>
      </c>
      <c r="AI29">
        <v>0</v>
      </c>
      <c r="AJ29">
        <v>0</v>
      </c>
      <c r="AK29">
        <v>0</v>
      </c>
      <c r="AL29">
        <v>0</v>
      </c>
      <c r="AM29">
        <v>0</v>
      </c>
      <c r="AN29" t="s">
        <v>49</v>
      </c>
      <c r="AO29">
        <v>1</v>
      </c>
      <c r="AP29">
        <v>4</v>
      </c>
      <c r="AQ29">
        <v>1</v>
      </c>
      <c r="AR29">
        <v>1</v>
      </c>
      <c r="AS29">
        <v>1</v>
      </c>
      <c r="AT29">
        <v>1</v>
      </c>
    </row>
    <row r="30" spans="1:46" x14ac:dyDescent="0.2">
      <c r="A30" t="s">
        <v>89</v>
      </c>
      <c r="B30" s="2">
        <f t="shared" si="0"/>
        <v>45839</v>
      </c>
      <c r="C30" t="s">
        <v>45</v>
      </c>
      <c r="D30" s="1">
        <v>1.2337962962962964E-2</v>
      </c>
      <c r="E30">
        <v>14</v>
      </c>
      <c r="F30" t="s">
        <v>77</v>
      </c>
      <c r="G30" t="s">
        <v>65</v>
      </c>
      <c r="H30">
        <f>VLOOKUP(G30, cohort!A$2:B$21, 2, FALSE)</f>
        <v>1</v>
      </c>
      <c r="I30" t="s">
        <v>48</v>
      </c>
      <c r="J30">
        <v>0.44444444444444398</v>
      </c>
      <c r="K30">
        <v>1</v>
      </c>
      <c r="L30">
        <v>0.5</v>
      </c>
      <c r="M30">
        <v>0.46666666666666601</v>
      </c>
      <c r="N30">
        <v>0.36363636363636298</v>
      </c>
      <c r="O30">
        <v>0</v>
      </c>
      <c r="P30">
        <v>0</v>
      </c>
      <c r="Q30">
        <v>0</v>
      </c>
      <c r="R30">
        <v>0</v>
      </c>
      <c r="S30">
        <v>0</v>
      </c>
      <c r="T30">
        <v>0</v>
      </c>
      <c r="U30">
        <v>0</v>
      </c>
      <c r="V30">
        <v>0</v>
      </c>
      <c r="W30">
        <v>1</v>
      </c>
      <c r="X30">
        <v>1</v>
      </c>
      <c r="Y30">
        <v>0</v>
      </c>
      <c r="Z30">
        <v>0</v>
      </c>
      <c r="AA30">
        <v>0</v>
      </c>
      <c r="AB30">
        <v>0</v>
      </c>
      <c r="AC30">
        <v>1</v>
      </c>
      <c r="AD30">
        <v>0</v>
      </c>
      <c r="AE30">
        <v>0</v>
      </c>
      <c r="AF30">
        <v>0</v>
      </c>
      <c r="AG30">
        <v>0</v>
      </c>
      <c r="AH30">
        <v>0</v>
      </c>
      <c r="AI30">
        <v>0</v>
      </c>
      <c r="AJ30">
        <v>0</v>
      </c>
      <c r="AK30">
        <v>0</v>
      </c>
      <c r="AL30">
        <v>0</v>
      </c>
      <c r="AM30">
        <v>0</v>
      </c>
      <c r="AN30" t="s">
        <v>49</v>
      </c>
      <c r="AO30">
        <v>1</v>
      </c>
      <c r="AP30">
        <v>2</v>
      </c>
      <c r="AQ30">
        <v>1</v>
      </c>
      <c r="AR30">
        <v>1</v>
      </c>
      <c r="AS30">
        <v>2</v>
      </c>
      <c r="AT30">
        <v>1</v>
      </c>
    </row>
    <row r="31" spans="1:46" x14ac:dyDescent="0.2">
      <c r="A31" t="s">
        <v>90</v>
      </c>
      <c r="B31" s="2">
        <f t="shared" si="0"/>
        <v>45839</v>
      </c>
      <c r="C31" t="s">
        <v>52</v>
      </c>
      <c r="D31" s="1">
        <v>1.3888888888888888E-2</v>
      </c>
      <c r="E31">
        <v>16</v>
      </c>
      <c r="F31" t="s">
        <v>73</v>
      </c>
      <c r="G31" t="s">
        <v>59</v>
      </c>
      <c r="H31">
        <f>VLOOKUP(G31, cohort!A$2:B$21, 2, FALSE)</f>
        <v>1</v>
      </c>
      <c r="I31" t="s">
        <v>48</v>
      </c>
      <c r="J31">
        <v>0.88888888888888795</v>
      </c>
      <c r="K31">
        <v>1</v>
      </c>
      <c r="L31">
        <v>0.83333333333333304</v>
      </c>
      <c r="M31">
        <v>0.73333333333333295</v>
      </c>
      <c r="N31">
        <v>0.54545454545454497</v>
      </c>
      <c r="O31">
        <v>0</v>
      </c>
      <c r="P31">
        <v>0</v>
      </c>
      <c r="Q31">
        <v>0</v>
      </c>
      <c r="R31">
        <v>1</v>
      </c>
      <c r="S31">
        <v>0</v>
      </c>
      <c r="T31">
        <v>0</v>
      </c>
      <c r="U31">
        <v>0</v>
      </c>
      <c r="V31">
        <v>0</v>
      </c>
      <c r="W31">
        <v>0</v>
      </c>
      <c r="X31">
        <v>0</v>
      </c>
      <c r="Y31">
        <v>0</v>
      </c>
      <c r="Z31">
        <v>0</v>
      </c>
      <c r="AA31">
        <v>0</v>
      </c>
      <c r="AB31">
        <v>1</v>
      </c>
      <c r="AC31">
        <v>0</v>
      </c>
      <c r="AD31">
        <v>0</v>
      </c>
      <c r="AE31">
        <v>0</v>
      </c>
      <c r="AF31">
        <v>0</v>
      </c>
      <c r="AG31">
        <v>0</v>
      </c>
      <c r="AH31">
        <v>0</v>
      </c>
      <c r="AI31">
        <v>0</v>
      </c>
      <c r="AJ31">
        <v>0</v>
      </c>
      <c r="AK31">
        <v>0</v>
      </c>
      <c r="AL31">
        <v>0</v>
      </c>
      <c r="AM31">
        <v>0</v>
      </c>
      <c r="AN31" t="s">
        <v>49</v>
      </c>
      <c r="AO31">
        <v>0</v>
      </c>
      <c r="AP31">
        <v>1</v>
      </c>
      <c r="AQ31">
        <v>0</v>
      </c>
      <c r="AR31">
        <v>0</v>
      </c>
      <c r="AS31">
        <v>1</v>
      </c>
      <c r="AT31">
        <v>0</v>
      </c>
    </row>
    <row r="32" spans="1:46" x14ac:dyDescent="0.2">
      <c r="A32" t="s">
        <v>91</v>
      </c>
      <c r="B32" s="2">
        <f t="shared" si="0"/>
        <v>45839</v>
      </c>
      <c r="C32" t="s">
        <v>92</v>
      </c>
      <c r="D32" s="1">
        <v>1.3900462962962963E-2</v>
      </c>
      <c r="E32">
        <v>4</v>
      </c>
      <c r="F32" t="s">
        <v>87</v>
      </c>
      <c r="G32" t="s">
        <v>59</v>
      </c>
      <c r="H32">
        <f>VLOOKUP(G32, cohort!A$2:B$21, 2, FALSE)</f>
        <v>1</v>
      </c>
      <c r="I32" t="s">
        <v>50</v>
      </c>
      <c r="J32">
        <v>0.55555555555555503</v>
      </c>
      <c r="K32">
        <v>1</v>
      </c>
      <c r="L32">
        <v>0.83333333333333304</v>
      </c>
      <c r="M32">
        <v>0.66666666666666596</v>
      </c>
      <c r="N32">
        <v>0.45454545454545398</v>
      </c>
      <c r="O32">
        <v>1</v>
      </c>
      <c r="P32">
        <v>0</v>
      </c>
      <c r="Q32">
        <v>0</v>
      </c>
      <c r="R32">
        <v>0</v>
      </c>
      <c r="S32">
        <v>0</v>
      </c>
      <c r="T32">
        <v>0</v>
      </c>
      <c r="U32">
        <v>0</v>
      </c>
      <c r="V32">
        <v>0</v>
      </c>
      <c r="W32">
        <v>0</v>
      </c>
      <c r="X32">
        <v>0</v>
      </c>
      <c r="Y32">
        <v>0</v>
      </c>
      <c r="Z32">
        <v>0</v>
      </c>
      <c r="AA32">
        <v>0</v>
      </c>
      <c r="AB32">
        <v>0</v>
      </c>
      <c r="AC32">
        <v>1</v>
      </c>
      <c r="AD32">
        <v>0</v>
      </c>
      <c r="AE32">
        <v>1</v>
      </c>
      <c r="AF32">
        <v>0</v>
      </c>
      <c r="AG32">
        <v>1</v>
      </c>
      <c r="AH32">
        <v>0</v>
      </c>
      <c r="AI32">
        <v>0</v>
      </c>
      <c r="AJ32">
        <v>0</v>
      </c>
      <c r="AK32">
        <v>0</v>
      </c>
      <c r="AL32">
        <v>0</v>
      </c>
      <c r="AM32">
        <v>0</v>
      </c>
      <c r="AN32" t="s">
        <v>49</v>
      </c>
      <c r="AO32">
        <v>1</v>
      </c>
      <c r="AP32">
        <v>4</v>
      </c>
      <c r="AQ32">
        <v>1</v>
      </c>
      <c r="AR32">
        <v>1</v>
      </c>
      <c r="AS32">
        <v>1</v>
      </c>
      <c r="AT32">
        <v>1</v>
      </c>
    </row>
    <row r="33" spans="1:46" x14ac:dyDescent="0.2">
      <c r="A33" t="s">
        <v>93</v>
      </c>
      <c r="B33" s="2">
        <f t="shared" si="0"/>
        <v>45839</v>
      </c>
      <c r="C33" t="s">
        <v>61</v>
      </c>
      <c r="D33" s="1">
        <v>1.3946759259259259E-2</v>
      </c>
      <c r="E33">
        <v>16</v>
      </c>
      <c r="F33" t="s">
        <v>73</v>
      </c>
      <c r="G33" t="s">
        <v>65</v>
      </c>
      <c r="H33">
        <f>VLOOKUP(G33, cohort!A$2:B$21, 2, FALSE)</f>
        <v>1</v>
      </c>
      <c r="I33" t="s">
        <v>48</v>
      </c>
      <c r="J33">
        <v>0.66666666666666596</v>
      </c>
      <c r="K33">
        <v>1</v>
      </c>
      <c r="L33">
        <v>0.83333333333333304</v>
      </c>
      <c r="M33">
        <v>0.4</v>
      </c>
      <c r="N33">
        <v>0.36363636363636298</v>
      </c>
      <c r="O33">
        <v>0</v>
      </c>
      <c r="P33">
        <v>0</v>
      </c>
      <c r="Q33">
        <v>0</v>
      </c>
      <c r="R33">
        <v>1</v>
      </c>
      <c r="S33">
        <v>0</v>
      </c>
      <c r="T33">
        <v>0</v>
      </c>
      <c r="U33">
        <v>0</v>
      </c>
      <c r="V33">
        <v>0</v>
      </c>
      <c r="W33">
        <v>0</v>
      </c>
      <c r="X33">
        <v>0</v>
      </c>
      <c r="Y33">
        <v>0</v>
      </c>
      <c r="Z33">
        <v>0</v>
      </c>
      <c r="AA33">
        <v>0</v>
      </c>
      <c r="AB33">
        <v>1</v>
      </c>
      <c r="AC33">
        <v>0</v>
      </c>
      <c r="AD33">
        <v>0</v>
      </c>
      <c r="AE33">
        <v>0</v>
      </c>
      <c r="AF33">
        <v>0</v>
      </c>
      <c r="AG33">
        <v>0</v>
      </c>
      <c r="AH33">
        <v>0</v>
      </c>
      <c r="AI33">
        <v>0</v>
      </c>
      <c r="AJ33">
        <v>0</v>
      </c>
      <c r="AK33">
        <v>0</v>
      </c>
      <c r="AL33">
        <v>0</v>
      </c>
      <c r="AM33">
        <v>0</v>
      </c>
      <c r="AN33" t="s">
        <v>49</v>
      </c>
      <c r="AO33">
        <v>0</v>
      </c>
      <c r="AP33">
        <v>1</v>
      </c>
      <c r="AQ33">
        <v>0</v>
      </c>
      <c r="AR33">
        <v>0</v>
      </c>
      <c r="AS33">
        <v>1</v>
      </c>
      <c r="AT33">
        <v>0</v>
      </c>
    </row>
    <row r="34" spans="1:46" x14ac:dyDescent="0.2">
      <c r="A34" t="s">
        <v>94</v>
      </c>
      <c r="B34" s="2">
        <f t="shared" si="0"/>
        <v>45839</v>
      </c>
      <c r="C34" t="s">
        <v>45</v>
      </c>
      <c r="D34" s="1">
        <v>1.7384259259259259E-2</v>
      </c>
      <c r="E34">
        <v>8</v>
      </c>
      <c r="F34" t="s">
        <v>95</v>
      </c>
      <c r="G34" t="s">
        <v>47</v>
      </c>
      <c r="H34">
        <f>VLOOKUP(G34, cohort!A$2:B$21, 2, FALSE)</f>
        <v>1</v>
      </c>
      <c r="I34" t="s">
        <v>50</v>
      </c>
      <c r="J34">
        <v>0.66666666666666596</v>
      </c>
      <c r="K34">
        <v>1</v>
      </c>
      <c r="L34">
        <v>0.5</v>
      </c>
      <c r="M34">
        <v>0.66666666666666596</v>
      </c>
      <c r="N34">
        <v>0.45454545454545398</v>
      </c>
      <c r="O34">
        <v>0</v>
      </c>
      <c r="P34">
        <v>0</v>
      </c>
      <c r="Q34">
        <v>0</v>
      </c>
      <c r="R34">
        <v>0</v>
      </c>
      <c r="S34">
        <v>0</v>
      </c>
      <c r="T34">
        <v>0</v>
      </c>
      <c r="U34">
        <v>0</v>
      </c>
      <c r="V34">
        <v>1</v>
      </c>
      <c r="W34">
        <v>0</v>
      </c>
      <c r="X34">
        <v>0</v>
      </c>
      <c r="Y34">
        <v>0</v>
      </c>
      <c r="Z34">
        <v>0</v>
      </c>
      <c r="AA34">
        <v>1</v>
      </c>
      <c r="AB34">
        <v>0</v>
      </c>
      <c r="AC34">
        <v>0</v>
      </c>
      <c r="AD34">
        <v>0</v>
      </c>
      <c r="AE34">
        <v>0</v>
      </c>
      <c r="AF34">
        <v>0</v>
      </c>
      <c r="AG34">
        <v>0</v>
      </c>
      <c r="AH34">
        <v>0</v>
      </c>
      <c r="AI34">
        <v>0</v>
      </c>
      <c r="AJ34">
        <v>0</v>
      </c>
      <c r="AK34">
        <v>0</v>
      </c>
      <c r="AL34">
        <v>1</v>
      </c>
      <c r="AM34">
        <v>0</v>
      </c>
      <c r="AN34" t="s">
        <v>49</v>
      </c>
      <c r="AO34">
        <v>0</v>
      </c>
      <c r="AP34">
        <v>1</v>
      </c>
      <c r="AQ34">
        <v>2</v>
      </c>
      <c r="AR34">
        <v>0</v>
      </c>
      <c r="AS34">
        <v>0</v>
      </c>
      <c r="AT34">
        <v>1</v>
      </c>
    </row>
    <row r="35" spans="1:46" x14ac:dyDescent="0.2">
      <c r="A35" t="s">
        <v>96</v>
      </c>
      <c r="B35" s="2">
        <f t="shared" si="0"/>
        <v>45870</v>
      </c>
      <c r="C35" t="s">
        <v>61</v>
      </c>
      <c r="D35" s="1">
        <v>1.306712962962963E-2</v>
      </c>
      <c r="E35">
        <v>6</v>
      </c>
      <c r="F35" t="s">
        <v>67</v>
      </c>
      <c r="G35" t="s">
        <v>62</v>
      </c>
      <c r="H35">
        <f>VLOOKUP(G35, cohort!A$2:B$21, 2, FALSE)</f>
        <v>1</v>
      </c>
      <c r="I35" t="s">
        <v>48</v>
      </c>
      <c r="J35">
        <v>0.55555555555555503</v>
      </c>
      <c r="K35">
        <v>1</v>
      </c>
      <c r="L35">
        <v>0.5</v>
      </c>
      <c r="M35">
        <v>0.53333333333333299</v>
      </c>
      <c r="N35">
        <v>0.18181818181818099</v>
      </c>
      <c r="O35">
        <v>0</v>
      </c>
      <c r="P35">
        <v>0</v>
      </c>
      <c r="Q35">
        <v>0</v>
      </c>
      <c r="R35">
        <v>0</v>
      </c>
      <c r="S35">
        <v>0</v>
      </c>
      <c r="T35">
        <v>0</v>
      </c>
      <c r="U35">
        <v>0</v>
      </c>
      <c r="V35">
        <v>0</v>
      </c>
      <c r="W35">
        <v>1</v>
      </c>
      <c r="X35">
        <v>0</v>
      </c>
      <c r="Y35">
        <v>0</v>
      </c>
      <c r="Z35">
        <v>0</v>
      </c>
      <c r="AA35">
        <v>0</v>
      </c>
      <c r="AB35">
        <v>0</v>
      </c>
      <c r="AC35">
        <v>0</v>
      </c>
      <c r="AD35">
        <v>0</v>
      </c>
      <c r="AE35">
        <v>0</v>
      </c>
      <c r="AF35">
        <v>0</v>
      </c>
      <c r="AG35">
        <v>0</v>
      </c>
      <c r="AH35">
        <v>1</v>
      </c>
      <c r="AI35">
        <v>1</v>
      </c>
      <c r="AJ35">
        <v>1</v>
      </c>
      <c r="AK35">
        <v>0</v>
      </c>
      <c r="AL35">
        <v>0</v>
      </c>
      <c r="AM35">
        <v>0</v>
      </c>
      <c r="AN35" t="s">
        <v>49</v>
      </c>
      <c r="AO35">
        <v>0</v>
      </c>
      <c r="AP35">
        <v>2</v>
      </c>
      <c r="AQ35">
        <v>0</v>
      </c>
      <c r="AR35">
        <v>2</v>
      </c>
      <c r="AS35">
        <v>0</v>
      </c>
      <c r="AT35">
        <v>0</v>
      </c>
    </row>
    <row r="36" spans="1:46" x14ac:dyDescent="0.2">
      <c r="A36" t="s">
        <v>97</v>
      </c>
      <c r="B36" s="2">
        <f t="shared" si="0"/>
        <v>45870</v>
      </c>
      <c r="C36" t="s">
        <v>61</v>
      </c>
      <c r="D36" s="1">
        <v>9.7916666666666673E-3</v>
      </c>
      <c r="E36">
        <v>7</v>
      </c>
      <c r="F36" t="s">
        <v>70</v>
      </c>
      <c r="G36" t="s">
        <v>62</v>
      </c>
      <c r="H36">
        <f>VLOOKUP(G36, cohort!A$2:B$21, 2, FALSE)</f>
        <v>1</v>
      </c>
      <c r="I36" t="s">
        <v>48</v>
      </c>
      <c r="J36">
        <v>0.44444444444444398</v>
      </c>
      <c r="K36">
        <v>1</v>
      </c>
      <c r="L36">
        <v>0.5</v>
      </c>
      <c r="M36">
        <v>0.33333333333333298</v>
      </c>
      <c r="N36">
        <v>9.0909090909090898E-2</v>
      </c>
      <c r="O36">
        <v>0</v>
      </c>
      <c r="P36">
        <v>0</v>
      </c>
      <c r="Q36">
        <v>0</v>
      </c>
      <c r="R36">
        <v>0</v>
      </c>
      <c r="S36">
        <v>0</v>
      </c>
      <c r="T36">
        <v>0</v>
      </c>
      <c r="U36">
        <v>1</v>
      </c>
      <c r="V36">
        <v>0</v>
      </c>
      <c r="W36">
        <v>1</v>
      </c>
      <c r="X36">
        <v>0</v>
      </c>
      <c r="Y36">
        <v>0</v>
      </c>
      <c r="Z36">
        <v>0</v>
      </c>
      <c r="AA36">
        <v>0</v>
      </c>
      <c r="AB36">
        <v>0</v>
      </c>
      <c r="AC36">
        <v>0</v>
      </c>
      <c r="AD36">
        <v>0</v>
      </c>
      <c r="AE36">
        <v>0</v>
      </c>
      <c r="AF36">
        <v>0</v>
      </c>
      <c r="AG36">
        <v>0</v>
      </c>
      <c r="AH36">
        <v>0</v>
      </c>
      <c r="AI36">
        <v>0</v>
      </c>
      <c r="AJ36">
        <v>1</v>
      </c>
      <c r="AK36">
        <v>0</v>
      </c>
      <c r="AL36">
        <v>0</v>
      </c>
      <c r="AM36">
        <v>0</v>
      </c>
      <c r="AN36" t="s">
        <v>49</v>
      </c>
      <c r="AO36">
        <v>0</v>
      </c>
      <c r="AP36">
        <v>2</v>
      </c>
      <c r="AQ36">
        <v>0</v>
      </c>
      <c r="AR36">
        <v>1</v>
      </c>
      <c r="AS36">
        <v>0</v>
      </c>
      <c r="AT36">
        <v>0</v>
      </c>
    </row>
    <row r="37" spans="1:46" x14ac:dyDescent="0.2">
      <c r="A37" t="s">
        <v>98</v>
      </c>
      <c r="B37" s="2">
        <f t="shared" si="0"/>
        <v>45870</v>
      </c>
      <c r="C37" t="s">
        <v>92</v>
      </c>
      <c r="D37" s="1">
        <v>1.7384259259259259E-2</v>
      </c>
      <c r="E37">
        <v>8</v>
      </c>
      <c r="F37" t="s">
        <v>95</v>
      </c>
      <c r="G37" t="s">
        <v>59</v>
      </c>
      <c r="H37">
        <f>VLOOKUP(G37, cohort!A$2:B$21, 2, FALSE)</f>
        <v>1</v>
      </c>
      <c r="I37" t="s">
        <v>50</v>
      </c>
      <c r="J37">
        <v>0.55555555555555503</v>
      </c>
      <c r="K37">
        <v>1</v>
      </c>
      <c r="L37">
        <v>0.33333333333333298</v>
      </c>
      <c r="M37">
        <v>0.266666666666666</v>
      </c>
      <c r="N37">
        <v>0.18181818181818099</v>
      </c>
      <c r="O37">
        <v>0</v>
      </c>
      <c r="P37">
        <v>0</v>
      </c>
      <c r="Q37">
        <v>0</v>
      </c>
      <c r="R37">
        <v>0</v>
      </c>
      <c r="S37">
        <v>0</v>
      </c>
      <c r="T37">
        <v>0</v>
      </c>
      <c r="U37">
        <v>0</v>
      </c>
      <c r="V37">
        <v>1</v>
      </c>
      <c r="W37">
        <v>0</v>
      </c>
      <c r="X37">
        <v>0</v>
      </c>
      <c r="Y37">
        <v>0</v>
      </c>
      <c r="Z37">
        <v>0</v>
      </c>
      <c r="AA37">
        <v>1</v>
      </c>
      <c r="AB37">
        <v>0</v>
      </c>
      <c r="AC37">
        <v>0</v>
      </c>
      <c r="AD37">
        <v>0</v>
      </c>
      <c r="AE37">
        <v>0</v>
      </c>
      <c r="AF37">
        <v>0</v>
      </c>
      <c r="AG37">
        <v>0</v>
      </c>
      <c r="AH37">
        <v>0</v>
      </c>
      <c r="AI37">
        <v>0</v>
      </c>
      <c r="AJ37">
        <v>0</v>
      </c>
      <c r="AK37">
        <v>0</v>
      </c>
      <c r="AL37">
        <v>1</v>
      </c>
      <c r="AM37">
        <v>0</v>
      </c>
      <c r="AN37" t="s">
        <v>49</v>
      </c>
      <c r="AO37">
        <v>0</v>
      </c>
      <c r="AP37">
        <v>1</v>
      </c>
      <c r="AQ37">
        <v>2</v>
      </c>
      <c r="AR37">
        <v>0</v>
      </c>
      <c r="AS37">
        <v>0</v>
      </c>
      <c r="AT37">
        <v>1</v>
      </c>
    </row>
    <row r="38" spans="1:46" x14ac:dyDescent="0.2">
      <c r="A38" t="s">
        <v>99</v>
      </c>
      <c r="B38" s="2">
        <f t="shared" si="0"/>
        <v>45870</v>
      </c>
      <c r="C38" t="s">
        <v>45</v>
      </c>
      <c r="D38" s="1">
        <v>1.4363425925925925E-2</v>
      </c>
      <c r="E38">
        <v>18</v>
      </c>
      <c r="F38" t="s">
        <v>100</v>
      </c>
      <c r="G38" t="s">
        <v>47</v>
      </c>
      <c r="H38">
        <f>VLOOKUP(G38, cohort!A$2:B$21, 2, FALSE)</f>
        <v>1</v>
      </c>
      <c r="I38" t="s">
        <v>48</v>
      </c>
      <c r="J38">
        <v>0.66666666666666596</v>
      </c>
      <c r="K38">
        <v>1</v>
      </c>
      <c r="L38">
        <v>0.66666666666666596</v>
      </c>
      <c r="M38">
        <v>0.6</v>
      </c>
      <c r="N38">
        <v>0.45454545454545398</v>
      </c>
      <c r="O38">
        <v>0</v>
      </c>
      <c r="P38">
        <v>0</v>
      </c>
      <c r="Q38">
        <v>0</v>
      </c>
      <c r="R38">
        <v>0</v>
      </c>
      <c r="S38">
        <v>1</v>
      </c>
      <c r="T38">
        <v>0</v>
      </c>
      <c r="U38">
        <v>1</v>
      </c>
      <c r="V38">
        <v>1</v>
      </c>
      <c r="W38">
        <v>0</v>
      </c>
      <c r="X38">
        <v>0</v>
      </c>
      <c r="Y38">
        <v>0</v>
      </c>
      <c r="Z38">
        <v>1</v>
      </c>
      <c r="AA38">
        <v>0</v>
      </c>
      <c r="AB38">
        <v>0</v>
      </c>
      <c r="AC38">
        <v>0</v>
      </c>
      <c r="AD38">
        <v>0</v>
      </c>
      <c r="AE38">
        <v>0</v>
      </c>
      <c r="AF38">
        <v>0</v>
      </c>
      <c r="AG38">
        <v>0</v>
      </c>
      <c r="AH38">
        <v>0</v>
      </c>
      <c r="AI38">
        <v>0</v>
      </c>
      <c r="AJ38">
        <v>0</v>
      </c>
      <c r="AK38">
        <v>0</v>
      </c>
      <c r="AL38">
        <v>1</v>
      </c>
      <c r="AM38">
        <v>0</v>
      </c>
      <c r="AN38" t="s">
        <v>49</v>
      </c>
      <c r="AO38">
        <v>0</v>
      </c>
      <c r="AP38">
        <v>3</v>
      </c>
      <c r="AQ38">
        <v>1</v>
      </c>
      <c r="AR38">
        <v>0</v>
      </c>
      <c r="AS38">
        <v>1</v>
      </c>
      <c r="AT38">
        <v>1</v>
      </c>
    </row>
    <row r="39" spans="1:46" x14ac:dyDescent="0.2">
      <c r="A39" t="s">
        <v>101</v>
      </c>
      <c r="B39" s="2">
        <f t="shared" si="0"/>
        <v>45870</v>
      </c>
      <c r="C39" t="s">
        <v>61</v>
      </c>
      <c r="D39" s="1">
        <v>1.3587962962962963E-2</v>
      </c>
      <c r="E39">
        <v>14</v>
      </c>
      <c r="F39" t="s">
        <v>77</v>
      </c>
      <c r="G39" t="s">
        <v>62</v>
      </c>
      <c r="H39">
        <f>VLOOKUP(G39, cohort!A$2:B$21, 2, FALSE)</f>
        <v>1</v>
      </c>
      <c r="I39" t="s">
        <v>48</v>
      </c>
      <c r="J39">
        <v>0.33333333333333298</v>
      </c>
      <c r="K39">
        <v>1</v>
      </c>
      <c r="L39">
        <v>0.66666666666666596</v>
      </c>
      <c r="M39">
        <v>0.2</v>
      </c>
      <c r="N39">
        <v>0.18181818181818099</v>
      </c>
      <c r="O39">
        <v>0</v>
      </c>
      <c r="P39">
        <v>0</v>
      </c>
      <c r="Q39">
        <v>0</v>
      </c>
      <c r="R39">
        <v>0</v>
      </c>
      <c r="S39">
        <v>0</v>
      </c>
      <c r="T39">
        <v>0</v>
      </c>
      <c r="U39">
        <v>0</v>
      </c>
      <c r="V39">
        <v>0</v>
      </c>
      <c r="W39">
        <v>1</v>
      </c>
      <c r="X39">
        <v>1</v>
      </c>
      <c r="Y39">
        <v>0</v>
      </c>
      <c r="Z39">
        <v>0</v>
      </c>
      <c r="AA39">
        <v>0</v>
      </c>
      <c r="AB39">
        <v>0</v>
      </c>
      <c r="AC39">
        <v>1</v>
      </c>
      <c r="AD39">
        <v>0</v>
      </c>
      <c r="AE39">
        <v>0</v>
      </c>
      <c r="AF39">
        <v>0</v>
      </c>
      <c r="AG39">
        <v>0</v>
      </c>
      <c r="AH39">
        <v>0</v>
      </c>
      <c r="AI39">
        <v>0</v>
      </c>
      <c r="AJ39">
        <v>0</v>
      </c>
      <c r="AK39">
        <v>0</v>
      </c>
      <c r="AL39">
        <v>0</v>
      </c>
      <c r="AM39">
        <v>0</v>
      </c>
      <c r="AN39" t="s">
        <v>49</v>
      </c>
      <c r="AO39">
        <v>1</v>
      </c>
      <c r="AP39">
        <v>2</v>
      </c>
      <c r="AQ39">
        <v>1</v>
      </c>
      <c r="AR39">
        <v>1</v>
      </c>
      <c r="AS39">
        <v>2</v>
      </c>
      <c r="AT39">
        <v>1</v>
      </c>
    </row>
    <row r="40" spans="1:46" x14ac:dyDescent="0.2">
      <c r="A40" t="s">
        <v>102</v>
      </c>
      <c r="B40" s="2">
        <f t="shared" si="0"/>
        <v>45870</v>
      </c>
      <c r="C40" t="s">
        <v>52</v>
      </c>
      <c r="D40" s="1">
        <v>1.1550925925925926E-2</v>
      </c>
      <c r="E40">
        <v>4</v>
      </c>
      <c r="F40" t="s">
        <v>87</v>
      </c>
      <c r="G40" t="s">
        <v>65</v>
      </c>
      <c r="H40">
        <f>VLOOKUP(G40, cohort!A$2:B$21, 2, FALSE)</f>
        <v>1</v>
      </c>
      <c r="I40" t="s">
        <v>48</v>
      </c>
      <c r="J40">
        <v>0.77777777777777701</v>
      </c>
      <c r="K40">
        <v>1</v>
      </c>
      <c r="L40">
        <v>0.83333333333333304</v>
      </c>
      <c r="M40">
        <v>0.4</v>
      </c>
      <c r="N40">
        <v>0.27272727272727199</v>
      </c>
      <c r="O40">
        <v>1</v>
      </c>
      <c r="P40">
        <v>0</v>
      </c>
      <c r="Q40">
        <v>0</v>
      </c>
      <c r="R40">
        <v>0</v>
      </c>
      <c r="S40">
        <v>0</v>
      </c>
      <c r="T40">
        <v>0</v>
      </c>
      <c r="U40">
        <v>0</v>
      </c>
      <c r="V40">
        <v>0</v>
      </c>
      <c r="W40">
        <v>0</v>
      </c>
      <c r="X40">
        <v>0</v>
      </c>
      <c r="Y40">
        <v>0</v>
      </c>
      <c r="Z40">
        <v>0</v>
      </c>
      <c r="AA40">
        <v>0</v>
      </c>
      <c r="AB40">
        <v>0</v>
      </c>
      <c r="AC40">
        <v>1</v>
      </c>
      <c r="AD40">
        <v>0</v>
      </c>
      <c r="AE40">
        <v>1</v>
      </c>
      <c r="AF40">
        <v>0</v>
      </c>
      <c r="AG40">
        <v>1</v>
      </c>
      <c r="AH40">
        <v>0</v>
      </c>
      <c r="AI40">
        <v>0</v>
      </c>
      <c r="AJ40">
        <v>0</v>
      </c>
      <c r="AK40">
        <v>0</v>
      </c>
      <c r="AL40">
        <v>0</v>
      </c>
      <c r="AM40">
        <v>0</v>
      </c>
      <c r="AN40" t="s">
        <v>49</v>
      </c>
      <c r="AO40">
        <v>1</v>
      </c>
      <c r="AP40">
        <v>4</v>
      </c>
      <c r="AQ40">
        <v>1</v>
      </c>
      <c r="AR40">
        <v>1</v>
      </c>
      <c r="AS40">
        <v>1</v>
      </c>
      <c r="AT40">
        <v>1</v>
      </c>
    </row>
    <row r="41" spans="1:46" x14ac:dyDescent="0.2">
      <c r="A41" t="s">
        <v>103</v>
      </c>
      <c r="B41" s="2">
        <f t="shared" si="0"/>
        <v>45870</v>
      </c>
      <c r="C41" t="s">
        <v>61</v>
      </c>
      <c r="D41" s="1">
        <v>1.6180555555555556E-2</v>
      </c>
      <c r="E41">
        <v>8</v>
      </c>
      <c r="F41" t="s">
        <v>95</v>
      </c>
      <c r="G41" t="s">
        <v>53</v>
      </c>
      <c r="H41">
        <f>VLOOKUP(G41, cohort!A$2:B$21, 2, FALSE)</f>
        <v>1</v>
      </c>
      <c r="I41" t="s">
        <v>48</v>
      </c>
      <c r="J41">
        <v>0.55555555555555503</v>
      </c>
      <c r="K41">
        <v>1</v>
      </c>
      <c r="L41">
        <v>0.83333333333333304</v>
      </c>
      <c r="M41">
        <v>0.6</v>
      </c>
      <c r="N41">
        <v>0.45454545454545398</v>
      </c>
      <c r="O41">
        <v>0</v>
      </c>
      <c r="P41">
        <v>0</v>
      </c>
      <c r="Q41">
        <v>0</v>
      </c>
      <c r="R41">
        <v>0</v>
      </c>
      <c r="S41">
        <v>0</v>
      </c>
      <c r="T41">
        <v>0</v>
      </c>
      <c r="U41">
        <v>0</v>
      </c>
      <c r="V41">
        <v>1</v>
      </c>
      <c r="W41">
        <v>0</v>
      </c>
      <c r="X41">
        <v>0</v>
      </c>
      <c r="Y41">
        <v>0</v>
      </c>
      <c r="Z41">
        <v>0</v>
      </c>
      <c r="AA41">
        <v>1</v>
      </c>
      <c r="AB41">
        <v>0</v>
      </c>
      <c r="AC41">
        <v>0</v>
      </c>
      <c r="AD41">
        <v>0</v>
      </c>
      <c r="AE41">
        <v>0</v>
      </c>
      <c r="AF41">
        <v>0</v>
      </c>
      <c r="AG41">
        <v>0</v>
      </c>
      <c r="AH41">
        <v>0</v>
      </c>
      <c r="AI41">
        <v>0</v>
      </c>
      <c r="AJ41">
        <v>0</v>
      </c>
      <c r="AK41">
        <v>0</v>
      </c>
      <c r="AL41">
        <v>1</v>
      </c>
      <c r="AM41">
        <v>0</v>
      </c>
      <c r="AN41" t="s">
        <v>49</v>
      </c>
      <c r="AO41">
        <v>0</v>
      </c>
      <c r="AP41">
        <v>1</v>
      </c>
      <c r="AQ41">
        <v>2</v>
      </c>
      <c r="AR41">
        <v>0</v>
      </c>
      <c r="AS41">
        <v>0</v>
      </c>
      <c r="AT41">
        <v>1</v>
      </c>
    </row>
    <row r="42" spans="1:46" x14ac:dyDescent="0.2">
      <c r="A42" t="s">
        <v>104</v>
      </c>
      <c r="B42" s="2">
        <f t="shared" si="0"/>
        <v>45901</v>
      </c>
      <c r="C42" t="s">
        <v>61</v>
      </c>
      <c r="D42" s="1">
        <v>1.3912037037037037E-2</v>
      </c>
      <c r="E42">
        <v>16</v>
      </c>
      <c r="F42" t="s">
        <v>73</v>
      </c>
      <c r="G42" t="s">
        <v>62</v>
      </c>
      <c r="H42">
        <f>VLOOKUP(G42, cohort!A$2:B$21, 2, FALSE)</f>
        <v>1</v>
      </c>
      <c r="I42" t="s">
        <v>50</v>
      </c>
      <c r="J42">
        <v>0.55555555555555503</v>
      </c>
      <c r="K42">
        <v>1</v>
      </c>
      <c r="L42">
        <v>0.33333333333333298</v>
      </c>
      <c r="M42">
        <v>0.4</v>
      </c>
      <c r="N42">
        <v>0.18181818181818099</v>
      </c>
      <c r="O42">
        <v>0</v>
      </c>
      <c r="P42">
        <v>0</v>
      </c>
      <c r="Q42">
        <v>0</v>
      </c>
      <c r="R42">
        <v>1</v>
      </c>
      <c r="S42">
        <v>0</v>
      </c>
      <c r="T42">
        <v>0</v>
      </c>
      <c r="U42">
        <v>0</v>
      </c>
      <c r="V42">
        <v>0</v>
      </c>
      <c r="W42">
        <v>0</v>
      </c>
      <c r="X42">
        <v>0</v>
      </c>
      <c r="Y42">
        <v>0</v>
      </c>
      <c r="Z42">
        <v>0</v>
      </c>
      <c r="AA42">
        <v>0</v>
      </c>
      <c r="AB42">
        <v>1</v>
      </c>
      <c r="AC42">
        <v>0</v>
      </c>
      <c r="AD42">
        <v>0</v>
      </c>
      <c r="AE42">
        <v>0</v>
      </c>
      <c r="AF42">
        <v>0</v>
      </c>
      <c r="AG42">
        <v>0</v>
      </c>
      <c r="AH42">
        <v>0</v>
      </c>
      <c r="AI42">
        <v>0</v>
      </c>
      <c r="AJ42">
        <v>0</v>
      </c>
      <c r="AK42">
        <v>0</v>
      </c>
      <c r="AL42">
        <v>0</v>
      </c>
      <c r="AM42">
        <v>0</v>
      </c>
      <c r="AN42" t="s">
        <v>49</v>
      </c>
      <c r="AO42">
        <v>0</v>
      </c>
      <c r="AP42">
        <v>1</v>
      </c>
      <c r="AQ42">
        <v>0</v>
      </c>
      <c r="AR42">
        <v>0</v>
      </c>
      <c r="AS42">
        <v>1</v>
      </c>
      <c r="AT42">
        <v>0</v>
      </c>
    </row>
    <row r="43" spans="1:46" x14ac:dyDescent="0.2">
      <c r="A43" t="s">
        <v>105</v>
      </c>
      <c r="B43" s="2">
        <f t="shared" si="0"/>
        <v>45901</v>
      </c>
      <c r="C43" t="s">
        <v>52</v>
      </c>
      <c r="D43" s="1">
        <v>9.2476851851851852E-3</v>
      </c>
      <c r="E43">
        <v>29</v>
      </c>
      <c r="F43" t="s">
        <v>106</v>
      </c>
      <c r="G43" t="s">
        <v>107</v>
      </c>
      <c r="H43">
        <f>VLOOKUP(G43, cohort!A$2:B$21, 2, FALSE)</f>
        <v>2</v>
      </c>
      <c r="I43" t="s">
        <v>48</v>
      </c>
      <c r="J43">
        <v>0.44444444444444398</v>
      </c>
      <c r="K43">
        <v>1</v>
      </c>
      <c r="L43">
        <v>0.5</v>
      </c>
      <c r="M43">
        <v>0.4</v>
      </c>
      <c r="N43">
        <v>9.0909090909090898E-2</v>
      </c>
      <c r="O43">
        <v>0</v>
      </c>
      <c r="P43">
        <v>0</v>
      </c>
      <c r="Q43">
        <v>1</v>
      </c>
      <c r="R43">
        <v>0</v>
      </c>
      <c r="S43">
        <v>0</v>
      </c>
      <c r="T43">
        <v>0</v>
      </c>
      <c r="U43">
        <v>0</v>
      </c>
      <c r="V43">
        <v>0</v>
      </c>
      <c r="W43">
        <v>0</v>
      </c>
      <c r="X43">
        <v>0</v>
      </c>
      <c r="Y43">
        <v>0</v>
      </c>
      <c r="Z43">
        <v>0</v>
      </c>
      <c r="AA43">
        <v>0</v>
      </c>
      <c r="AB43">
        <v>0</v>
      </c>
      <c r="AC43">
        <v>0</v>
      </c>
      <c r="AD43">
        <v>0</v>
      </c>
      <c r="AE43">
        <v>0</v>
      </c>
      <c r="AF43">
        <v>0</v>
      </c>
      <c r="AG43">
        <v>0</v>
      </c>
      <c r="AH43">
        <v>0</v>
      </c>
      <c r="AI43">
        <v>0</v>
      </c>
      <c r="AJ43">
        <v>0</v>
      </c>
      <c r="AK43">
        <v>1</v>
      </c>
      <c r="AL43">
        <v>0</v>
      </c>
      <c r="AM43">
        <v>0</v>
      </c>
      <c r="AN43" t="s">
        <v>49</v>
      </c>
      <c r="AO43">
        <v>0</v>
      </c>
      <c r="AP43">
        <v>1</v>
      </c>
      <c r="AQ43">
        <v>2</v>
      </c>
      <c r="AR43">
        <v>0</v>
      </c>
      <c r="AS43">
        <v>0</v>
      </c>
      <c r="AT43">
        <v>0</v>
      </c>
    </row>
    <row r="44" spans="1:46" x14ac:dyDescent="0.2">
      <c r="A44" t="s">
        <v>108</v>
      </c>
      <c r="B44" s="2">
        <f t="shared" si="0"/>
        <v>45901</v>
      </c>
      <c r="C44" t="s">
        <v>61</v>
      </c>
      <c r="D44" s="1">
        <v>1.6087962962962964E-2</v>
      </c>
      <c r="E44">
        <v>18</v>
      </c>
      <c r="F44" t="s">
        <v>100</v>
      </c>
      <c r="G44" t="s">
        <v>53</v>
      </c>
      <c r="H44">
        <f>VLOOKUP(G44, cohort!A$2:B$21, 2, FALSE)</f>
        <v>1</v>
      </c>
      <c r="I44" t="s">
        <v>48</v>
      </c>
      <c r="J44">
        <v>0.55555555555555503</v>
      </c>
      <c r="K44">
        <v>1</v>
      </c>
      <c r="L44">
        <v>0.66666666666666596</v>
      </c>
      <c r="M44">
        <v>0.266666666666666</v>
      </c>
      <c r="N44">
        <v>0.27272727272727199</v>
      </c>
      <c r="O44">
        <v>0</v>
      </c>
      <c r="P44">
        <v>0</v>
      </c>
      <c r="Q44">
        <v>0</v>
      </c>
      <c r="R44">
        <v>0</v>
      </c>
      <c r="S44">
        <v>1</v>
      </c>
      <c r="T44">
        <v>0</v>
      </c>
      <c r="U44">
        <v>1</v>
      </c>
      <c r="V44">
        <v>1</v>
      </c>
      <c r="W44">
        <v>0</v>
      </c>
      <c r="X44">
        <v>0</v>
      </c>
      <c r="Y44">
        <v>0</v>
      </c>
      <c r="Z44">
        <v>1</v>
      </c>
      <c r="AA44">
        <v>0</v>
      </c>
      <c r="AB44">
        <v>0</v>
      </c>
      <c r="AC44">
        <v>0</v>
      </c>
      <c r="AD44">
        <v>0</v>
      </c>
      <c r="AE44">
        <v>0</v>
      </c>
      <c r="AF44">
        <v>0</v>
      </c>
      <c r="AG44">
        <v>0</v>
      </c>
      <c r="AH44">
        <v>0</v>
      </c>
      <c r="AI44">
        <v>0</v>
      </c>
      <c r="AJ44">
        <v>0</v>
      </c>
      <c r="AK44">
        <v>0</v>
      </c>
      <c r="AL44">
        <v>1</v>
      </c>
      <c r="AM44">
        <v>0</v>
      </c>
      <c r="AN44" t="s">
        <v>49</v>
      </c>
      <c r="AO44">
        <v>0</v>
      </c>
      <c r="AP44">
        <v>3</v>
      </c>
      <c r="AQ44">
        <v>1</v>
      </c>
      <c r="AR44">
        <v>0</v>
      </c>
      <c r="AS44">
        <v>1</v>
      </c>
      <c r="AT44">
        <v>1</v>
      </c>
    </row>
    <row r="45" spans="1:46" x14ac:dyDescent="0.2">
      <c r="A45" t="s">
        <v>109</v>
      </c>
      <c r="B45" s="2">
        <f t="shared" si="0"/>
        <v>45901</v>
      </c>
      <c r="C45" t="s">
        <v>45</v>
      </c>
      <c r="D45" s="1">
        <v>9.4675925925925934E-3</v>
      </c>
      <c r="E45">
        <v>29</v>
      </c>
      <c r="F45" t="s">
        <v>106</v>
      </c>
      <c r="G45" t="s">
        <v>110</v>
      </c>
      <c r="H45">
        <f>VLOOKUP(G45, cohort!A$2:B$21, 2, FALSE)</f>
        <v>2</v>
      </c>
      <c r="I45" t="s">
        <v>48</v>
      </c>
      <c r="J45">
        <v>0.33333333333333298</v>
      </c>
      <c r="K45">
        <v>1</v>
      </c>
      <c r="L45">
        <v>0.5</v>
      </c>
      <c r="M45">
        <v>0.133333333333333</v>
      </c>
      <c r="N45">
        <v>0</v>
      </c>
      <c r="O45">
        <v>0</v>
      </c>
      <c r="P45">
        <v>0</v>
      </c>
      <c r="Q45">
        <v>1</v>
      </c>
      <c r="R45">
        <v>0</v>
      </c>
      <c r="S45">
        <v>0</v>
      </c>
      <c r="T45">
        <v>0</v>
      </c>
      <c r="U45">
        <v>0</v>
      </c>
      <c r="V45">
        <v>0</v>
      </c>
      <c r="W45">
        <v>0</v>
      </c>
      <c r="X45">
        <v>0</v>
      </c>
      <c r="Y45">
        <v>0</v>
      </c>
      <c r="Z45">
        <v>0</v>
      </c>
      <c r="AA45">
        <v>0</v>
      </c>
      <c r="AB45">
        <v>0</v>
      </c>
      <c r="AC45">
        <v>0</v>
      </c>
      <c r="AD45">
        <v>0</v>
      </c>
      <c r="AE45">
        <v>0</v>
      </c>
      <c r="AF45">
        <v>0</v>
      </c>
      <c r="AG45">
        <v>0</v>
      </c>
      <c r="AH45">
        <v>0</v>
      </c>
      <c r="AI45">
        <v>0</v>
      </c>
      <c r="AJ45">
        <v>0</v>
      </c>
      <c r="AK45">
        <v>1</v>
      </c>
      <c r="AL45">
        <v>0</v>
      </c>
      <c r="AM45">
        <v>0</v>
      </c>
      <c r="AN45" t="s">
        <v>49</v>
      </c>
      <c r="AO45">
        <v>0</v>
      </c>
      <c r="AP45">
        <v>1</v>
      </c>
      <c r="AQ45">
        <v>2</v>
      </c>
      <c r="AR45">
        <v>0</v>
      </c>
      <c r="AS45">
        <v>0</v>
      </c>
      <c r="AT45">
        <v>0</v>
      </c>
    </row>
    <row r="46" spans="1:46" x14ac:dyDescent="0.2">
      <c r="A46" t="s">
        <v>109</v>
      </c>
      <c r="B46" s="2">
        <f t="shared" si="0"/>
        <v>45901</v>
      </c>
      <c r="C46" t="s">
        <v>45</v>
      </c>
      <c r="D46" s="1">
        <v>2.060185185185185E-2</v>
      </c>
      <c r="E46">
        <v>30</v>
      </c>
      <c r="F46" t="s">
        <v>111</v>
      </c>
      <c r="G46" t="s">
        <v>82</v>
      </c>
      <c r="H46" t="str">
        <f>VLOOKUP(G46, cohort!A$2:B$21, 2, FALSE)</f>
        <v>x</v>
      </c>
      <c r="I46" t="s">
        <v>48</v>
      </c>
      <c r="J46">
        <v>0.88888888888888795</v>
      </c>
      <c r="K46">
        <v>1</v>
      </c>
      <c r="L46">
        <v>0.83333333333333304</v>
      </c>
      <c r="M46">
        <v>0.8</v>
      </c>
      <c r="N46">
        <v>0.63636363636363602</v>
      </c>
      <c r="O46">
        <v>0</v>
      </c>
      <c r="P46">
        <v>1</v>
      </c>
      <c r="Q46">
        <v>0</v>
      </c>
      <c r="R46">
        <v>0</v>
      </c>
      <c r="S46">
        <v>0</v>
      </c>
      <c r="T46">
        <v>1</v>
      </c>
      <c r="U46">
        <v>0</v>
      </c>
      <c r="V46">
        <v>0</v>
      </c>
      <c r="W46">
        <v>0</v>
      </c>
      <c r="X46">
        <v>0</v>
      </c>
      <c r="Y46">
        <v>1</v>
      </c>
      <c r="Z46">
        <v>0</v>
      </c>
      <c r="AA46">
        <v>0</v>
      </c>
      <c r="AB46">
        <v>0</v>
      </c>
      <c r="AC46">
        <v>0</v>
      </c>
      <c r="AD46">
        <v>0</v>
      </c>
      <c r="AE46">
        <v>0</v>
      </c>
      <c r="AF46">
        <v>1</v>
      </c>
      <c r="AG46">
        <v>0</v>
      </c>
      <c r="AH46">
        <v>0</v>
      </c>
      <c r="AI46">
        <v>0</v>
      </c>
      <c r="AJ46">
        <v>0</v>
      </c>
      <c r="AK46">
        <v>0</v>
      </c>
      <c r="AL46">
        <v>0</v>
      </c>
      <c r="AM46">
        <v>0</v>
      </c>
      <c r="AN46" t="s">
        <v>49</v>
      </c>
      <c r="AO46">
        <v>1</v>
      </c>
      <c r="AP46">
        <v>2</v>
      </c>
      <c r="AQ46">
        <v>2</v>
      </c>
      <c r="AR46">
        <v>2</v>
      </c>
      <c r="AS46">
        <v>2</v>
      </c>
      <c r="AT46">
        <v>0</v>
      </c>
    </row>
    <row r="47" spans="1:46" x14ac:dyDescent="0.2">
      <c r="A47" t="s">
        <v>112</v>
      </c>
      <c r="B47" s="2">
        <f t="shared" si="0"/>
        <v>45901</v>
      </c>
      <c r="C47" t="s">
        <v>58</v>
      </c>
      <c r="D47" s="1">
        <v>6.9560185185185185E-3</v>
      </c>
      <c r="E47">
        <v>27</v>
      </c>
      <c r="F47" t="s">
        <v>113</v>
      </c>
      <c r="G47" t="s">
        <v>114</v>
      </c>
      <c r="H47">
        <f>VLOOKUP(G47, cohort!A$2:B$21, 2, FALSE)</f>
        <v>2</v>
      </c>
      <c r="I47" t="s">
        <v>50</v>
      </c>
      <c r="J47">
        <v>0.33333333333333298</v>
      </c>
      <c r="K47">
        <v>0</v>
      </c>
      <c r="L47">
        <v>0</v>
      </c>
      <c r="M47">
        <v>0.266666666666666</v>
      </c>
      <c r="N47">
        <v>9.0909090909090898E-2</v>
      </c>
      <c r="O47">
        <v>0</v>
      </c>
      <c r="P47">
        <v>0</v>
      </c>
      <c r="Q47">
        <v>1</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t="s">
        <v>49</v>
      </c>
      <c r="AO47">
        <v>0</v>
      </c>
      <c r="AP47">
        <v>0</v>
      </c>
      <c r="AQ47">
        <v>1</v>
      </c>
      <c r="AR47">
        <v>0</v>
      </c>
      <c r="AS47">
        <v>0</v>
      </c>
      <c r="AT47">
        <v>0</v>
      </c>
    </row>
    <row r="48" spans="1:46" x14ac:dyDescent="0.2">
      <c r="A48" t="s">
        <v>115</v>
      </c>
      <c r="B48" s="2">
        <f t="shared" si="0"/>
        <v>45901</v>
      </c>
      <c r="C48" t="s">
        <v>52</v>
      </c>
      <c r="D48" s="1">
        <v>1.6782407407407409E-2</v>
      </c>
      <c r="E48">
        <v>18</v>
      </c>
      <c r="F48" t="s">
        <v>100</v>
      </c>
      <c r="G48" t="s">
        <v>65</v>
      </c>
      <c r="H48">
        <f>VLOOKUP(G48, cohort!A$2:B$21, 2, FALSE)</f>
        <v>1</v>
      </c>
      <c r="I48" t="s">
        <v>48</v>
      </c>
      <c r="J48">
        <v>0.66666666666666596</v>
      </c>
      <c r="K48">
        <v>1</v>
      </c>
      <c r="L48">
        <v>0.66666666666666596</v>
      </c>
      <c r="M48">
        <v>0.4</v>
      </c>
      <c r="N48">
        <v>0.36363636363636298</v>
      </c>
      <c r="O48">
        <v>0</v>
      </c>
      <c r="P48">
        <v>0</v>
      </c>
      <c r="Q48">
        <v>0</v>
      </c>
      <c r="R48">
        <v>0</v>
      </c>
      <c r="S48">
        <v>1</v>
      </c>
      <c r="T48">
        <v>0</v>
      </c>
      <c r="U48">
        <v>1</v>
      </c>
      <c r="V48">
        <v>1</v>
      </c>
      <c r="W48">
        <v>0</v>
      </c>
      <c r="X48">
        <v>0</v>
      </c>
      <c r="Y48">
        <v>0</v>
      </c>
      <c r="Z48">
        <v>1</v>
      </c>
      <c r="AA48">
        <v>0</v>
      </c>
      <c r="AB48">
        <v>0</v>
      </c>
      <c r="AC48">
        <v>0</v>
      </c>
      <c r="AD48">
        <v>0</v>
      </c>
      <c r="AE48">
        <v>0</v>
      </c>
      <c r="AF48">
        <v>0</v>
      </c>
      <c r="AG48">
        <v>0</v>
      </c>
      <c r="AH48">
        <v>0</v>
      </c>
      <c r="AI48">
        <v>0</v>
      </c>
      <c r="AJ48">
        <v>0</v>
      </c>
      <c r="AK48">
        <v>0</v>
      </c>
      <c r="AL48">
        <v>1</v>
      </c>
      <c r="AM48">
        <v>0</v>
      </c>
      <c r="AN48" t="s">
        <v>49</v>
      </c>
      <c r="AO48">
        <v>0</v>
      </c>
      <c r="AP48">
        <v>3</v>
      </c>
      <c r="AQ48">
        <v>1</v>
      </c>
      <c r="AR48">
        <v>0</v>
      </c>
      <c r="AS48">
        <v>1</v>
      </c>
      <c r="AT48">
        <v>1</v>
      </c>
    </row>
    <row r="49" spans="1:46" x14ac:dyDescent="0.2">
      <c r="A49" t="s">
        <v>116</v>
      </c>
      <c r="B49" s="2">
        <f t="shared" si="0"/>
        <v>45901</v>
      </c>
      <c r="C49" t="s">
        <v>61</v>
      </c>
      <c r="D49" s="1">
        <v>1.3900462962962963E-2</v>
      </c>
      <c r="E49">
        <v>6</v>
      </c>
      <c r="F49" t="s">
        <v>67</v>
      </c>
      <c r="G49" t="s">
        <v>107</v>
      </c>
      <c r="H49">
        <f>VLOOKUP(G49, cohort!A$2:B$21, 2, FALSE)</f>
        <v>2</v>
      </c>
      <c r="I49" t="s">
        <v>50</v>
      </c>
      <c r="J49">
        <v>0.88888888888888795</v>
      </c>
      <c r="K49">
        <v>1</v>
      </c>
      <c r="L49">
        <v>0.83333333333333304</v>
      </c>
      <c r="M49">
        <v>0.86666666666666603</v>
      </c>
      <c r="N49">
        <v>0.72727272727272696</v>
      </c>
      <c r="O49">
        <v>0</v>
      </c>
      <c r="P49">
        <v>0</v>
      </c>
      <c r="Q49">
        <v>0</v>
      </c>
      <c r="R49">
        <v>0</v>
      </c>
      <c r="S49">
        <v>0</v>
      </c>
      <c r="T49">
        <v>0</v>
      </c>
      <c r="U49">
        <v>0</v>
      </c>
      <c r="V49">
        <v>0</v>
      </c>
      <c r="W49">
        <v>1</v>
      </c>
      <c r="X49">
        <v>0</v>
      </c>
      <c r="Y49">
        <v>0</v>
      </c>
      <c r="Z49">
        <v>0</v>
      </c>
      <c r="AA49">
        <v>0</v>
      </c>
      <c r="AB49">
        <v>0</v>
      </c>
      <c r="AC49">
        <v>0</v>
      </c>
      <c r="AD49">
        <v>0</v>
      </c>
      <c r="AE49">
        <v>0</v>
      </c>
      <c r="AF49">
        <v>0</v>
      </c>
      <c r="AG49">
        <v>0</v>
      </c>
      <c r="AH49">
        <v>1</v>
      </c>
      <c r="AI49">
        <v>1</v>
      </c>
      <c r="AJ49">
        <v>1</v>
      </c>
      <c r="AK49">
        <v>0</v>
      </c>
      <c r="AL49">
        <v>0</v>
      </c>
      <c r="AM49">
        <v>0</v>
      </c>
      <c r="AN49" t="s">
        <v>49</v>
      </c>
      <c r="AO49">
        <v>0</v>
      </c>
      <c r="AP49">
        <v>2</v>
      </c>
      <c r="AQ49">
        <v>0</v>
      </c>
      <c r="AR49">
        <v>2</v>
      </c>
      <c r="AS49">
        <v>0</v>
      </c>
      <c r="AT49">
        <v>0</v>
      </c>
    </row>
    <row r="50" spans="1:46" x14ac:dyDescent="0.2">
      <c r="A50" t="s">
        <v>117</v>
      </c>
      <c r="B50" s="2">
        <f t="shared" si="0"/>
        <v>45931</v>
      </c>
      <c r="C50" t="s">
        <v>45</v>
      </c>
      <c r="D50" s="1">
        <v>1.2291666666666666E-2</v>
      </c>
      <c r="E50">
        <v>29</v>
      </c>
      <c r="F50" t="s">
        <v>106</v>
      </c>
      <c r="G50" t="s">
        <v>118</v>
      </c>
      <c r="H50" t="str">
        <f>VLOOKUP(G50, cohort!A$2:B$21, 2, FALSE)</f>
        <v>x</v>
      </c>
      <c r="I50" t="s">
        <v>48</v>
      </c>
      <c r="J50">
        <v>0.22222222222222199</v>
      </c>
      <c r="K50">
        <v>1</v>
      </c>
      <c r="L50">
        <v>0.5</v>
      </c>
      <c r="M50">
        <v>0.266666666666666</v>
      </c>
      <c r="N50">
        <v>0</v>
      </c>
      <c r="O50">
        <v>0</v>
      </c>
      <c r="P50">
        <v>0</v>
      </c>
      <c r="Q50">
        <v>1</v>
      </c>
      <c r="R50">
        <v>0</v>
      </c>
      <c r="S50">
        <v>0</v>
      </c>
      <c r="T50">
        <v>0</v>
      </c>
      <c r="U50">
        <v>0</v>
      </c>
      <c r="V50">
        <v>0</v>
      </c>
      <c r="W50">
        <v>0</v>
      </c>
      <c r="X50">
        <v>0</v>
      </c>
      <c r="Y50">
        <v>0</v>
      </c>
      <c r="Z50">
        <v>0</v>
      </c>
      <c r="AA50">
        <v>0</v>
      </c>
      <c r="AB50">
        <v>0</v>
      </c>
      <c r="AC50">
        <v>0</v>
      </c>
      <c r="AD50">
        <v>0</v>
      </c>
      <c r="AE50">
        <v>0</v>
      </c>
      <c r="AF50">
        <v>0</v>
      </c>
      <c r="AG50">
        <v>0</v>
      </c>
      <c r="AH50">
        <v>0</v>
      </c>
      <c r="AI50">
        <v>0</v>
      </c>
      <c r="AJ50">
        <v>0</v>
      </c>
      <c r="AK50">
        <v>1</v>
      </c>
      <c r="AL50">
        <v>0</v>
      </c>
      <c r="AM50">
        <v>0</v>
      </c>
      <c r="AN50" t="s">
        <v>49</v>
      </c>
      <c r="AO50">
        <v>0</v>
      </c>
      <c r="AP50">
        <v>1</v>
      </c>
      <c r="AQ50">
        <v>2</v>
      </c>
      <c r="AR50">
        <v>0</v>
      </c>
      <c r="AS50">
        <v>0</v>
      </c>
      <c r="AT50">
        <v>0</v>
      </c>
    </row>
    <row r="51" spans="1:46" x14ac:dyDescent="0.2">
      <c r="A51" t="s">
        <v>117</v>
      </c>
      <c r="B51" s="2">
        <f t="shared" si="0"/>
        <v>45931</v>
      </c>
      <c r="C51" t="s">
        <v>45</v>
      </c>
      <c r="D51" s="1">
        <v>1.292824074074074E-2</v>
      </c>
      <c r="E51">
        <v>31</v>
      </c>
      <c r="F51" t="s">
        <v>119</v>
      </c>
      <c r="G51" t="s">
        <v>114</v>
      </c>
      <c r="H51">
        <f>VLOOKUP(G51, cohort!A$2:B$21, 2, FALSE)</f>
        <v>2</v>
      </c>
      <c r="I51" t="s">
        <v>48</v>
      </c>
      <c r="J51">
        <v>0.33333333333333298</v>
      </c>
      <c r="K51">
        <v>1</v>
      </c>
      <c r="L51">
        <v>0.66666666666666596</v>
      </c>
      <c r="M51">
        <v>0.46666666666666601</v>
      </c>
      <c r="N51">
        <v>9.0909090909090898E-2</v>
      </c>
      <c r="O51">
        <v>0</v>
      </c>
      <c r="P51">
        <v>0</v>
      </c>
      <c r="Q51">
        <v>1</v>
      </c>
      <c r="R51">
        <v>0</v>
      </c>
      <c r="S51">
        <v>0</v>
      </c>
      <c r="T51">
        <v>0</v>
      </c>
      <c r="U51">
        <v>0</v>
      </c>
      <c r="V51">
        <v>0</v>
      </c>
      <c r="W51">
        <v>0</v>
      </c>
      <c r="X51">
        <v>0</v>
      </c>
      <c r="Y51">
        <v>0</v>
      </c>
      <c r="Z51">
        <v>1</v>
      </c>
      <c r="AA51">
        <v>0</v>
      </c>
      <c r="AB51">
        <v>0</v>
      </c>
      <c r="AC51">
        <v>0</v>
      </c>
      <c r="AD51">
        <v>0</v>
      </c>
      <c r="AE51">
        <v>0</v>
      </c>
      <c r="AF51">
        <v>0</v>
      </c>
      <c r="AG51">
        <v>0</v>
      </c>
      <c r="AH51">
        <v>0</v>
      </c>
      <c r="AI51">
        <v>0</v>
      </c>
      <c r="AJ51">
        <v>0</v>
      </c>
      <c r="AK51">
        <v>0</v>
      </c>
      <c r="AL51">
        <v>0</v>
      </c>
      <c r="AM51">
        <v>0</v>
      </c>
      <c r="AN51" t="s">
        <v>49</v>
      </c>
      <c r="AO51">
        <v>0</v>
      </c>
      <c r="AP51">
        <v>1</v>
      </c>
      <c r="AQ51">
        <v>1</v>
      </c>
      <c r="AR51">
        <v>0</v>
      </c>
      <c r="AS51">
        <v>0</v>
      </c>
      <c r="AT51">
        <v>0</v>
      </c>
    </row>
    <row r="52" spans="1:46" x14ac:dyDescent="0.2">
      <c r="A52" t="s">
        <v>117</v>
      </c>
      <c r="B52" s="2">
        <f t="shared" si="0"/>
        <v>45931</v>
      </c>
      <c r="C52" t="s">
        <v>45</v>
      </c>
      <c r="D52" s="1">
        <v>1.1400462962962963E-2</v>
      </c>
      <c r="E52">
        <v>31</v>
      </c>
      <c r="F52" t="s">
        <v>119</v>
      </c>
      <c r="G52" t="s">
        <v>110</v>
      </c>
      <c r="H52">
        <f>VLOOKUP(G52, cohort!A$2:B$21, 2, FALSE)</f>
        <v>2</v>
      </c>
      <c r="I52" t="s">
        <v>48</v>
      </c>
      <c r="J52">
        <v>0.44444444444444398</v>
      </c>
      <c r="K52">
        <v>1</v>
      </c>
      <c r="L52">
        <v>0.66666666666666596</v>
      </c>
      <c r="M52">
        <v>0.4</v>
      </c>
      <c r="N52">
        <v>0.27272727272727199</v>
      </c>
      <c r="O52">
        <v>0</v>
      </c>
      <c r="P52">
        <v>0</v>
      </c>
      <c r="Q52">
        <v>1</v>
      </c>
      <c r="R52">
        <v>0</v>
      </c>
      <c r="S52">
        <v>0</v>
      </c>
      <c r="T52">
        <v>0</v>
      </c>
      <c r="U52">
        <v>0</v>
      </c>
      <c r="V52">
        <v>0</v>
      </c>
      <c r="W52">
        <v>0</v>
      </c>
      <c r="X52">
        <v>0</v>
      </c>
      <c r="Y52">
        <v>0</v>
      </c>
      <c r="Z52">
        <v>1</v>
      </c>
      <c r="AA52">
        <v>0</v>
      </c>
      <c r="AB52">
        <v>0</v>
      </c>
      <c r="AC52">
        <v>0</v>
      </c>
      <c r="AD52">
        <v>0</v>
      </c>
      <c r="AE52">
        <v>0</v>
      </c>
      <c r="AF52">
        <v>0</v>
      </c>
      <c r="AG52">
        <v>0</v>
      </c>
      <c r="AH52">
        <v>0</v>
      </c>
      <c r="AI52">
        <v>0</v>
      </c>
      <c r="AJ52">
        <v>0</v>
      </c>
      <c r="AK52">
        <v>0</v>
      </c>
      <c r="AL52">
        <v>0</v>
      </c>
      <c r="AM52">
        <v>0</v>
      </c>
      <c r="AN52" t="s">
        <v>49</v>
      </c>
      <c r="AO52">
        <v>0</v>
      </c>
      <c r="AP52">
        <v>1</v>
      </c>
      <c r="AQ52">
        <v>1</v>
      </c>
      <c r="AR52">
        <v>0</v>
      </c>
      <c r="AS52">
        <v>0</v>
      </c>
      <c r="AT52">
        <v>0</v>
      </c>
    </row>
    <row r="53" spans="1:46" x14ac:dyDescent="0.2">
      <c r="A53" t="s">
        <v>120</v>
      </c>
      <c r="B53" s="2">
        <f t="shared" si="0"/>
        <v>45931</v>
      </c>
      <c r="C53" t="s">
        <v>52</v>
      </c>
      <c r="D53" s="1">
        <v>8.1365740740740738E-3</v>
      </c>
      <c r="E53">
        <v>31</v>
      </c>
      <c r="F53" t="s">
        <v>119</v>
      </c>
      <c r="G53" t="s">
        <v>107</v>
      </c>
      <c r="H53">
        <f>VLOOKUP(G53, cohort!A$2:B$21, 2, FALSE)</f>
        <v>2</v>
      </c>
      <c r="I53" t="s">
        <v>48</v>
      </c>
      <c r="J53">
        <v>0.77777777777777701</v>
      </c>
      <c r="K53">
        <v>1</v>
      </c>
      <c r="L53">
        <v>0.5</v>
      </c>
      <c r="M53">
        <v>0.46666666666666601</v>
      </c>
      <c r="N53">
        <v>0.18181818181818099</v>
      </c>
      <c r="O53">
        <v>0</v>
      </c>
      <c r="P53">
        <v>0</v>
      </c>
      <c r="Q53">
        <v>1</v>
      </c>
      <c r="R53">
        <v>0</v>
      </c>
      <c r="S53">
        <v>0</v>
      </c>
      <c r="T53">
        <v>0</v>
      </c>
      <c r="U53">
        <v>0</v>
      </c>
      <c r="V53">
        <v>0</v>
      </c>
      <c r="W53">
        <v>0</v>
      </c>
      <c r="X53">
        <v>0</v>
      </c>
      <c r="Y53">
        <v>0</v>
      </c>
      <c r="Z53">
        <v>1</v>
      </c>
      <c r="AA53">
        <v>0</v>
      </c>
      <c r="AB53">
        <v>0</v>
      </c>
      <c r="AC53">
        <v>0</v>
      </c>
      <c r="AD53">
        <v>0</v>
      </c>
      <c r="AE53">
        <v>0</v>
      </c>
      <c r="AF53">
        <v>0</v>
      </c>
      <c r="AG53">
        <v>0</v>
      </c>
      <c r="AH53">
        <v>0</v>
      </c>
      <c r="AI53">
        <v>0</v>
      </c>
      <c r="AJ53">
        <v>0</v>
      </c>
      <c r="AK53">
        <v>0</v>
      </c>
      <c r="AL53">
        <v>0</v>
      </c>
      <c r="AM53">
        <v>0</v>
      </c>
      <c r="AN53" t="s">
        <v>49</v>
      </c>
      <c r="AO53">
        <v>0</v>
      </c>
      <c r="AP53">
        <v>1</v>
      </c>
      <c r="AQ53">
        <v>1</v>
      </c>
      <c r="AR53">
        <v>0</v>
      </c>
      <c r="AS53">
        <v>0</v>
      </c>
      <c r="AT53">
        <v>0</v>
      </c>
    </row>
    <row r="54" spans="1:46" x14ac:dyDescent="0.2">
      <c r="A54" t="s">
        <v>121</v>
      </c>
      <c r="B54" s="2">
        <f t="shared" si="0"/>
        <v>45931</v>
      </c>
      <c r="C54" t="s">
        <v>61</v>
      </c>
      <c r="D54" s="1">
        <v>1.2256944444444445E-2</v>
      </c>
      <c r="E54">
        <v>4</v>
      </c>
      <c r="F54" t="s">
        <v>87</v>
      </c>
      <c r="G54" t="s">
        <v>62</v>
      </c>
      <c r="H54">
        <f>VLOOKUP(G54, cohort!A$2:B$21, 2, FALSE)</f>
        <v>1</v>
      </c>
      <c r="I54" t="s">
        <v>48</v>
      </c>
      <c r="J54">
        <v>0.33333333333333298</v>
      </c>
      <c r="K54">
        <v>1</v>
      </c>
      <c r="L54">
        <v>0.66666666666666596</v>
      </c>
      <c r="M54">
        <v>6.6666666666666596E-2</v>
      </c>
      <c r="N54">
        <v>9.0909090909090898E-2</v>
      </c>
      <c r="O54">
        <v>1</v>
      </c>
      <c r="P54">
        <v>0</v>
      </c>
      <c r="Q54">
        <v>0</v>
      </c>
      <c r="R54">
        <v>0</v>
      </c>
      <c r="S54">
        <v>0</v>
      </c>
      <c r="T54">
        <v>0</v>
      </c>
      <c r="U54">
        <v>0</v>
      </c>
      <c r="V54">
        <v>0</v>
      </c>
      <c r="W54">
        <v>0</v>
      </c>
      <c r="X54">
        <v>0</v>
      </c>
      <c r="Y54">
        <v>0</v>
      </c>
      <c r="Z54">
        <v>0</v>
      </c>
      <c r="AA54">
        <v>0</v>
      </c>
      <c r="AB54">
        <v>0</v>
      </c>
      <c r="AC54">
        <v>1</v>
      </c>
      <c r="AD54">
        <v>0</v>
      </c>
      <c r="AE54">
        <v>1</v>
      </c>
      <c r="AF54">
        <v>0</v>
      </c>
      <c r="AG54">
        <v>1</v>
      </c>
      <c r="AH54">
        <v>0</v>
      </c>
      <c r="AI54">
        <v>0</v>
      </c>
      <c r="AJ54">
        <v>0</v>
      </c>
      <c r="AK54">
        <v>0</v>
      </c>
      <c r="AL54">
        <v>0</v>
      </c>
      <c r="AM54">
        <v>0</v>
      </c>
      <c r="AN54" t="s">
        <v>49</v>
      </c>
      <c r="AO54">
        <v>1</v>
      </c>
      <c r="AP54">
        <v>4</v>
      </c>
      <c r="AQ54">
        <v>1</v>
      </c>
      <c r="AR54">
        <v>1</v>
      </c>
      <c r="AS54">
        <v>1</v>
      </c>
      <c r="AT54">
        <v>1</v>
      </c>
    </row>
    <row r="55" spans="1:46" x14ac:dyDescent="0.2">
      <c r="A55" t="s">
        <v>122</v>
      </c>
      <c r="B55" s="2">
        <f t="shared" si="0"/>
        <v>45931</v>
      </c>
      <c r="C55" t="s">
        <v>92</v>
      </c>
      <c r="D55" s="1">
        <v>1.1620370370370371E-2</v>
      </c>
      <c r="E55">
        <v>32</v>
      </c>
      <c r="F55" t="s">
        <v>123</v>
      </c>
      <c r="G55" t="s">
        <v>114</v>
      </c>
      <c r="H55">
        <f>VLOOKUP(G55, cohort!A$2:B$21, 2, FALSE)</f>
        <v>2</v>
      </c>
      <c r="I55" t="s">
        <v>48</v>
      </c>
      <c r="J55">
        <v>0.11111111111111099</v>
      </c>
      <c r="K55">
        <v>0.5</v>
      </c>
      <c r="L55">
        <v>0.66666666666666596</v>
      </c>
      <c r="M55">
        <v>0.133333333333333</v>
      </c>
      <c r="N55">
        <v>9.0909090909090898E-2</v>
      </c>
      <c r="O55">
        <v>0</v>
      </c>
      <c r="P55">
        <v>0</v>
      </c>
      <c r="Q55">
        <v>0</v>
      </c>
      <c r="R55">
        <v>0</v>
      </c>
      <c r="S55">
        <v>0</v>
      </c>
      <c r="T55">
        <v>0</v>
      </c>
      <c r="U55">
        <v>1</v>
      </c>
      <c r="V55">
        <v>1</v>
      </c>
      <c r="W55">
        <v>0</v>
      </c>
      <c r="X55">
        <v>0</v>
      </c>
      <c r="Y55">
        <v>0</v>
      </c>
      <c r="Z55">
        <v>0</v>
      </c>
      <c r="AA55">
        <v>0</v>
      </c>
      <c r="AB55">
        <v>0</v>
      </c>
      <c r="AC55">
        <v>0</v>
      </c>
      <c r="AD55">
        <v>0</v>
      </c>
      <c r="AE55">
        <v>0</v>
      </c>
      <c r="AF55">
        <v>0</v>
      </c>
      <c r="AG55">
        <v>0</v>
      </c>
      <c r="AH55">
        <v>0</v>
      </c>
      <c r="AI55">
        <v>0</v>
      </c>
      <c r="AJ55">
        <v>0</v>
      </c>
      <c r="AK55">
        <v>0</v>
      </c>
      <c r="AL55">
        <v>0</v>
      </c>
      <c r="AM55">
        <v>0</v>
      </c>
      <c r="AN55" t="s">
        <v>49</v>
      </c>
      <c r="AO55">
        <v>0</v>
      </c>
      <c r="AP55">
        <v>2</v>
      </c>
      <c r="AQ55">
        <v>0</v>
      </c>
      <c r="AR55">
        <v>0</v>
      </c>
      <c r="AS55">
        <v>0</v>
      </c>
      <c r="AT55">
        <v>0</v>
      </c>
    </row>
    <row r="56" spans="1:46" x14ac:dyDescent="0.2">
      <c r="A56" t="s">
        <v>122</v>
      </c>
      <c r="B56" s="2">
        <f t="shared" si="0"/>
        <v>45931</v>
      </c>
      <c r="C56" t="s">
        <v>92</v>
      </c>
      <c r="D56" s="1">
        <v>1.1770833333333333E-2</v>
      </c>
      <c r="E56">
        <v>29</v>
      </c>
      <c r="F56" t="s">
        <v>106</v>
      </c>
      <c r="G56" t="s">
        <v>124</v>
      </c>
      <c r="H56">
        <f>VLOOKUP(G56, cohort!A$2:B$21, 2, FALSE)</f>
        <v>2</v>
      </c>
      <c r="I56" t="s">
        <v>48</v>
      </c>
      <c r="J56">
        <v>0.11111111111111099</v>
      </c>
      <c r="K56">
        <v>0.5</v>
      </c>
      <c r="L56">
        <v>0.66666666666666596</v>
      </c>
      <c r="M56">
        <v>0.2</v>
      </c>
      <c r="N56">
        <v>9.0909090909090898E-2</v>
      </c>
      <c r="O56">
        <v>0</v>
      </c>
      <c r="P56">
        <v>0</v>
      </c>
      <c r="Q56">
        <v>1</v>
      </c>
      <c r="R56">
        <v>0</v>
      </c>
      <c r="S56">
        <v>0</v>
      </c>
      <c r="T56">
        <v>0</v>
      </c>
      <c r="U56">
        <v>0</v>
      </c>
      <c r="V56">
        <v>0</v>
      </c>
      <c r="W56">
        <v>0</v>
      </c>
      <c r="X56">
        <v>0</v>
      </c>
      <c r="Y56">
        <v>0</v>
      </c>
      <c r="Z56">
        <v>0</v>
      </c>
      <c r="AA56">
        <v>0</v>
      </c>
      <c r="AB56">
        <v>0</v>
      </c>
      <c r="AC56">
        <v>0</v>
      </c>
      <c r="AD56">
        <v>0</v>
      </c>
      <c r="AE56">
        <v>0</v>
      </c>
      <c r="AF56">
        <v>0</v>
      </c>
      <c r="AG56">
        <v>0</v>
      </c>
      <c r="AH56">
        <v>0</v>
      </c>
      <c r="AI56">
        <v>0</v>
      </c>
      <c r="AJ56">
        <v>0</v>
      </c>
      <c r="AK56">
        <v>1</v>
      </c>
      <c r="AL56">
        <v>0</v>
      </c>
      <c r="AM56">
        <v>0</v>
      </c>
      <c r="AN56" t="s">
        <v>49</v>
      </c>
      <c r="AO56">
        <v>0</v>
      </c>
      <c r="AP56">
        <v>1</v>
      </c>
      <c r="AQ56">
        <v>2</v>
      </c>
      <c r="AR56">
        <v>0</v>
      </c>
      <c r="AS56">
        <v>0</v>
      </c>
      <c r="AT56">
        <v>0</v>
      </c>
    </row>
    <row r="57" spans="1:46" x14ac:dyDescent="0.2">
      <c r="A57" t="s">
        <v>125</v>
      </c>
      <c r="B57" s="2">
        <f t="shared" si="0"/>
        <v>45931</v>
      </c>
      <c r="C57" t="s">
        <v>45</v>
      </c>
      <c r="D57" s="1">
        <v>8.3912037037037045E-3</v>
      </c>
      <c r="E57">
        <v>7</v>
      </c>
      <c r="F57" t="s">
        <v>70</v>
      </c>
      <c r="G57" t="s">
        <v>107</v>
      </c>
      <c r="H57">
        <f>VLOOKUP(G57, cohort!A$2:B$21, 2, FALSE)</f>
        <v>2</v>
      </c>
      <c r="I57" t="s">
        <v>48</v>
      </c>
      <c r="J57">
        <v>0.77777777777777701</v>
      </c>
      <c r="K57">
        <v>1</v>
      </c>
      <c r="L57">
        <v>0.16666666666666599</v>
      </c>
      <c r="M57">
        <v>0.4</v>
      </c>
      <c r="N57">
        <v>0.36363636363636298</v>
      </c>
      <c r="O57">
        <v>0</v>
      </c>
      <c r="P57">
        <v>0</v>
      </c>
      <c r="Q57">
        <v>0</v>
      </c>
      <c r="R57">
        <v>0</v>
      </c>
      <c r="S57">
        <v>0</v>
      </c>
      <c r="T57">
        <v>0</v>
      </c>
      <c r="U57">
        <v>1</v>
      </c>
      <c r="V57">
        <v>0</v>
      </c>
      <c r="W57">
        <v>1</v>
      </c>
      <c r="X57">
        <v>0</v>
      </c>
      <c r="Y57">
        <v>0</v>
      </c>
      <c r="Z57">
        <v>0</v>
      </c>
      <c r="AA57">
        <v>0</v>
      </c>
      <c r="AB57">
        <v>0</v>
      </c>
      <c r="AC57">
        <v>0</v>
      </c>
      <c r="AD57">
        <v>0</v>
      </c>
      <c r="AE57">
        <v>0</v>
      </c>
      <c r="AF57">
        <v>0</v>
      </c>
      <c r="AG57">
        <v>0</v>
      </c>
      <c r="AH57">
        <v>0</v>
      </c>
      <c r="AI57">
        <v>0</v>
      </c>
      <c r="AJ57">
        <v>1</v>
      </c>
      <c r="AK57">
        <v>0</v>
      </c>
      <c r="AL57">
        <v>0</v>
      </c>
      <c r="AM57">
        <v>0</v>
      </c>
      <c r="AN57" t="s">
        <v>49</v>
      </c>
      <c r="AO57">
        <v>0</v>
      </c>
      <c r="AP57">
        <v>2</v>
      </c>
      <c r="AQ57">
        <v>0</v>
      </c>
      <c r="AR57">
        <v>1</v>
      </c>
      <c r="AS57">
        <v>0</v>
      </c>
      <c r="AT57">
        <v>0</v>
      </c>
    </row>
    <row r="58" spans="1:46" x14ac:dyDescent="0.2">
      <c r="A58" t="s">
        <v>125</v>
      </c>
      <c r="B58" s="2">
        <f t="shared" si="0"/>
        <v>45931</v>
      </c>
      <c r="C58" t="s">
        <v>45</v>
      </c>
      <c r="D58" s="1">
        <v>1.3912037037037037E-2</v>
      </c>
      <c r="E58">
        <v>31</v>
      </c>
      <c r="F58" t="s">
        <v>119</v>
      </c>
      <c r="G58" t="s">
        <v>118</v>
      </c>
      <c r="H58" t="str">
        <f>VLOOKUP(G58, cohort!A$2:B$21, 2, FALSE)</f>
        <v>x</v>
      </c>
      <c r="I58" t="s">
        <v>50</v>
      </c>
      <c r="J58">
        <v>0.88888888888888795</v>
      </c>
      <c r="K58">
        <v>1</v>
      </c>
      <c r="L58">
        <v>0.66666666666666596</v>
      </c>
      <c r="M58">
        <v>0.8</v>
      </c>
      <c r="N58">
        <v>0.54545454545454497</v>
      </c>
      <c r="O58">
        <v>0</v>
      </c>
      <c r="P58">
        <v>0</v>
      </c>
      <c r="Q58">
        <v>1</v>
      </c>
      <c r="R58">
        <v>0</v>
      </c>
      <c r="S58">
        <v>0</v>
      </c>
      <c r="T58">
        <v>0</v>
      </c>
      <c r="U58">
        <v>0</v>
      </c>
      <c r="V58">
        <v>0</v>
      </c>
      <c r="W58">
        <v>0</v>
      </c>
      <c r="X58">
        <v>0</v>
      </c>
      <c r="Y58">
        <v>0</v>
      </c>
      <c r="Z58">
        <v>1</v>
      </c>
      <c r="AA58">
        <v>0</v>
      </c>
      <c r="AB58">
        <v>0</v>
      </c>
      <c r="AC58">
        <v>0</v>
      </c>
      <c r="AD58">
        <v>0</v>
      </c>
      <c r="AE58">
        <v>0</v>
      </c>
      <c r="AF58">
        <v>0</v>
      </c>
      <c r="AG58">
        <v>0</v>
      </c>
      <c r="AH58">
        <v>0</v>
      </c>
      <c r="AI58">
        <v>0</v>
      </c>
      <c r="AJ58">
        <v>0</v>
      </c>
      <c r="AK58">
        <v>0</v>
      </c>
      <c r="AL58">
        <v>0</v>
      </c>
      <c r="AM58">
        <v>0</v>
      </c>
      <c r="AN58" t="s">
        <v>49</v>
      </c>
      <c r="AO58">
        <v>0</v>
      </c>
      <c r="AP58">
        <v>1</v>
      </c>
      <c r="AQ58">
        <v>1</v>
      </c>
      <c r="AR58">
        <v>0</v>
      </c>
      <c r="AS58">
        <v>0</v>
      </c>
      <c r="AT58">
        <v>0</v>
      </c>
    </row>
    <row r="59" spans="1:46" x14ac:dyDescent="0.2">
      <c r="A59" t="s">
        <v>125</v>
      </c>
      <c r="B59" s="2">
        <f t="shared" si="0"/>
        <v>45931</v>
      </c>
      <c r="C59" t="s">
        <v>45</v>
      </c>
      <c r="D59" s="1">
        <v>1.2256944444444445E-2</v>
      </c>
      <c r="E59">
        <v>32</v>
      </c>
      <c r="F59" t="s">
        <v>123</v>
      </c>
      <c r="G59" t="s">
        <v>110</v>
      </c>
      <c r="H59">
        <f>VLOOKUP(G59, cohort!A$2:B$21, 2, FALSE)</f>
        <v>2</v>
      </c>
      <c r="I59" t="s">
        <v>48</v>
      </c>
      <c r="J59">
        <v>0.22222222222222199</v>
      </c>
      <c r="K59">
        <v>1</v>
      </c>
      <c r="L59">
        <v>0.66666666666666596</v>
      </c>
      <c r="M59">
        <v>0.266666666666666</v>
      </c>
      <c r="N59">
        <v>9.0909090909090898E-2</v>
      </c>
      <c r="O59">
        <v>0</v>
      </c>
      <c r="P59">
        <v>0</v>
      </c>
      <c r="Q59">
        <v>0</v>
      </c>
      <c r="R59">
        <v>0</v>
      </c>
      <c r="S59">
        <v>0</v>
      </c>
      <c r="T59">
        <v>0</v>
      </c>
      <c r="U59">
        <v>1</v>
      </c>
      <c r="V59">
        <v>1</v>
      </c>
      <c r="W59">
        <v>0</v>
      </c>
      <c r="X59">
        <v>0</v>
      </c>
      <c r="Y59">
        <v>0</v>
      </c>
      <c r="Z59">
        <v>0</v>
      </c>
      <c r="AA59">
        <v>0</v>
      </c>
      <c r="AB59">
        <v>0</v>
      </c>
      <c r="AC59">
        <v>0</v>
      </c>
      <c r="AD59">
        <v>0</v>
      </c>
      <c r="AE59">
        <v>0</v>
      </c>
      <c r="AF59">
        <v>0</v>
      </c>
      <c r="AG59">
        <v>0</v>
      </c>
      <c r="AH59">
        <v>0</v>
      </c>
      <c r="AI59">
        <v>0</v>
      </c>
      <c r="AJ59">
        <v>0</v>
      </c>
      <c r="AK59">
        <v>0</v>
      </c>
      <c r="AL59">
        <v>0</v>
      </c>
      <c r="AM59">
        <v>0</v>
      </c>
      <c r="AN59" t="s">
        <v>49</v>
      </c>
      <c r="AO59">
        <v>0</v>
      </c>
      <c r="AP59">
        <v>2</v>
      </c>
      <c r="AQ59">
        <v>0</v>
      </c>
      <c r="AR59">
        <v>0</v>
      </c>
      <c r="AS59">
        <v>0</v>
      </c>
      <c r="AT59">
        <v>0</v>
      </c>
    </row>
    <row r="60" spans="1:46" x14ac:dyDescent="0.2">
      <c r="A60" t="s">
        <v>126</v>
      </c>
      <c r="B60" s="2">
        <f t="shared" si="0"/>
        <v>45931</v>
      </c>
      <c r="C60" t="s">
        <v>61</v>
      </c>
      <c r="D60" s="1">
        <v>2.7754629629629629E-2</v>
      </c>
      <c r="E60">
        <v>30</v>
      </c>
      <c r="F60" t="s">
        <v>111</v>
      </c>
      <c r="G60" t="s">
        <v>53</v>
      </c>
      <c r="H60">
        <f>VLOOKUP(G60, cohort!A$2:B$21, 2, FALSE)</f>
        <v>1</v>
      </c>
      <c r="I60" t="s">
        <v>48</v>
      </c>
      <c r="J60">
        <v>0.77777777777777701</v>
      </c>
      <c r="K60">
        <v>0.5</v>
      </c>
      <c r="L60">
        <v>0.33333333333333298</v>
      </c>
      <c r="M60">
        <v>0.66666666666666596</v>
      </c>
      <c r="N60">
        <v>0.72727272727272696</v>
      </c>
      <c r="O60">
        <v>0</v>
      </c>
      <c r="P60">
        <v>1</v>
      </c>
      <c r="Q60">
        <v>0</v>
      </c>
      <c r="R60">
        <v>0</v>
      </c>
      <c r="S60">
        <v>0</v>
      </c>
      <c r="T60">
        <v>1</v>
      </c>
      <c r="U60">
        <v>0</v>
      </c>
      <c r="V60">
        <v>0</v>
      </c>
      <c r="W60">
        <v>0</v>
      </c>
      <c r="X60">
        <v>0</v>
      </c>
      <c r="Y60">
        <v>1</v>
      </c>
      <c r="Z60">
        <v>0</v>
      </c>
      <c r="AA60">
        <v>0</v>
      </c>
      <c r="AB60">
        <v>0</v>
      </c>
      <c r="AC60">
        <v>0</v>
      </c>
      <c r="AD60">
        <v>0</v>
      </c>
      <c r="AE60">
        <v>0</v>
      </c>
      <c r="AF60">
        <v>1</v>
      </c>
      <c r="AG60">
        <v>0</v>
      </c>
      <c r="AH60">
        <v>0</v>
      </c>
      <c r="AI60">
        <v>0</v>
      </c>
      <c r="AJ60">
        <v>0</v>
      </c>
      <c r="AK60">
        <v>0</v>
      </c>
      <c r="AL60">
        <v>0</v>
      </c>
      <c r="AM60">
        <v>0</v>
      </c>
      <c r="AN60" t="s">
        <v>49</v>
      </c>
      <c r="AO60">
        <v>1</v>
      </c>
      <c r="AP60">
        <v>2</v>
      </c>
      <c r="AQ60">
        <v>2</v>
      </c>
      <c r="AR60">
        <v>2</v>
      </c>
      <c r="AS60">
        <v>2</v>
      </c>
      <c r="AT60">
        <v>0</v>
      </c>
    </row>
    <row r="61" spans="1:46" x14ac:dyDescent="0.2">
      <c r="A61" t="s">
        <v>127</v>
      </c>
      <c r="B61" s="2">
        <f t="shared" si="0"/>
        <v>45931</v>
      </c>
      <c r="C61" t="s">
        <v>92</v>
      </c>
      <c r="D61" s="1">
        <v>2.6076388888888889E-2</v>
      </c>
      <c r="E61">
        <v>30</v>
      </c>
      <c r="F61" t="s">
        <v>111</v>
      </c>
      <c r="G61" t="s">
        <v>59</v>
      </c>
      <c r="H61">
        <f>VLOOKUP(G61, cohort!A$2:B$21, 2, FALSE)</f>
        <v>1</v>
      </c>
      <c r="I61" t="s">
        <v>48</v>
      </c>
      <c r="J61">
        <v>0.55555555555555503</v>
      </c>
      <c r="K61">
        <v>1</v>
      </c>
      <c r="L61">
        <v>0.5</v>
      </c>
      <c r="M61">
        <v>0.4</v>
      </c>
      <c r="N61">
        <v>0.36363636363636298</v>
      </c>
      <c r="O61">
        <v>0</v>
      </c>
      <c r="P61">
        <v>1</v>
      </c>
      <c r="Q61">
        <v>0</v>
      </c>
      <c r="R61">
        <v>0</v>
      </c>
      <c r="S61">
        <v>0</v>
      </c>
      <c r="T61">
        <v>1</v>
      </c>
      <c r="U61">
        <v>0</v>
      </c>
      <c r="V61">
        <v>0</v>
      </c>
      <c r="W61">
        <v>0</v>
      </c>
      <c r="X61">
        <v>0</v>
      </c>
      <c r="Y61">
        <v>1</v>
      </c>
      <c r="Z61">
        <v>0</v>
      </c>
      <c r="AA61">
        <v>0</v>
      </c>
      <c r="AB61">
        <v>0</v>
      </c>
      <c r="AC61">
        <v>0</v>
      </c>
      <c r="AD61">
        <v>0</v>
      </c>
      <c r="AE61">
        <v>0</v>
      </c>
      <c r="AF61">
        <v>1</v>
      </c>
      <c r="AG61">
        <v>0</v>
      </c>
      <c r="AH61">
        <v>0</v>
      </c>
      <c r="AI61">
        <v>0</v>
      </c>
      <c r="AJ61">
        <v>0</v>
      </c>
      <c r="AK61">
        <v>0</v>
      </c>
      <c r="AL61">
        <v>0</v>
      </c>
      <c r="AM61">
        <v>0</v>
      </c>
      <c r="AN61" t="s">
        <v>49</v>
      </c>
      <c r="AO61">
        <v>1</v>
      </c>
      <c r="AP61">
        <v>2</v>
      </c>
      <c r="AQ61">
        <v>2</v>
      </c>
      <c r="AR61">
        <v>2</v>
      </c>
      <c r="AS61">
        <v>2</v>
      </c>
      <c r="AT61">
        <v>0</v>
      </c>
    </row>
    <row r="62" spans="1:46" x14ac:dyDescent="0.2">
      <c r="A62" t="s">
        <v>128</v>
      </c>
      <c r="B62" s="2">
        <f t="shared" si="0"/>
        <v>45931</v>
      </c>
      <c r="C62" t="s">
        <v>45</v>
      </c>
      <c r="D62" s="1">
        <v>7.743055555555556E-3</v>
      </c>
      <c r="E62">
        <v>7</v>
      </c>
      <c r="F62" t="s">
        <v>70</v>
      </c>
      <c r="G62" t="s">
        <v>110</v>
      </c>
      <c r="H62">
        <f>VLOOKUP(G62, cohort!A$2:B$21, 2, FALSE)</f>
        <v>2</v>
      </c>
      <c r="I62" t="s">
        <v>48</v>
      </c>
      <c r="J62">
        <v>0.55555555555555503</v>
      </c>
      <c r="K62">
        <v>1</v>
      </c>
      <c r="L62">
        <v>0.33333333333333298</v>
      </c>
      <c r="M62">
        <v>0</v>
      </c>
      <c r="N62">
        <v>0</v>
      </c>
      <c r="O62">
        <v>0</v>
      </c>
      <c r="P62">
        <v>0</v>
      </c>
      <c r="Q62">
        <v>0</v>
      </c>
      <c r="R62">
        <v>0</v>
      </c>
      <c r="S62">
        <v>0</v>
      </c>
      <c r="T62">
        <v>0</v>
      </c>
      <c r="U62">
        <v>1</v>
      </c>
      <c r="V62">
        <v>0</v>
      </c>
      <c r="W62">
        <v>1</v>
      </c>
      <c r="X62">
        <v>0</v>
      </c>
      <c r="Y62">
        <v>0</v>
      </c>
      <c r="Z62">
        <v>0</v>
      </c>
      <c r="AA62">
        <v>0</v>
      </c>
      <c r="AB62">
        <v>0</v>
      </c>
      <c r="AC62">
        <v>0</v>
      </c>
      <c r="AD62">
        <v>0</v>
      </c>
      <c r="AE62">
        <v>0</v>
      </c>
      <c r="AF62">
        <v>0</v>
      </c>
      <c r="AG62">
        <v>0</v>
      </c>
      <c r="AH62">
        <v>0</v>
      </c>
      <c r="AI62">
        <v>0</v>
      </c>
      <c r="AJ62">
        <v>1</v>
      </c>
      <c r="AK62">
        <v>0</v>
      </c>
      <c r="AL62">
        <v>0</v>
      </c>
      <c r="AM62">
        <v>0</v>
      </c>
      <c r="AN62" t="s">
        <v>49</v>
      </c>
      <c r="AO62">
        <v>0</v>
      </c>
      <c r="AP62">
        <v>2</v>
      </c>
      <c r="AQ62">
        <v>0</v>
      </c>
      <c r="AR62">
        <v>1</v>
      </c>
      <c r="AS62">
        <v>0</v>
      </c>
      <c r="AT62">
        <v>0</v>
      </c>
    </row>
    <row r="63" spans="1:46" x14ac:dyDescent="0.2">
      <c r="A63" t="s">
        <v>129</v>
      </c>
      <c r="B63" s="2">
        <f t="shared" si="0"/>
        <v>45931</v>
      </c>
      <c r="C63" t="s">
        <v>52</v>
      </c>
      <c r="D63" s="1">
        <v>1.8414351851851852E-2</v>
      </c>
      <c r="E63">
        <v>30</v>
      </c>
      <c r="F63" t="s">
        <v>111</v>
      </c>
      <c r="G63" t="s">
        <v>65</v>
      </c>
      <c r="H63">
        <f>VLOOKUP(G63, cohort!A$2:B$21, 2, FALSE)</f>
        <v>1</v>
      </c>
      <c r="I63" t="s">
        <v>48</v>
      </c>
      <c r="J63">
        <v>0.88888888888888795</v>
      </c>
      <c r="K63">
        <v>1</v>
      </c>
      <c r="L63">
        <v>0.83333333333333304</v>
      </c>
      <c r="M63">
        <v>0.8</v>
      </c>
      <c r="N63">
        <v>0.72727272727272696</v>
      </c>
      <c r="O63">
        <v>0</v>
      </c>
      <c r="P63">
        <v>1</v>
      </c>
      <c r="Q63">
        <v>0</v>
      </c>
      <c r="R63">
        <v>0</v>
      </c>
      <c r="S63">
        <v>0</v>
      </c>
      <c r="T63">
        <v>1</v>
      </c>
      <c r="U63">
        <v>0</v>
      </c>
      <c r="V63">
        <v>0</v>
      </c>
      <c r="W63">
        <v>0</v>
      </c>
      <c r="X63">
        <v>0</v>
      </c>
      <c r="Y63">
        <v>1</v>
      </c>
      <c r="Z63">
        <v>0</v>
      </c>
      <c r="AA63">
        <v>0</v>
      </c>
      <c r="AB63">
        <v>0</v>
      </c>
      <c r="AC63">
        <v>0</v>
      </c>
      <c r="AD63">
        <v>0</v>
      </c>
      <c r="AE63">
        <v>0</v>
      </c>
      <c r="AF63">
        <v>1</v>
      </c>
      <c r="AG63">
        <v>0</v>
      </c>
      <c r="AH63">
        <v>0</v>
      </c>
      <c r="AI63">
        <v>0</v>
      </c>
      <c r="AJ63">
        <v>0</v>
      </c>
      <c r="AK63">
        <v>0</v>
      </c>
      <c r="AL63">
        <v>0</v>
      </c>
      <c r="AM63">
        <v>0</v>
      </c>
      <c r="AN63" t="s">
        <v>49</v>
      </c>
      <c r="AO63">
        <v>1</v>
      </c>
      <c r="AP63">
        <v>2</v>
      </c>
      <c r="AQ63">
        <v>2</v>
      </c>
      <c r="AR63">
        <v>2</v>
      </c>
      <c r="AS63">
        <v>2</v>
      </c>
      <c r="AT63">
        <v>0</v>
      </c>
    </row>
    <row r="64" spans="1:46" x14ac:dyDescent="0.2">
      <c r="A64" t="s">
        <v>130</v>
      </c>
      <c r="B64" s="2">
        <f t="shared" si="0"/>
        <v>45931</v>
      </c>
      <c r="C64" t="s">
        <v>61</v>
      </c>
      <c r="D64" s="1">
        <v>1.6805555555555556E-2</v>
      </c>
      <c r="E64">
        <v>14</v>
      </c>
      <c r="F64" t="s">
        <v>77</v>
      </c>
      <c r="G64" t="s">
        <v>107</v>
      </c>
      <c r="H64">
        <f>VLOOKUP(G64, cohort!A$2:B$21, 2, FALSE)</f>
        <v>2</v>
      </c>
      <c r="I64" t="s">
        <v>48</v>
      </c>
      <c r="J64">
        <v>0.88888888888888795</v>
      </c>
      <c r="K64">
        <v>1</v>
      </c>
      <c r="L64">
        <v>0.33333333333333298</v>
      </c>
      <c r="M64">
        <v>0.4</v>
      </c>
      <c r="N64">
        <v>0.36363636363636298</v>
      </c>
      <c r="O64">
        <v>0</v>
      </c>
      <c r="P64">
        <v>0</v>
      </c>
      <c r="Q64">
        <v>0</v>
      </c>
      <c r="R64">
        <v>0</v>
      </c>
      <c r="S64">
        <v>0</v>
      </c>
      <c r="T64">
        <v>0</v>
      </c>
      <c r="U64">
        <v>0</v>
      </c>
      <c r="V64">
        <v>0</v>
      </c>
      <c r="W64">
        <v>1</v>
      </c>
      <c r="X64">
        <v>1</v>
      </c>
      <c r="Y64">
        <v>0</v>
      </c>
      <c r="Z64">
        <v>0</v>
      </c>
      <c r="AA64">
        <v>0</v>
      </c>
      <c r="AB64">
        <v>0</v>
      </c>
      <c r="AC64">
        <v>1</v>
      </c>
      <c r="AD64">
        <v>0</v>
      </c>
      <c r="AE64">
        <v>0</v>
      </c>
      <c r="AF64">
        <v>0</v>
      </c>
      <c r="AG64">
        <v>0</v>
      </c>
      <c r="AH64">
        <v>0</v>
      </c>
      <c r="AI64">
        <v>0</v>
      </c>
      <c r="AJ64">
        <v>0</v>
      </c>
      <c r="AK64">
        <v>0</v>
      </c>
      <c r="AL64">
        <v>0</v>
      </c>
      <c r="AM64">
        <v>0</v>
      </c>
      <c r="AN64" t="s">
        <v>49</v>
      </c>
      <c r="AO64">
        <v>1</v>
      </c>
      <c r="AP64">
        <v>2</v>
      </c>
      <c r="AQ64">
        <v>1</v>
      </c>
      <c r="AR64">
        <v>1</v>
      </c>
      <c r="AS64">
        <v>2</v>
      </c>
      <c r="AT64">
        <v>1</v>
      </c>
    </row>
    <row r="65" spans="1:46" x14ac:dyDescent="0.2">
      <c r="A65" t="s">
        <v>130</v>
      </c>
      <c r="B65" s="2">
        <f t="shared" si="0"/>
        <v>45931</v>
      </c>
      <c r="C65" t="s">
        <v>61</v>
      </c>
      <c r="D65" s="1">
        <v>7.1759259259259259E-3</v>
      </c>
      <c r="E65">
        <v>29</v>
      </c>
      <c r="F65" t="s">
        <v>106</v>
      </c>
      <c r="G65" t="s">
        <v>131</v>
      </c>
      <c r="H65">
        <f>VLOOKUP(G65, cohort!A$2:B$21, 2, FALSE)</f>
        <v>2</v>
      </c>
      <c r="I65" t="s">
        <v>48</v>
      </c>
      <c r="J65">
        <v>0.44444444444444398</v>
      </c>
      <c r="K65">
        <v>0.5</v>
      </c>
      <c r="L65">
        <v>0.5</v>
      </c>
      <c r="M65">
        <v>0.2</v>
      </c>
      <c r="N65">
        <v>0</v>
      </c>
      <c r="O65">
        <v>0</v>
      </c>
      <c r="P65">
        <v>0</v>
      </c>
      <c r="Q65">
        <v>1</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t="s">
        <v>49</v>
      </c>
      <c r="AO65">
        <v>0</v>
      </c>
      <c r="AP65">
        <v>1</v>
      </c>
      <c r="AQ65">
        <v>2</v>
      </c>
      <c r="AR65">
        <v>0</v>
      </c>
      <c r="AS65">
        <v>0</v>
      </c>
      <c r="AT65">
        <v>0</v>
      </c>
    </row>
    <row r="66" spans="1:46" x14ac:dyDescent="0.2">
      <c r="A66" t="s">
        <v>132</v>
      </c>
      <c r="B66" s="2">
        <f t="shared" si="0"/>
        <v>45931</v>
      </c>
      <c r="C66" t="s">
        <v>92</v>
      </c>
      <c r="D66" s="1">
        <v>1.2962962962962963E-2</v>
      </c>
      <c r="E66">
        <v>31</v>
      </c>
      <c r="F66" t="s">
        <v>119</v>
      </c>
      <c r="G66" t="s">
        <v>131</v>
      </c>
      <c r="H66">
        <f>VLOOKUP(G66, cohort!A$2:B$21, 2, FALSE)</f>
        <v>2</v>
      </c>
      <c r="I66" t="s">
        <v>48</v>
      </c>
      <c r="J66">
        <v>0.44444444444444398</v>
      </c>
      <c r="K66">
        <v>0.5</v>
      </c>
      <c r="L66">
        <v>0.66666666666666596</v>
      </c>
      <c r="M66">
        <v>0.2</v>
      </c>
      <c r="N66">
        <v>0</v>
      </c>
      <c r="O66">
        <v>0</v>
      </c>
      <c r="P66">
        <v>0</v>
      </c>
      <c r="Q66">
        <v>1</v>
      </c>
      <c r="R66">
        <v>0</v>
      </c>
      <c r="S66">
        <v>0</v>
      </c>
      <c r="T66">
        <v>0</v>
      </c>
      <c r="U66">
        <v>0</v>
      </c>
      <c r="V66">
        <v>0</v>
      </c>
      <c r="W66">
        <v>0</v>
      </c>
      <c r="X66">
        <v>0</v>
      </c>
      <c r="Y66">
        <v>0</v>
      </c>
      <c r="Z66">
        <v>1</v>
      </c>
      <c r="AA66">
        <v>0</v>
      </c>
      <c r="AB66">
        <v>0</v>
      </c>
      <c r="AC66">
        <v>0</v>
      </c>
      <c r="AD66">
        <v>0</v>
      </c>
      <c r="AE66">
        <v>0</v>
      </c>
      <c r="AF66">
        <v>0</v>
      </c>
      <c r="AG66">
        <v>0</v>
      </c>
      <c r="AH66">
        <v>0</v>
      </c>
      <c r="AI66">
        <v>0</v>
      </c>
      <c r="AJ66">
        <v>0</v>
      </c>
      <c r="AK66">
        <v>0</v>
      </c>
      <c r="AL66">
        <v>0</v>
      </c>
      <c r="AM66">
        <v>0</v>
      </c>
      <c r="AN66" t="s">
        <v>49</v>
      </c>
      <c r="AO66">
        <v>0</v>
      </c>
      <c r="AP66">
        <v>1</v>
      </c>
      <c r="AQ66">
        <v>1</v>
      </c>
      <c r="AR66">
        <v>0</v>
      </c>
      <c r="AS66">
        <v>0</v>
      </c>
      <c r="AT66">
        <v>0</v>
      </c>
    </row>
    <row r="67" spans="1:46" x14ac:dyDescent="0.2">
      <c r="A67" t="s">
        <v>133</v>
      </c>
      <c r="B67" s="2">
        <f t="shared" ref="B67:B130" si="1">DATE(YEAR(DATEVALUE(LEFT(A67,10))), MONTH(DATEVALUE(LEFT(A67,10))), 1)</f>
        <v>45931</v>
      </c>
      <c r="C67" t="s">
        <v>45</v>
      </c>
      <c r="D67" s="1">
        <v>9.8611111111111104E-3</v>
      </c>
      <c r="E67">
        <v>32</v>
      </c>
      <c r="F67" t="s">
        <v>123</v>
      </c>
      <c r="G67" t="s">
        <v>118</v>
      </c>
      <c r="H67" t="str">
        <f>VLOOKUP(G67, cohort!A$2:B$21, 2, FALSE)</f>
        <v>x</v>
      </c>
      <c r="I67" t="s">
        <v>48</v>
      </c>
      <c r="J67">
        <v>0.44444444444444398</v>
      </c>
      <c r="K67">
        <v>1</v>
      </c>
      <c r="L67">
        <v>0.5</v>
      </c>
      <c r="M67">
        <v>0.6</v>
      </c>
      <c r="N67">
        <v>0.36363636363636298</v>
      </c>
      <c r="O67">
        <v>0</v>
      </c>
      <c r="P67">
        <v>0</v>
      </c>
      <c r="Q67">
        <v>0</v>
      </c>
      <c r="R67">
        <v>0</v>
      </c>
      <c r="S67">
        <v>0</v>
      </c>
      <c r="T67">
        <v>0</v>
      </c>
      <c r="U67">
        <v>1</v>
      </c>
      <c r="V67">
        <v>1</v>
      </c>
      <c r="W67">
        <v>0</v>
      </c>
      <c r="X67">
        <v>0</v>
      </c>
      <c r="Y67">
        <v>0</v>
      </c>
      <c r="Z67">
        <v>0</v>
      </c>
      <c r="AA67">
        <v>0</v>
      </c>
      <c r="AB67">
        <v>0</v>
      </c>
      <c r="AC67">
        <v>0</v>
      </c>
      <c r="AD67">
        <v>0</v>
      </c>
      <c r="AE67">
        <v>0</v>
      </c>
      <c r="AF67">
        <v>0</v>
      </c>
      <c r="AG67">
        <v>0</v>
      </c>
      <c r="AH67">
        <v>0</v>
      </c>
      <c r="AI67">
        <v>0</v>
      </c>
      <c r="AJ67">
        <v>0</v>
      </c>
      <c r="AK67">
        <v>0</v>
      </c>
      <c r="AL67">
        <v>0</v>
      </c>
      <c r="AM67">
        <v>0</v>
      </c>
      <c r="AN67" t="s">
        <v>49</v>
      </c>
      <c r="AO67">
        <v>0</v>
      </c>
      <c r="AP67">
        <v>2</v>
      </c>
      <c r="AQ67">
        <v>0</v>
      </c>
      <c r="AR67">
        <v>0</v>
      </c>
      <c r="AS67">
        <v>0</v>
      </c>
      <c r="AT67">
        <v>0</v>
      </c>
    </row>
    <row r="68" spans="1:46" x14ac:dyDescent="0.2">
      <c r="A68" t="s">
        <v>133</v>
      </c>
      <c r="B68" s="2">
        <f t="shared" si="1"/>
        <v>45931</v>
      </c>
      <c r="C68" t="s">
        <v>45</v>
      </c>
      <c r="D68" s="1">
        <v>1.4988425925925926E-2</v>
      </c>
      <c r="E68">
        <v>14</v>
      </c>
      <c r="F68" t="s">
        <v>77</v>
      </c>
      <c r="G68" t="s">
        <v>110</v>
      </c>
      <c r="H68">
        <f>VLOOKUP(G68, cohort!A$2:B$21, 2, FALSE)</f>
        <v>2</v>
      </c>
      <c r="I68" t="s">
        <v>48</v>
      </c>
      <c r="J68">
        <v>0.55555555555555503</v>
      </c>
      <c r="K68">
        <v>1</v>
      </c>
      <c r="L68">
        <v>0.66666666666666596</v>
      </c>
      <c r="M68">
        <v>0.33333333333333298</v>
      </c>
      <c r="N68">
        <v>0.27272727272727199</v>
      </c>
      <c r="O68">
        <v>0</v>
      </c>
      <c r="P68">
        <v>0</v>
      </c>
      <c r="Q68">
        <v>0</v>
      </c>
      <c r="R68">
        <v>0</v>
      </c>
      <c r="S68">
        <v>0</v>
      </c>
      <c r="T68">
        <v>0</v>
      </c>
      <c r="U68">
        <v>0</v>
      </c>
      <c r="V68">
        <v>0</v>
      </c>
      <c r="W68">
        <v>1</v>
      </c>
      <c r="X68">
        <v>1</v>
      </c>
      <c r="Y68">
        <v>0</v>
      </c>
      <c r="Z68">
        <v>0</v>
      </c>
      <c r="AA68">
        <v>0</v>
      </c>
      <c r="AB68">
        <v>0</v>
      </c>
      <c r="AC68">
        <v>1</v>
      </c>
      <c r="AD68">
        <v>0</v>
      </c>
      <c r="AE68">
        <v>0</v>
      </c>
      <c r="AF68">
        <v>0</v>
      </c>
      <c r="AG68">
        <v>0</v>
      </c>
      <c r="AH68">
        <v>0</v>
      </c>
      <c r="AI68">
        <v>0</v>
      </c>
      <c r="AJ68">
        <v>0</v>
      </c>
      <c r="AK68">
        <v>0</v>
      </c>
      <c r="AL68">
        <v>0</v>
      </c>
      <c r="AM68">
        <v>0</v>
      </c>
      <c r="AN68" t="s">
        <v>49</v>
      </c>
      <c r="AO68">
        <v>1</v>
      </c>
      <c r="AP68">
        <v>2</v>
      </c>
      <c r="AQ68">
        <v>1</v>
      </c>
      <c r="AR68">
        <v>1</v>
      </c>
      <c r="AS68">
        <v>2</v>
      </c>
      <c r="AT68">
        <v>1</v>
      </c>
    </row>
    <row r="69" spans="1:46" x14ac:dyDescent="0.2">
      <c r="A69" t="s">
        <v>133</v>
      </c>
      <c r="B69" s="2">
        <f t="shared" si="1"/>
        <v>45931</v>
      </c>
      <c r="C69" t="s">
        <v>45</v>
      </c>
      <c r="D69" s="1">
        <v>1.2777777777777779E-2</v>
      </c>
      <c r="E69">
        <v>16</v>
      </c>
      <c r="F69" t="s">
        <v>73</v>
      </c>
      <c r="G69" t="s">
        <v>107</v>
      </c>
      <c r="H69">
        <f>VLOOKUP(G69, cohort!A$2:B$21, 2, FALSE)</f>
        <v>2</v>
      </c>
      <c r="I69" t="s">
        <v>48</v>
      </c>
      <c r="J69">
        <v>0.77777777777777701</v>
      </c>
      <c r="K69">
        <v>1</v>
      </c>
      <c r="L69">
        <v>0.66666666666666596</v>
      </c>
      <c r="M69">
        <v>0.46666666666666601</v>
      </c>
      <c r="N69">
        <v>0.27272727272727199</v>
      </c>
      <c r="O69">
        <v>0</v>
      </c>
      <c r="P69">
        <v>0</v>
      </c>
      <c r="Q69">
        <v>0</v>
      </c>
      <c r="R69">
        <v>1</v>
      </c>
      <c r="S69">
        <v>0</v>
      </c>
      <c r="T69">
        <v>0</v>
      </c>
      <c r="U69">
        <v>0</v>
      </c>
      <c r="V69">
        <v>0</v>
      </c>
      <c r="W69">
        <v>0</v>
      </c>
      <c r="X69">
        <v>0</v>
      </c>
      <c r="Y69">
        <v>0</v>
      </c>
      <c r="Z69">
        <v>0</v>
      </c>
      <c r="AA69">
        <v>0</v>
      </c>
      <c r="AB69">
        <v>1</v>
      </c>
      <c r="AC69">
        <v>0</v>
      </c>
      <c r="AD69">
        <v>0</v>
      </c>
      <c r="AE69">
        <v>0</v>
      </c>
      <c r="AF69">
        <v>0</v>
      </c>
      <c r="AG69">
        <v>0</v>
      </c>
      <c r="AH69">
        <v>0</v>
      </c>
      <c r="AI69">
        <v>0</v>
      </c>
      <c r="AJ69">
        <v>0</v>
      </c>
      <c r="AK69">
        <v>0</v>
      </c>
      <c r="AL69">
        <v>0</v>
      </c>
      <c r="AM69">
        <v>0</v>
      </c>
      <c r="AN69" t="s">
        <v>49</v>
      </c>
      <c r="AO69">
        <v>0</v>
      </c>
      <c r="AP69">
        <v>1</v>
      </c>
      <c r="AQ69">
        <v>0</v>
      </c>
      <c r="AR69">
        <v>0</v>
      </c>
      <c r="AS69">
        <v>1</v>
      </c>
      <c r="AT69">
        <v>0</v>
      </c>
    </row>
    <row r="70" spans="1:46" x14ac:dyDescent="0.2">
      <c r="A70" t="s">
        <v>134</v>
      </c>
      <c r="B70" s="2">
        <f t="shared" si="1"/>
        <v>45931</v>
      </c>
      <c r="C70" t="s">
        <v>61</v>
      </c>
      <c r="D70" s="1">
        <v>1.1064814814814816E-2</v>
      </c>
      <c r="E70">
        <v>29</v>
      </c>
      <c r="F70" t="s">
        <v>106</v>
      </c>
      <c r="G70" t="s">
        <v>135</v>
      </c>
      <c r="H70">
        <f>VLOOKUP(G70, cohort!A$2:B$21, 2, FALSE)</f>
        <v>3</v>
      </c>
      <c r="I70" t="s">
        <v>48</v>
      </c>
      <c r="J70">
        <v>0.22222222222222199</v>
      </c>
      <c r="K70">
        <v>0.5</v>
      </c>
      <c r="L70">
        <v>0.66666666666666596</v>
      </c>
      <c r="M70">
        <v>0.266666666666666</v>
      </c>
      <c r="N70">
        <v>0</v>
      </c>
      <c r="O70">
        <v>0</v>
      </c>
      <c r="P70">
        <v>0</v>
      </c>
      <c r="Q70">
        <v>1</v>
      </c>
      <c r="R70">
        <v>0</v>
      </c>
      <c r="S70">
        <v>0</v>
      </c>
      <c r="T70">
        <v>0</v>
      </c>
      <c r="U70">
        <v>0</v>
      </c>
      <c r="V70">
        <v>0</v>
      </c>
      <c r="W70">
        <v>0</v>
      </c>
      <c r="X70">
        <v>0</v>
      </c>
      <c r="Y70">
        <v>0</v>
      </c>
      <c r="Z70">
        <v>0</v>
      </c>
      <c r="AA70">
        <v>0</v>
      </c>
      <c r="AB70">
        <v>0</v>
      </c>
      <c r="AC70">
        <v>0</v>
      </c>
      <c r="AD70">
        <v>0</v>
      </c>
      <c r="AE70">
        <v>0</v>
      </c>
      <c r="AF70">
        <v>0</v>
      </c>
      <c r="AG70">
        <v>0</v>
      </c>
      <c r="AH70">
        <v>0</v>
      </c>
      <c r="AI70">
        <v>0</v>
      </c>
      <c r="AJ70">
        <v>0</v>
      </c>
      <c r="AK70">
        <v>1</v>
      </c>
      <c r="AL70">
        <v>0</v>
      </c>
      <c r="AM70">
        <v>0</v>
      </c>
      <c r="AN70" t="s">
        <v>49</v>
      </c>
      <c r="AO70">
        <v>0</v>
      </c>
      <c r="AP70">
        <v>1</v>
      </c>
      <c r="AQ70">
        <v>2</v>
      </c>
      <c r="AR70">
        <v>0</v>
      </c>
      <c r="AS70">
        <v>0</v>
      </c>
      <c r="AT70">
        <v>0</v>
      </c>
    </row>
    <row r="71" spans="1:46" x14ac:dyDescent="0.2">
      <c r="A71" t="s">
        <v>136</v>
      </c>
      <c r="B71" s="2">
        <f t="shared" si="1"/>
        <v>45931</v>
      </c>
      <c r="C71" t="s">
        <v>92</v>
      </c>
      <c r="D71" s="1">
        <v>5.5671296296296293E-3</v>
      </c>
      <c r="E71">
        <v>29</v>
      </c>
      <c r="F71" t="s">
        <v>106</v>
      </c>
      <c r="G71" t="s">
        <v>137</v>
      </c>
      <c r="H71">
        <f>VLOOKUP(G71, cohort!A$2:B$21, 2, FALSE)</f>
        <v>3</v>
      </c>
      <c r="I71" t="s">
        <v>48</v>
      </c>
      <c r="J71">
        <v>0.55555555555555503</v>
      </c>
      <c r="K71">
        <v>0.5</v>
      </c>
      <c r="L71">
        <v>0.5</v>
      </c>
      <c r="M71">
        <v>0.33333333333333298</v>
      </c>
      <c r="N71">
        <v>0.18181818181818099</v>
      </c>
      <c r="O71">
        <v>0</v>
      </c>
      <c r="P71">
        <v>0</v>
      </c>
      <c r="Q71">
        <v>1</v>
      </c>
      <c r="R71">
        <v>0</v>
      </c>
      <c r="S71">
        <v>0</v>
      </c>
      <c r="T71">
        <v>0</v>
      </c>
      <c r="U71">
        <v>0</v>
      </c>
      <c r="V71">
        <v>0</v>
      </c>
      <c r="W71">
        <v>0</v>
      </c>
      <c r="X71">
        <v>0</v>
      </c>
      <c r="Y71">
        <v>0</v>
      </c>
      <c r="Z71">
        <v>0</v>
      </c>
      <c r="AA71">
        <v>0</v>
      </c>
      <c r="AB71">
        <v>0</v>
      </c>
      <c r="AC71">
        <v>0</v>
      </c>
      <c r="AD71">
        <v>0</v>
      </c>
      <c r="AE71">
        <v>0</v>
      </c>
      <c r="AF71">
        <v>0</v>
      </c>
      <c r="AG71">
        <v>0</v>
      </c>
      <c r="AH71">
        <v>0</v>
      </c>
      <c r="AI71">
        <v>0</v>
      </c>
      <c r="AJ71">
        <v>0</v>
      </c>
      <c r="AK71">
        <v>1</v>
      </c>
      <c r="AL71">
        <v>0</v>
      </c>
      <c r="AM71">
        <v>0</v>
      </c>
      <c r="AN71" t="s">
        <v>49</v>
      </c>
      <c r="AO71">
        <v>0</v>
      </c>
      <c r="AP71">
        <v>1</v>
      </c>
      <c r="AQ71">
        <v>2</v>
      </c>
      <c r="AR71">
        <v>0</v>
      </c>
      <c r="AS71">
        <v>0</v>
      </c>
      <c r="AT71">
        <v>0</v>
      </c>
    </row>
    <row r="72" spans="1:46" x14ac:dyDescent="0.2">
      <c r="A72" t="s">
        <v>136</v>
      </c>
      <c r="B72" s="2">
        <f t="shared" si="1"/>
        <v>45931</v>
      </c>
      <c r="C72" t="s">
        <v>92</v>
      </c>
      <c r="D72" s="1">
        <v>1.3356481481481481E-2</v>
      </c>
      <c r="E72">
        <v>32</v>
      </c>
      <c r="F72" t="s">
        <v>123</v>
      </c>
      <c r="G72" t="s">
        <v>131</v>
      </c>
      <c r="H72">
        <f>VLOOKUP(G72, cohort!A$2:B$21, 2, FALSE)</f>
        <v>2</v>
      </c>
      <c r="I72" t="s">
        <v>48</v>
      </c>
      <c r="J72">
        <v>0.55555555555555503</v>
      </c>
      <c r="K72">
        <v>0.5</v>
      </c>
      <c r="L72">
        <v>0.5</v>
      </c>
      <c r="M72">
        <v>0.4</v>
      </c>
      <c r="N72">
        <v>9.0909090909090898E-2</v>
      </c>
      <c r="O72">
        <v>0</v>
      </c>
      <c r="P72">
        <v>0</v>
      </c>
      <c r="Q72">
        <v>0</v>
      </c>
      <c r="R72">
        <v>0</v>
      </c>
      <c r="S72">
        <v>0</v>
      </c>
      <c r="T72">
        <v>0</v>
      </c>
      <c r="U72">
        <v>1</v>
      </c>
      <c r="V72">
        <v>1</v>
      </c>
      <c r="W72">
        <v>0</v>
      </c>
      <c r="X72">
        <v>0</v>
      </c>
      <c r="Y72">
        <v>0</v>
      </c>
      <c r="Z72">
        <v>0</v>
      </c>
      <c r="AA72">
        <v>0</v>
      </c>
      <c r="AB72">
        <v>0</v>
      </c>
      <c r="AC72">
        <v>0</v>
      </c>
      <c r="AD72">
        <v>0</v>
      </c>
      <c r="AE72">
        <v>0</v>
      </c>
      <c r="AF72">
        <v>0</v>
      </c>
      <c r="AG72">
        <v>0</v>
      </c>
      <c r="AH72">
        <v>0</v>
      </c>
      <c r="AI72">
        <v>0</v>
      </c>
      <c r="AJ72">
        <v>0</v>
      </c>
      <c r="AK72">
        <v>0</v>
      </c>
      <c r="AL72">
        <v>0</v>
      </c>
      <c r="AM72">
        <v>0</v>
      </c>
      <c r="AN72" t="s">
        <v>49</v>
      </c>
      <c r="AO72">
        <v>0</v>
      </c>
      <c r="AP72">
        <v>2</v>
      </c>
      <c r="AQ72">
        <v>0</v>
      </c>
      <c r="AR72">
        <v>0</v>
      </c>
      <c r="AS72">
        <v>0</v>
      </c>
      <c r="AT72">
        <v>0</v>
      </c>
    </row>
    <row r="73" spans="1:46" x14ac:dyDescent="0.2">
      <c r="A73" t="s">
        <v>138</v>
      </c>
      <c r="B73" s="2">
        <f t="shared" si="1"/>
        <v>45931</v>
      </c>
      <c r="C73" t="s">
        <v>45</v>
      </c>
      <c r="D73" s="1">
        <v>1.40625E-2</v>
      </c>
      <c r="E73">
        <v>16</v>
      </c>
      <c r="F73" t="s">
        <v>73</v>
      </c>
      <c r="G73" t="s">
        <v>110</v>
      </c>
      <c r="H73">
        <f>VLOOKUP(G73, cohort!A$2:B$21, 2, FALSE)</f>
        <v>2</v>
      </c>
      <c r="I73" t="s">
        <v>48</v>
      </c>
      <c r="J73">
        <v>0.88888888888888795</v>
      </c>
      <c r="K73">
        <v>1</v>
      </c>
      <c r="L73">
        <v>0.66666666666666596</v>
      </c>
      <c r="M73">
        <v>0.73333333333333295</v>
      </c>
      <c r="N73">
        <v>0.63636363636363602</v>
      </c>
      <c r="O73">
        <v>0</v>
      </c>
      <c r="P73">
        <v>0</v>
      </c>
      <c r="Q73">
        <v>0</v>
      </c>
      <c r="R73">
        <v>1</v>
      </c>
      <c r="S73">
        <v>0</v>
      </c>
      <c r="T73">
        <v>0</v>
      </c>
      <c r="U73">
        <v>0</v>
      </c>
      <c r="V73">
        <v>0</v>
      </c>
      <c r="W73">
        <v>0</v>
      </c>
      <c r="X73">
        <v>0</v>
      </c>
      <c r="Y73">
        <v>0</v>
      </c>
      <c r="Z73">
        <v>0</v>
      </c>
      <c r="AA73">
        <v>0</v>
      </c>
      <c r="AB73">
        <v>1</v>
      </c>
      <c r="AC73">
        <v>0</v>
      </c>
      <c r="AD73">
        <v>0</v>
      </c>
      <c r="AE73">
        <v>0</v>
      </c>
      <c r="AF73">
        <v>0</v>
      </c>
      <c r="AG73">
        <v>0</v>
      </c>
      <c r="AH73">
        <v>0</v>
      </c>
      <c r="AI73">
        <v>0</v>
      </c>
      <c r="AJ73">
        <v>0</v>
      </c>
      <c r="AK73">
        <v>0</v>
      </c>
      <c r="AL73">
        <v>0</v>
      </c>
      <c r="AM73">
        <v>0</v>
      </c>
      <c r="AN73" t="s">
        <v>49</v>
      </c>
      <c r="AO73">
        <v>0</v>
      </c>
      <c r="AP73">
        <v>1</v>
      </c>
      <c r="AQ73">
        <v>0</v>
      </c>
      <c r="AR73">
        <v>0</v>
      </c>
      <c r="AS73">
        <v>1</v>
      </c>
      <c r="AT73">
        <v>0</v>
      </c>
    </row>
    <row r="74" spans="1:46" x14ac:dyDescent="0.2">
      <c r="A74" t="s">
        <v>138</v>
      </c>
      <c r="B74" s="2">
        <f t="shared" si="1"/>
        <v>45931</v>
      </c>
      <c r="C74" t="s">
        <v>45</v>
      </c>
      <c r="D74" s="1">
        <v>1.1203703703703704E-2</v>
      </c>
      <c r="E74">
        <v>7</v>
      </c>
      <c r="F74" t="s">
        <v>70</v>
      </c>
      <c r="G74" t="s">
        <v>114</v>
      </c>
      <c r="H74">
        <f>VLOOKUP(G74, cohort!A$2:B$21, 2, FALSE)</f>
        <v>2</v>
      </c>
      <c r="I74" t="s">
        <v>48</v>
      </c>
      <c r="J74">
        <v>0.44444444444444398</v>
      </c>
      <c r="K74">
        <v>0.5</v>
      </c>
      <c r="L74">
        <v>0.33333333333333298</v>
      </c>
      <c r="M74">
        <v>0.133333333333333</v>
      </c>
      <c r="N74">
        <v>9.0909090909090898E-2</v>
      </c>
      <c r="O74">
        <v>0</v>
      </c>
      <c r="P74">
        <v>0</v>
      </c>
      <c r="Q74">
        <v>0</v>
      </c>
      <c r="R74">
        <v>0</v>
      </c>
      <c r="S74">
        <v>0</v>
      </c>
      <c r="T74">
        <v>0</v>
      </c>
      <c r="U74">
        <v>1</v>
      </c>
      <c r="V74">
        <v>0</v>
      </c>
      <c r="W74">
        <v>1</v>
      </c>
      <c r="X74">
        <v>0</v>
      </c>
      <c r="Y74">
        <v>0</v>
      </c>
      <c r="Z74">
        <v>0</v>
      </c>
      <c r="AA74">
        <v>0</v>
      </c>
      <c r="AB74">
        <v>0</v>
      </c>
      <c r="AC74">
        <v>0</v>
      </c>
      <c r="AD74">
        <v>0</v>
      </c>
      <c r="AE74">
        <v>0</v>
      </c>
      <c r="AF74">
        <v>0</v>
      </c>
      <c r="AG74">
        <v>0</v>
      </c>
      <c r="AH74">
        <v>0</v>
      </c>
      <c r="AI74">
        <v>0</v>
      </c>
      <c r="AJ74">
        <v>1</v>
      </c>
      <c r="AK74">
        <v>0</v>
      </c>
      <c r="AL74">
        <v>0</v>
      </c>
      <c r="AM74">
        <v>0</v>
      </c>
      <c r="AN74" t="s">
        <v>49</v>
      </c>
      <c r="AO74">
        <v>0</v>
      </c>
      <c r="AP74">
        <v>2</v>
      </c>
      <c r="AQ74">
        <v>0</v>
      </c>
      <c r="AR74">
        <v>1</v>
      </c>
      <c r="AS74">
        <v>0</v>
      </c>
      <c r="AT74">
        <v>0</v>
      </c>
    </row>
    <row r="75" spans="1:46" x14ac:dyDescent="0.2">
      <c r="A75" t="s">
        <v>139</v>
      </c>
      <c r="B75" s="2">
        <f t="shared" si="1"/>
        <v>45931</v>
      </c>
      <c r="C75" t="s">
        <v>52</v>
      </c>
      <c r="D75" s="1">
        <v>1.0173611111111111E-2</v>
      </c>
      <c r="E75">
        <v>29</v>
      </c>
      <c r="F75" t="s">
        <v>106</v>
      </c>
      <c r="G75" t="s">
        <v>140</v>
      </c>
      <c r="H75">
        <f>VLOOKUP(G75, cohort!A$2:B$21, 2, FALSE)</f>
        <v>3</v>
      </c>
      <c r="I75" t="s">
        <v>48</v>
      </c>
      <c r="J75">
        <v>0.55555555555555503</v>
      </c>
      <c r="K75">
        <v>1</v>
      </c>
      <c r="L75">
        <v>0.66666666666666596</v>
      </c>
      <c r="M75">
        <v>0.6</v>
      </c>
      <c r="N75">
        <v>0.36363636363636298</v>
      </c>
      <c r="O75">
        <v>0</v>
      </c>
      <c r="P75">
        <v>0</v>
      </c>
      <c r="Q75">
        <v>1</v>
      </c>
      <c r="R75">
        <v>0</v>
      </c>
      <c r="S75">
        <v>0</v>
      </c>
      <c r="T75">
        <v>0</v>
      </c>
      <c r="U75">
        <v>0</v>
      </c>
      <c r="V75">
        <v>0</v>
      </c>
      <c r="W75">
        <v>0</v>
      </c>
      <c r="X75">
        <v>0</v>
      </c>
      <c r="Y75">
        <v>0</v>
      </c>
      <c r="Z75">
        <v>0</v>
      </c>
      <c r="AA75">
        <v>0</v>
      </c>
      <c r="AB75">
        <v>0</v>
      </c>
      <c r="AC75">
        <v>0</v>
      </c>
      <c r="AD75">
        <v>0</v>
      </c>
      <c r="AE75">
        <v>0</v>
      </c>
      <c r="AF75">
        <v>0</v>
      </c>
      <c r="AG75">
        <v>0</v>
      </c>
      <c r="AH75">
        <v>0</v>
      </c>
      <c r="AI75">
        <v>0</v>
      </c>
      <c r="AJ75">
        <v>0</v>
      </c>
      <c r="AK75">
        <v>1</v>
      </c>
      <c r="AL75">
        <v>0</v>
      </c>
      <c r="AM75">
        <v>0</v>
      </c>
      <c r="AN75" t="s">
        <v>49</v>
      </c>
      <c r="AO75">
        <v>0</v>
      </c>
      <c r="AP75">
        <v>1</v>
      </c>
      <c r="AQ75">
        <v>2</v>
      </c>
      <c r="AR75">
        <v>0</v>
      </c>
      <c r="AS75">
        <v>0</v>
      </c>
      <c r="AT75">
        <v>0</v>
      </c>
    </row>
    <row r="76" spans="1:46" x14ac:dyDescent="0.2">
      <c r="A76" t="s">
        <v>141</v>
      </c>
      <c r="B76" s="2">
        <f t="shared" si="1"/>
        <v>45931</v>
      </c>
      <c r="C76" t="s">
        <v>61</v>
      </c>
      <c r="D76" s="1">
        <v>1.3900462962962963E-2</v>
      </c>
      <c r="E76">
        <v>32</v>
      </c>
      <c r="F76" t="s">
        <v>123</v>
      </c>
      <c r="G76" t="s">
        <v>135</v>
      </c>
      <c r="H76">
        <f>VLOOKUP(G76, cohort!A$2:B$21, 2, FALSE)</f>
        <v>3</v>
      </c>
      <c r="I76" t="s">
        <v>50</v>
      </c>
      <c r="J76">
        <v>0.55555555555555503</v>
      </c>
      <c r="K76">
        <v>0</v>
      </c>
      <c r="L76">
        <v>0</v>
      </c>
      <c r="M76">
        <v>0.33333333333333298</v>
      </c>
      <c r="N76">
        <v>0.18181818181818099</v>
      </c>
      <c r="O76">
        <v>0</v>
      </c>
      <c r="P76">
        <v>0</v>
      </c>
      <c r="Q76">
        <v>0</v>
      </c>
      <c r="R76">
        <v>0</v>
      </c>
      <c r="S76">
        <v>0</v>
      </c>
      <c r="T76">
        <v>0</v>
      </c>
      <c r="U76">
        <v>1</v>
      </c>
      <c r="V76">
        <v>1</v>
      </c>
      <c r="W76">
        <v>0</v>
      </c>
      <c r="X76">
        <v>0</v>
      </c>
      <c r="Y76">
        <v>0</v>
      </c>
      <c r="Z76">
        <v>0</v>
      </c>
      <c r="AA76">
        <v>0</v>
      </c>
      <c r="AB76">
        <v>0</v>
      </c>
      <c r="AC76">
        <v>0</v>
      </c>
      <c r="AD76">
        <v>0</v>
      </c>
      <c r="AE76">
        <v>0</v>
      </c>
      <c r="AF76">
        <v>0</v>
      </c>
      <c r="AG76">
        <v>0</v>
      </c>
      <c r="AH76">
        <v>0</v>
      </c>
      <c r="AI76">
        <v>0</v>
      </c>
      <c r="AJ76">
        <v>0</v>
      </c>
      <c r="AK76">
        <v>0</v>
      </c>
      <c r="AL76">
        <v>0</v>
      </c>
      <c r="AM76">
        <v>0</v>
      </c>
      <c r="AN76" t="s">
        <v>49</v>
      </c>
      <c r="AO76">
        <v>0</v>
      </c>
      <c r="AP76">
        <v>2</v>
      </c>
      <c r="AQ76">
        <v>0</v>
      </c>
      <c r="AR76">
        <v>0</v>
      </c>
      <c r="AS76">
        <v>0</v>
      </c>
      <c r="AT76">
        <v>0</v>
      </c>
    </row>
    <row r="77" spans="1:46" x14ac:dyDescent="0.2">
      <c r="A77" t="s">
        <v>142</v>
      </c>
      <c r="B77" s="2">
        <f t="shared" si="1"/>
        <v>45962</v>
      </c>
      <c r="C77" t="s">
        <v>92</v>
      </c>
      <c r="D77" s="1">
        <v>1.2511574074074074E-2</v>
      </c>
      <c r="E77">
        <v>29</v>
      </c>
      <c r="F77" t="s">
        <v>106</v>
      </c>
      <c r="G77" t="s">
        <v>143</v>
      </c>
      <c r="H77">
        <f>VLOOKUP(G77, cohort!A$2:B$21, 2, FALSE)</f>
        <v>2</v>
      </c>
      <c r="I77" t="s">
        <v>48</v>
      </c>
      <c r="J77">
        <v>0.55555555555555503</v>
      </c>
      <c r="K77">
        <v>1</v>
      </c>
      <c r="L77">
        <v>0.83333333333333304</v>
      </c>
      <c r="M77">
        <v>0.46666666666666601</v>
      </c>
      <c r="N77">
        <v>0.18181818181818099</v>
      </c>
      <c r="O77">
        <v>0</v>
      </c>
      <c r="P77">
        <v>0</v>
      </c>
      <c r="Q77">
        <v>1</v>
      </c>
      <c r="R77">
        <v>0</v>
      </c>
      <c r="S77">
        <v>0</v>
      </c>
      <c r="T77">
        <v>0</v>
      </c>
      <c r="U77">
        <v>0</v>
      </c>
      <c r="V77">
        <v>0</v>
      </c>
      <c r="W77">
        <v>0</v>
      </c>
      <c r="X77">
        <v>0</v>
      </c>
      <c r="Y77">
        <v>0</v>
      </c>
      <c r="Z77">
        <v>0</v>
      </c>
      <c r="AA77">
        <v>0</v>
      </c>
      <c r="AB77">
        <v>0</v>
      </c>
      <c r="AC77">
        <v>0</v>
      </c>
      <c r="AD77">
        <v>0</v>
      </c>
      <c r="AE77">
        <v>0</v>
      </c>
      <c r="AF77">
        <v>0</v>
      </c>
      <c r="AG77">
        <v>0</v>
      </c>
      <c r="AH77">
        <v>0</v>
      </c>
      <c r="AI77">
        <v>0</v>
      </c>
      <c r="AJ77">
        <v>0</v>
      </c>
      <c r="AK77">
        <v>1</v>
      </c>
      <c r="AL77">
        <v>0</v>
      </c>
      <c r="AM77">
        <v>0</v>
      </c>
      <c r="AN77" t="s">
        <v>49</v>
      </c>
      <c r="AO77">
        <v>0</v>
      </c>
      <c r="AP77">
        <v>1</v>
      </c>
      <c r="AQ77">
        <v>2</v>
      </c>
      <c r="AR77">
        <v>0</v>
      </c>
      <c r="AS77">
        <v>0</v>
      </c>
      <c r="AT77">
        <v>0</v>
      </c>
    </row>
    <row r="78" spans="1:46" x14ac:dyDescent="0.2">
      <c r="A78" t="s">
        <v>142</v>
      </c>
      <c r="B78" s="2">
        <f t="shared" si="1"/>
        <v>45962</v>
      </c>
      <c r="C78" t="s">
        <v>92</v>
      </c>
      <c r="D78" s="1">
        <v>7.2106481481481483E-3</v>
      </c>
      <c r="E78">
        <v>31</v>
      </c>
      <c r="F78" t="s">
        <v>119</v>
      </c>
      <c r="G78" t="s">
        <v>137</v>
      </c>
      <c r="H78">
        <f>VLOOKUP(G78, cohort!A$2:B$21, 2, FALSE)</f>
        <v>3</v>
      </c>
      <c r="I78" t="s">
        <v>48</v>
      </c>
      <c r="J78">
        <v>0.33333333333333298</v>
      </c>
      <c r="K78">
        <v>0.5</v>
      </c>
      <c r="L78">
        <v>0.5</v>
      </c>
      <c r="M78">
        <v>0.2</v>
      </c>
      <c r="N78">
        <v>0</v>
      </c>
      <c r="O78">
        <v>0</v>
      </c>
      <c r="P78">
        <v>0</v>
      </c>
      <c r="Q78">
        <v>1</v>
      </c>
      <c r="R78">
        <v>0</v>
      </c>
      <c r="S78">
        <v>0</v>
      </c>
      <c r="T78">
        <v>0</v>
      </c>
      <c r="U78">
        <v>0</v>
      </c>
      <c r="V78">
        <v>0</v>
      </c>
      <c r="W78">
        <v>0</v>
      </c>
      <c r="X78">
        <v>0</v>
      </c>
      <c r="Y78">
        <v>0</v>
      </c>
      <c r="Z78">
        <v>1</v>
      </c>
      <c r="AA78">
        <v>0</v>
      </c>
      <c r="AB78">
        <v>0</v>
      </c>
      <c r="AC78">
        <v>0</v>
      </c>
      <c r="AD78">
        <v>0</v>
      </c>
      <c r="AE78">
        <v>0</v>
      </c>
      <c r="AF78">
        <v>0</v>
      </c>
      <c r="AG78">
        <v>0</v>
      </c>
      <c r="AH78">
        <v>0</v>
      </c>
      <c r="AI78">
        <v>0</v>
      </c>
      <c r="AJ78">
        <v>0</v>
      </c>
      <c r="AK78">
        <v>0</v>
      </c>
      <c r="AL78">
        <v>0</v>
      </c>
      <c r="AM78">
        <v>0</v>
      </c>
      <c r="AN78" t="s">
        <v>49</v>
      </c>
      <c r="AO78">
        <v>0</v>
      </c>
      <c r="AP78">
        <v>1</v>
      </c>
      <c r="AQ78">
        <v>1</v>
      </c>
      <c r="AR78">
        <v>0</v>
      </c>
      <c r="AS78">
        <v>0</v>
      </c>
      <c r="AT78">
        <v>0</v>
      </c>
    </row>
    <row r="79" spans="1:46" x14ac:dyDescent="0.2">
      <c r="A79" t="s">
        <v>144</v>
      </c>
      <c r="B79" s="2">
        <f t="shared" si="1"/>
        <v>45962</v>
      </c>
      <c r="C79" t="s">
        <v>45</v>
      </c>
      <c r="D79" s="1">
        <v>9.5023148148148141E-3</v>
      </c>
      <c r="E79">
        <v>7</v>
      </c>
      <c r="F79" t="s">
        <v>70</v>
      </c>
      <c r="G79" t="s">
        <v>118</v>
      </c>
      <c r="H79" t="str">
        <f>VLOOKUP(G79, cohort!A$2:B$21, 2, FALSE)</f>
        <v>x</v>
      </c>
      <c r="I79" t="s">
        <v>48</v>
      </c>
      <c r="J79">
        <v>0.44444444444444398</v>
      </c>
      <c r="K79">
        <v>0.5</v>
      </c>
      <c r="L79">
        <v>0.33333333333333298</v>
      </c>
      <c r="M79">
        <v>0.4</v>
      </c>
      <c r="N79">
        <v>0.27272727272727199</v>
      </c>
      <c r="O79">
        <v>0</v>
      </c>
      <c r="P79">
        <v>0</v>
      </c>
      <c r="Q79">
        <v>0</v>
      </c>
      <c r="R79">
        <v>0</v>
      </c>
      <c r="S79">
        <v>0</v>
      </c>
      <c r="T79">
        <v>0</v>
      </c>
      <c r="U79">
        <v>1</v>
      </c>
      <c r="V79">
        <v>0</v>
      </c>
      <c r="W79">
        <v>1</v>
      </c>
      <c r="X79">
        <v>0</v>
      </c>
      <c r="Y79">
        <v>0</v>
      </c>
      <c r="Z79">
        <v>0</v>
      </c>
      <c r="AA79">
        <v>0</v>
      </c>
      <c r="AB79">
        <v>0</v>
      </c>
      <c r="AC79">
        <v>0</v>
      </c>
      <c r="AD79">
        <v>0</v>
      </c>
      <c r="AE79">
        <v>0</v>
      </c>
      <c r="AF79">
        <v>0</v>
      </c>
      <c r="AG79">
        <v>0</v>
      </c>
      <c r="AH79">
        <v>0</v>
      </c>
      <c r="AI79">
        <v>0</v>
      </c>
      <c r="AJ79">
        <v>1</v>
      </c>
      <c r="AK79">
        <v>0</v>
      </c>
      <c r="AL79">
        <v>0</v>
      </c>
      <c r="AM79">
        <v>0</v>
      </c>
      <c r="AN79" t="s">
        <v>49</v>
      </c>
      <c r="AO79">
        <v>0</v>
      </c>
      <c r="AP79">
        <v>2</v>
      </c>
      <c r="AQ79">
        <v>0</v>
      </c>
      <c r="AR79">
        <v>1</v>
      </c>
      <c r="AS79">
        <v>0</v>
      </c>
      <c r="AT79">
        <v>0</v>
      </c>
    </row>
    <row r="80" spans="1:46" x14ac:dyDescent="0.2">
      <c r="A80" t="s">
        <v>144</v>
      </c>
      <c r="B80" s="2">
        <f t="shared" si="1"/>
        <v>45962</v>
      </c>
      <c r="C80" t="s">
        <v>45</v>
      </c>
      <c r="D80" s="1">
        <v>1.2881944444444444E-2</v>
      </c>
      <c r="E80">
        <v>4</v>
      </c>
      <c r="F80" t="s">
        <v>87</v>
      </c>
      <c r="G80" t="s">
        <v>107</v>
      </c>
      <c r="H80">
        <f>VLOOKUP(G80, cohort!A$2:B$21, 2, FALSE)</f>
        <v>2</v>
      </c>
      <c r="I80" t="s">
        <v>48</v>
      </c>
      <c r="J80">
        <v>0.66666666666666596</v>
      </c>
      <c r="K80">
        <v>1</v>
      </c>
      <c r="L80">
        <v>0.66666666666666596</v>
      </c>
      <c r="M80">
        <v>0.46666666666666601</v>
      </c>
      <c r="N80">
        <v>0.36363636363636298</v>
      </c>
      <c r="O80">
        <v>1</v>
      </c>
      <c r="P80">
        <v>0</v>
      </c>
      <c r="Q80">
        <v>0</v>
      </c>
      <c r="R80">
        <v>0</v>
      </c>
      <c r="S80">
        <v>0</v>
      </c>
      <c r="T80">
        <v>0</v>
      </c>
      <c r="U80">
        <v>0</v>
      </c>
      <c r="V80">
        <v>0</v>
      </c>
      <c r="W80">
        <v>0</v>
      </c>
      <c r="X80">
        <v>0</v>
      </c>
      <c r="Y80">
        <v>0</v>
      </c>
      <c r="Z80">
        <v>0</v>
      </c>
      <c r="AA80">
        <v>0</v>
      </c>
      <c r="AB80">
        <v>0</v>
      </c>
      <c r="AC80">
        <v>1</v>
      </c>
      <c r="AD80">
        <v>0</v>
      </c>
      <c r="AE80">
        <v>1</v>
      </c>
      <c r="AF80">
        <v>0</v>
      </c>
      <c r="AG80">
        <v>1</v>
      </c>
      <c r="AH80">
        <v>0</v>
      </c>
      <c r="AI80">
        <v>0</v>
      </c>
      <c r="AJ80">
        <v>0</v>
      </c>
      <c r="AK80">
        <v>0</v>
      </c>
      <c r="AL80">
        <v>0</v>
      </c>
      <c r="AM80">
        <v>0</v>
      </c>
      <c r="AN80" t="s">
        <v>49</v>
      </c>
      <c r="AO80">
        <v>1</v>
      </c>
      <c r="AP80">
        <v>4</v>
      </c>
      <c r="AQ80">
        <v>1</v>
      </c>
      <c r="AR80">
        <v>1</v>
      </c>
      <c r="AS80">
        <v>1</v>
      </c>
      <c r="AT80">
        <v>1</v>
      </c>
    </row>
    <row r="81" spans="1:46" x14ac:dyDescent="0.2">
      <c r="A81" t="s">
        <v>144</v>
      </c>
      <c r="B81" s="2">
        <f t="shared" si="1"/>
        <v>45962</v>
      </c>
      <c r="C81" t="s">
        <v>45</v>
      </c>
      <c r="D81" s="1">
        <v>1.2465277777777778E-2</v>
      </c>
      <c r="E81">
        <v>14</v>
      </c>
      <c r="F81" t="s">
        <v>77</v>
      </c>
      <c r="G81" t="s">
        <v>131</v>
      </c>
      <c r="H81">
        <f>VLOOKUP(G81, cohort!A$2:B$21, 2, FALSE)</f>
        <v>2</v>
      </c>
      <c r="I81" t="s">
        <v>48</v>
      </c>
      <c r="J81">
        <v>0.77777777777777701</v>
      </c>
      <c r="K81">
        <v>1</v>
      </c>
      <c r="L81">
        <v>0.5</v>
      </c>
      <c r="M81">
        <v>0.73333333333333295</v>
      </c>
      <c r="N81">
        <v>0.54545454545454497</v>
      </c>
      <c r="O81">
        <v>0</v>
      </c>
      <c r="P81">
        <v>0</v>
      </c>
      <c r="Q81">
        <v>0</v>
      </c>
      <c r="R81">
        <v>0</v>
      </c>
      <c r="S81">
        <v>0</v>
      </c>
      <c r="T81">
        <v>0</v>
      </c>
      <c r="U81">
        <v>0</v>
      </c>
      <c r="V81">
        <v>0</v>
      </c>
      <c r="W81">
        <v>1</v>
      </c>
      <c r="X81">
        <v>1</v>
      </c>
      <c r="Y81">
        <v>0</v>
      </c>
      <c r="Z81">
        <v>0</v>
      </c>
      <c r="AA81">
        <v>0</v>
      </c>
      <c r="AB81">
        <v>0</v>
      </c>
      <c r="AC81">
        <v>1</v>
      </c>
      <c r="AD81">
        <v>0</v>
      </c>
      <c r="AE81">
        <v>0</v>
      </c>
      <c r="AF81">
        <v>0</v>
      </c>
      <c r="AG81">
        <v>0</v>
      </c>
      <c r="AH81">
        <v>0</v>
      </c>
      <c r="AI81">
        <v>0</v>
      </c>
      <c r="AJ81">
        <v>0</v>
      </c>
      <c r="AK81">
        <v>0</v>
      </c>
      <c r="AL81">
        <v>0</v>
      </c>
      <c r="AM81">
        <v>0</v>
      </c>
      <c r="AN81" t="s">
        <v>49</v>
      </c>
      <c r="AO81">
        <v>1</v>
      </c>
      <c r="AP81">
        <v>2</v>
      </c>
      <c r="AQ81">
        <v>1</v>
      </c>
      <c r="AR81">
        <v>1</v>
      </c>
      <c r="AS81">
        <v>2</v>
      </c>
      <c r="AT81">
        <v>1</v>
      </c>
    </row>
    <row r="82" spans="1:46" x14ac:dyDescent="0.2">
      <c r="A82" t="s">
        <v>145</v>
      </c>
      <c r="B82" s="2">
        <f t="shared" si="1"/>
        <v>45962</v>
      </c>
      <c r="C82" t="s">
        <v>52</v>
      </c>
      <c r="D82" s="1">
        <v>7.4999999999999997E-3</v>
      </c>
      <c r="E82">
        <v>29</v>
      </c>
      <c r="F82" t="s">
        <v>106</v>
      </c>
      <c r="G82" t="s">
        <v>146</v>
      </c>
      <c r="H82">
        <f>VLOOKUP(G82, cohort!A$2:B$21, 2, FALSE)</f>
        <v>3</v>
      </c>
      <c r="I82" t="s">
        <v>48</v>
      </c>
      <c r="J82">
        <v>0.66666666666666596</v>
      </c>
      <c r="K82">
        <v>1</v>
      </c>
      <c r="L82">
        <v>0.66666666666666596</v>
      </c>
      <c r="M82">
        <v>0.6</v>
      </c>
      <c r="N82">
        <v>0.27272727272727199</v>
      </c>
      <c r="O82">
        <v>0</v>
      </c>
      <c r="P82">
        <v>0</v>
      </c>
      <c r="Q82">
        <v>1</v>
      </c>
      <c r="R82">
        <v>0</v>
      </c>
      <c r="S82">
        <v>0</v>
      </c>
      <c r="T82">
        <v>0</v>
      </c>
      <c r="U82">
        <v>0</v>
      </c>
      <c r="V82">
        <v>0</v>
      </c>
      <c r="W82">
        <v>0</v>
      </c>
      <c r="X82">
        <v>0</v>
      </c>
      <c r="Y82">
        <v>0</v>
      </c>
      <c r="Z82">
        <v>0</v>
      </c>
      <c r="AA82">
        <v>0</v>
      </c>
      <c r="AB82">
        <v>0</v>
      </c>
      <c r="AC82">
        <v>0</v>
      </c>
      <c r="AD82">
        <v>0</v>
      </c>
      <c r="AE82">
        <v>0</v>
      </c>
      <c r="AF82">
        <v>0</v>
      </c>
      <c r="AG82">
        <v>0</v>
      </c>
      <c r="AH82">
        <v>0</v>
      </c>
      <c r="AI82">
        <v>0</v>
      </c>
      <c r="AJ82">
        <v>0</v>
      </c>
      <c r="AK82">
        <v>1</v>
      </c>
      <c r="AL82">
        <v>0</v>
      </c>
      <c r="AM82">
        <v>0</v>
      </c>
      <c r="AN82" t="s">
        <v>49</v>
      </c>
      <c r="AO82">
        <v>0</v>
      </c>
      <c r="AP82">
        <v>1</v>
      </c>
      <c r="AQ82">
        <v>2</v>
      </c>
      <c r="AR82">
        <v>0</v>
      </c>
      <c r="AS82">
        <v>0</v>
      </c>
      <c r="AT82">
        <v>0</v>
      </c>
    </row>
    <row r="83" spans="1:46" x14ac:dyDescent="0.2">
      <c r="A83" t="s">
        <v>145</v>
      </c>
      <c r="B83" s="2">
        <f t="shared" si="1"/>
        <v>45962</v>
      </c>
      <c r="C83" t="s">
        <v>52</v>
      </c>
      <c r="D83" s="1">
        <v>9.780092592592592E-3</v>
      </c>
      <c r="E83">
        <v>31</v>
      </c>
      <c r="F83" t="s">
        <v>119</v>
      </c>
      <c r="G83" t="s">
        <v>140</v>
      </c>
      <c r="H83">
        <f>VLOOKUP(G83, cohort!A$2:B$21, 2, FALSE)</f>
        <v>3</v>
      </c>
      <c r="I83" t="s">
        <v>48</v>
      </c>
      <c r="J83">
        <v>0.66666666666666596</v>
      </c>
      <c r="K83">
        <v>1</v>
      </c>
      <c r="L83">
        <v>0.66666666666666596</v>
      </c>
      <c r="M83">
        <v>0.46666666666666601</v>
      </c>
      <c r="N83">
        <v>9.0909090909090898E-2</v>
      </c>
      <c r="O83">
        <v>0</v>
      </c>
      <c r="P83">
        <v>0</v>
      </c>
      <c r="Q83">
        <v>1</v>
      </c>
      <c r="R83">
        <v>0</v>
      </c>
      <c r="S83">
        <v>0</v>
      </c>
      <c r="T83">
        <v>0</v>
      </c>
      <c r="U83">
        <v>0</v>
      </c>
      <c r="V83">
        <v>0</v>
      </c>
      <c r="W83">
        <v>0</v>
      </c>
      <c r="X83">
        <v>0</v>
      </c>
      <c r="Y83">
        <v>0</v>
      </c>
      <c r="Z83">
        <v>1</v>
      </c>
      <c r="AA83">
        <v>0</v>
      </c>
      <c r="AB83">
        <v>0</v>
      </c>
      <c r="AC83">
        <v>0</v>
      </c>
      <c r="AD83">
        <v>0</v>
      </c>
      <c r="AE83">
        <v>0</v>
      </c>
      <c r="AF83">
        <v>0</v>
      </c>
      <c r="AG83">
        <v>0</v>
      </c>
      <c r="AH83">
        <v>0</v>
      </c>
      <c r="AI83">
        <v>0</v>
      </c>
      <c r="AJ83">
        <v>0</v>
      </c>
      <c r="AK83">
        <v>0</v>
      </c>
      <c r="AL83">
        <v>0</v>
      </c>
      <c r="AM83">
        <v>0</v>
      </c>
      <c r="AN83" t="s">
        <v>49</v>
      </c>
      <c r="AO83">
        <v>0</v>
      </c>
      <c r="AP83">
        <v>1</v>
      </c>
      <c r="AQ83">
        <v>1</v>
      </c>
      <c r="AR83">
        <v>0</v>
      </c>
      <c r="AS83">
        <v>0</v>
      </c>
      <c r="AT83">
        <v>0</v>
      </c>
    </row>
    <row r="84" spans="1:46" x14ac:dyDescent="0.2">
      <c r="A84" t="s">
        <v>147</v>
      </c>
      <c r="B84" s="2">
        <f t="shared" si="1"/>
        <v>45962</v>
      </c>
      <c r="C84" t="s">
        <v>61</v>
      </c>
      <c r="D84" s="1">
        <v>1.3912037037037037E-2</v>
      </c>
      <c r="E84">
        <v>17</v>
      </c>
      <c r="F84" t="s">
        <v>148</v>
      </c>
      <c r="G84" t="s">
        <v>53</v>
      </c>
      <c r="H84">
        <f>VLOOKUP(G84, cohort!A$2:B$21, 2, FALSE)</f>
        <v>1</v>
      </c>
      <c r="I84" t="s">
        <v>50</v>
      </c>
      <c r="J84">
        <v>0.33333333333333298</v>
      </c>
      <c r="K84">
        <v>0.5</v>
      </c>
      <c r="L84">
        <v>0.33333333333333298</v>
      </c>
      <c r="M84">
        <v>0.2</v>
      </c>
      <c r="N84">
        <v>9.0909090909090898E-2</v>
      </c>
      <c r="O84">
        <v>0</v>
      </c>
      <c r="P84">
        <v>0</v>
      </c>
      <c r="Q84">
        <v>0</v>
      </c>
      <c r="R84">
        <v>0</v>
      </c>
      <c r="S84">
        <v>1</v>
      </c>
      <c r="T84">
        <v>0</v>
      </c>
      <c r="U84">
        <v>1</v>
      </c>
      <c r="V84">
        <v>0</v>
      </c>
      <c r="W84">
        <v>0</v>
      </c>
      <c r="X84">
        <v>0</v>
      </c>
      <c r="Y84">
        <v>0</v>
      </c>
      <c r="Z84">
        <v>1</v>
      </c>
      <c r="AA84">
        <v>0</v>
      </c>
      <c r="AB84">
        <v>0</v>
      </c>
      <c r="AC84">
        <v>0</v>
      </c>
      <c r="AD84">
        <v>0</v>
      </c>
      <c r="AE84">
        <v>0</v>
      </c>
      <c r="AF84">
        <v>0</v>
      </c>
      <c r="AG84">
        <v>0</v>
      </c>
      <c r="AH84">
        <v>0</v>
      </c>
      <c r="AI84">
        <v>0</v>
      </c>
      <c r="AJ84">
        <v>0</v>
      </c>
      <c r="AK84">
        <v>0</v>
      </c>
      <c r="AL84">
        <v>0</v>
      </c>
      <c r="AM84">
        <v>0</v>
      </c>
      <c r="AN84" t="s">
        <v>49</v>
      </c>
      <c r="AO84">
        <v>0</v>
      </c>
      <c r="AP84">
        <v>2</v>
      </c>
      <c r="AQ84">
        <v>0</v>
      </c>
      <c r="AR84">
        <v>0</v>
      </c>
      <c r="AS84">
        <v>1</v>
      </c>
      <c r="AT84">
        <v>0</v>
      </c>
    </row>
    <row r="85" spans="1:46" x14ac:dyDescent="0.2">
      <c r="A85" t="s">
        <v>149</v>
      </c>
      <c r="B85" s="2">
        <f t="shared" si="1"/>
        <v>45962</v>
      </c>
      <c r="C85" t="s">
        <v>92</v>
      </c>
      <c r="D85" s="1">
        <v>1.3900462962962963E-2</v>
      </c>
      <c r="E85">
        <v>31</v>
      </c>
      <c r="F85" t="s">
        <v>119</v>
      </c>
      <c r="G85" t="s">
        <v>143</v>
      </c>
      <c r="H85">
        <f>VLOOKUP(G85, cohort!A$2:B$21, 2, FALSE)</f>
        <v>2</v>
      </c>
      <c r="I85" t="s">
        <v>50</v>
      </c>
      <c r="J85">
        <v>0.88888888888888795</v>
      </c>
      <c r="K85">
        <v>1</v>
      </c>
      <c r="L85">
        <v>0.5</v>
      </c>
      <c r="M85">
        <v>0.46666666666666601</v>
      </c>
      <c r="N85">
        <v>0.36363636363636298</v>
      </c>
      <c r="O85">
        <v>0</v>
      </c>
      <c r="P85">
        <v>0</v>
      </c>
      <c r="Q85">
        <v>1</v>
      </c>
      <c r="R85">
        <v>0</v>
      </c>
      <c r="S85">
        <v>0</v>
      </c>
      <c r="T85">
        <v>0</v>
      </c>
      <c r="U85">
        <v>0</v>
      </c>
      <c r="V85">
        <v>0</v>
      </c>
      <c r="W85">
        <v>0</v>
      </c>
      <c r="X85">
        <v>0</v>
      </c>
      <c r="Y85">
        <v>0</v>
      </c>
      <c r="Z85">
        <v>1</v>
      </c>
      <c r="AA85">
        <v>0</v>
      </c>
      <c r="AB85">
        <v>0</v>
      </c>
      <c r="AC85">
        <v>0</v>
      </c>
      <c r="AD85">
        <v>0</v>
      </c>
      <c r="AE85">
        <v>0</v>
      </c>
      <c r="AF85">
        <v>0</v>
      </c>
      <c r="AG85">
        <v>0</v>
      </c>
      <c r="AH85">
        <v>0</v>
      </c>
      <c r="AI85">
        <v>0</v>
      </c>
      <c r="AJ85">
        <v>0</v>
      </c>
      <c r="AK85">
        <v>0</v>
      </c>
      <c r="AL85">
        <v>0</v>
      </c>
      <c r="AM85">
        <v>0</v>
      </c>
      <c r="AN85" t="s">
        <v>49</v>
      </c>
      <c r="AO85">
        <v>0</v>
      </c>
      <c r="AP85">
        <v>1</v>
      </c>
      <c r="AQ85">
        <v>1</v>
      </c>
      <c r="AR85">
        <v>0</v>
      </c>
      <c r="AS85">
        <v>0</v>
      </c>
      <c r="AT85">
        <v>0</v>
      </c>
    </row>
    <row r="86" spans="1:46" x14ac:dyDescent="0.2">
      <c r="A86" t="s">
        <v>149</v>
      </c>
      <c r="B86" s="2">
        <f t="shared" si="1"/>
        <v>45962</v>
      </c>
      <c r="C86" t="s">
        <v>92</v>
      </c>
      <c r="D86" s="1">
        <v>1.050925925925926E-2</v>
      </c>
      <c r="E86">
        <v>32</v>
      </c>
      <c r="F86" t="s">
        <v>123</v>
      </c>
      <c r="G86" t="s">
        <v>137</v>
      </c>
      <c r="H86">
        <f>VLOOKUP(G86, cohort!A$2:B$21, 2, FALSE)</f>
        <v>3</v>
      </c>
      <c r="I86" t="s">
        <v>48</v>
      </c>
      <c r="J86">
        <v>0.33333333333333298</v>
      </c>
      <c r="K86">
        <v>0</v>
      </c>
      <c r="L86">
        <v>0.33333333333333298</v>
      </c>
      <c r="M86">
        <v>0.4</v>
      </c>
      <c r="N86">
        <v>0.27272727272727199</v>
      </c>
      <c r="O86">
        <v>0</v>
      </c>
      <c r="P86">
        <v>0</v>
      </c>
      <c r="Q86">
        <v>0</v>
      </c>
      <c r="R86">
        <v>0</v>
      </c>
      <c r="S86">
        <v>0</v>
      </c>
      <c r="T86">
        <v>0</v>
      </c>
      <c r="U86">
        <v>1</v>
      </c>
      <c r="V86">
        <v>1</v>
      </c>
      <c r="W86">
        <v>0</v>
      </c>
      <c r="X86">
        <v>0</v>
      </c>
      <c r="Y86">
        <v>0</v>
      </c>
      <c r="Z86">
        <v>0</v>
      </c>
      <c r="AA86">
        <v>0</v>
      </c>
      <c r="AB86">
        <v>0</v>
      </c>
      <c r="AC86">
        <v>0</v>
      </c>
      <c r="AD86">
        <v>0</v>
      </c>
      <c r="AE86">
        <v>0</v>
      </c>
      <c r="AF86">
        <v>0</v>
      </c>
      <c r="AG86">
        <v>0</v>
      </c>
      <c r="AH86">
        <v>0</v>
      </c>
      <c r="AI86">
        <v>0</v>
      </c>
      <c r="AJ86">
        <v>0</v>
      </c>
      <c r="AK86">
        <v>0</v>
      </c>
      <c r="AL86">
        <v>0</v>
      </c>
      <c r="AM86">
        <v>0</v>
      </c>
      <c r="AN86" t="s">
        <v>49</v>
      </c>
      <c r="AO86">
        <v>0</v>
      </c>
      <c r="AP86">
        <v>2</v>
      </c>
      <c r="AQ86">
        <v>0</v>
      </c>
      <c r="AR86">
        <v>0</v>
      </c>
      <c r="AS86">
        <v>0</v>
      </c>
      <c r="AT86">
        <v>0</v>
      </c>
    </row>
    <row r="87" spans="1:46" x14ac:dyDescent="0.2">
      <c r="A87" t="s">
        <v>149</v>
      </c>
      <c r="B87" s="2">
        <f t="shared" si="1"/>
        <v>45962</v>
      </c>
      <c r="C87" t="s">
        <v>92</v>
      </c>
      <c r="D87" s="1">
        <v>1.1620370370370371E-2</v>
      </c>
      <c r="E87">
        <v>7</v>
      </c>
      <c r="F87" t="s">
        <v>70</v>
      </c>
      <c r="G87" t="s">
        <v>131</v>
      </c>
      <c r="H87">
        <f>VLOOKUP(G87, cohort!A$2:B$21, 2, FALSE)</f>
        <v>2</v>
      </c>
      <c r="I87" t="s">
        <v>48</v>
      </c>
      <c r="J87">
        <v>0.55555555555555503</v>
      </c>
      <c r="K87">
        <v>1</v>
      </c>
      <c r="L87">
        <v>0.33333333333333298</v>
      </c>
      <c r="M87">
        <v>0.133333333333333</v>
      </c>
      <c r="N87">
        <v>0</v>
      </c>
      <c r="O87">
        <v>0</v>
      </c>
      <c r="P87">
        <v>0</v>
      </c>
      <c r="Q87">
        <v>0</v>
      </c>
      <c r="R87">
        <v>0</v>
      </c>
      <c r="S87">
        <v>0</v>
      </c>
      <c r="T87">
        <v>0</v>
      </c>
      <c r="U87">
        <v>1</v>
      </c>
      <c r="V87">
        <v>0</v>
      </c>
      <c r="W87">
        <v>1</v>
      </c>
      <c r="X87">
        <v>0</v>
      </c>
      <c r="Y87">
        <v>0</v>
      </c>
      <c r="Z87">
        <v>0</v>
      </c>
      <c r="AA87">
        <v>0</v>
      </c>
      <c r="AB87">
        <v>0</v>
      </c>
      <c r="AC87">
        <v>0</v>
      </c>
      <c r="AD87">
        <v>0</v>
      </c>
      <c r="AE87">
        <v>0</v>
      </c>
      <c r="AF87">
        <v>0</v>
      </c>
      <c r="AG87">
        <v>0</v>
      </c>
      <c r="AH87">
        <v>0</v>
      </c>
      <c r="AI87">
        <v>0</v>
      </c>
      <c r="AJ87">
        <v>1</v>
      </c>
      <c r="AK87">
        <v>0</v>
      </c>
      <c r="AL87">
        <v>0</v>
      </c>
      <c r="AM87">
        <v>0</v>
      </c>
      <c r="AN87" t="s">
        <v>49</v>
      </c>
      <c r="AO87">
        <v>0</v>
      </c>
      <c r="AP87">
        <v>2</v>
      </c>
      <c r="AQ87">
        <v>0</v>
      </c>
      <c r="AR87">
        <v>1</v>
      </c>
      <c r="AS87">
        <v>0</v>
      </c>
      <c r="AT87">
        <v>0</v>
      </c>
    </row>
    <row r="88" spans="1:46" x14ac:dyDescent="0.2">
      <c r="A88" t="s">
        <v>150</v>
      </c>
      <c r="B88" s="2">
        <f t="shared" si="1"/>
        <v>45962</v>
      </c>
      <c r="C88" t="s">
        <v>45</v>
      </c>
      <c r="D88" s="1">
        <v>1.5046296296296295E-2</v>
      </c>
      <c r="E88">
        <v>34</v>
      </c>
      <c r="F88" t="s">
        <v>151</v>
      </c>
      <c r="G88" t="s">
        <v>118</v>
      </c>
      <c r="H88" t="str">
        <f>VLOOKUP(G88, cohort!A$2:B$21, 2, FALSE)</f>
        <v>x</v>
      </c>
      <c r="I88" t="s">
        <v>48</v>
      </c>
      <c r="J88">
        <v>0.66666666666666596</v>
      </c>
      <c r="K88">
        <v>1</v>
      </c>
      <c r="L88">
        <v>0.5</v>
      </c>
      <c r="M88">
        <v>0.33333333333333298</v>
      </c>
      <c r="N88">
        <v>9.0909090909090898E-2</v>
      </c>
      <c r="O88">
        <v>0</v>
      </c>
      <c r="P88">
        <v>0</v>
      </c>
      <c r="Q88">
        <v>0</v>
      </c>
      <c r="R88">
        <v>0</v>
      </c>
      <c r="S88">
        <v>0</v>
      </c>
      <c r="T88">
        <v>0</v>
      </c>
      <c r="U88">
        <v>0</v>
      </c>
      <c r="V88">
        <v>0</v>
      </c>
      <c r="W88">
        <v>1</v>
      </c>
      <c r="X88">
        <v>1</v>
      </c>
      <c r="Y88">
        <v>0</v>
      </c>
      <c r="Z88">
        <v>0</v>
      </c>
      <c r="AA88">
        <v>0</v>
      </c>
      <c r="AB88">
        <v>0</v>
      </c>
      <c r="AC88">
        <v>1</v>
      </c>
      <c r="AD88">
        <v>0</v>
      </c>
      <c r="AE88">
        <v>0</v>
      </c>
      <c r="AF88">
        <v>0</v>
      </c>
      <c r="AG88">
        <v>0</v>
      </c>
      <c r="AH88">
        <v>0</v>
      </c>
      <c r="AI88">
        <v>0</v>
      </c>
      <c r="AJ88">
        <v>0</v>
      </c>
      <c r="AK88">
        <v>0</v>
      </c>
      <c r="AL88">
        <v>0</v>
      </c>
      <c r="AM88">
        <v>0</v>
      </c>
      <c r="AN88" t="s">
        <v>49</v>
      </c>
      <c r="AO88">
        <v>1</v>
      </c>
      <c r="AP88">
        <v>2</v>
      </c>
      <c r="AQ88">
        <v>1</v>
      </c>
      <c r="AR88">
        <v>1</v>
      </c>
      <c r="AS88">
        <v>2</v>
      </c>
      <c r="AT88">
        <v>1</v>
      </c>
    </row>
    <row r="89" spans="1:46" x14ac:dyDescent="0.2">
      <c r="A89" t="s">
        <v>150</v>
      </c>
      <c r="B89" s="2">
        <f t="shared" si="1"/>
        <v>45962</v>
      </c>
      <c r="C89" t="s">
        <v>45</v>
      </c>
      <c r="D89" s="1">
        <v>1.3043981481481481E-2</v>
      </c>
      <c r="E89">
        <v>4</v>
      </c>
      <c r="F89" t="s">
        <v>87</v>
      </c>
      <c r="G89" t="s">
        <v>110</v>
      </c>
      <c r="H89">
        <f>VLOOKUP(G89, cohort!A$2:B$21, 2, FALSE)</f>
        <v>2</v>
      </c>
      <c r="I89" t="s">
        <v>48</v>
      </c>
      <c r="J89">
        <v>0.88888888888888795</v>
      </c>
      <c r="K89">
        <v>1</v>
      </c>
      <c r="L89">
        <v>0.83333333333333304</v>
      </c>
      <c r="M89">
        <v>0.73333333333333295</v>
      </c>
      <c r="N89">
        <v>0.63636363636363602</v>
      </c>
      <c r="O89">
        <v>1</v>
      </c>
      <c r="P89">
        <v>0</v>
      </c>
      <c r="Q89">
        <v>0</v>
      </c>
      <c r="R89">
        <v>0</v>
      </c>
      <c r="S89">
        <v>0</v>
      </c>
      <c r="T89">
        <v>0</v>
      </c>
      <c r="U89">
        <v>0</v>
      </c>
      <c r="V89">
        <v>0</v>
      </c>
      <c r="W89">
        <v>0</v>
      </c>
      <c r="X89">
        <v>0</v>
      </c>
      <c r="Y89">
        <v>0</v>
      </c>
      <c r="Z89">
        <v>0</v>
      </c>
      <c r="AA89">
        <v>0</v>
      </c>
      <c r="AB89">
        <v>0</v>
      </c>
      <c r="AC89">
        <v>1</v>
      </c>
      <c r="AD89">
        <v>0</v>
      </c>
      <c r="AE89">
        <v>1</v>
      </c>
      <c r="AF89">
        <v>0</v>
      </c>
      <c r="AG89">
        <v>1</v>
      </c>
      <c r="AH89">
        <v>0</v>
      </c>
      <c r="AI89">
        <v>0</v>
      </c>
      <c r="AJ89">
        <v>0</v>
      </c>
      <c r="AK89">
        <v>0</v>
      </c>
      <c r="AL89">
        <v>0</v>
      </c>
      <c r="AM89">
        <v>0</v>
      </c>
      <c r="AN89" t="s">
        <v>49</v>
      </c>
      <c r="AO89">
        <v>1</v>
      </c>
      <c r="AP89">
        <v>4</v>
      </c>
      <c r="AQ89">
        <v>1</v>
      </c>
      <c r="AR89">
        <v>1</v>
      </c>
      <c r="AS89">
        <v>1</v>
      </c>
      <c r="AT89">
        <v>1</v>
      </c>
    </row>
    <row r="90" spans="1:46" x14ac:dyDescent="0.2">
      <c r="A90" t="s">
        <v>150</v>
      </c>
      <c r="B90" s="2">
        <f t="shared" si="1"/>
        <v>45962</v>
      </c>
      <c r="C90" t="s">
        <v>45</v>
      </c>
      <c r="D90" s="1">
        <v>1.1724537037037037E-2</v>
      </c>
      <c r="E90">
        <v>34</v>
      </c>
      <c r="F90" t="s">
        <v>151</v>
      </c>
      <c r="G90" t="s">
        <v>114</v>
      </c>
      <c r="H90">
        <f>VLOOKUP(G90, cohort!A$2:B$21, 2, FALSE)</f>
        <v>2</v>
      </c>
      <c r="I90" t="s">
        <v>48</v>
      </c>
      <c r="J90">
        <v>0.44444444444444398</v>
      </c>
      <c r="K90">
        <v>0.5</v>
      </c>
      <c r="L90">
        <v>0.66666666666666596</v>
      </c>
      <c r="M90">
        <v>0.6</v>
      </c>
      <c r="N90">
        <v>0.54545454545454497</v>
      </c>
      <c r="O90">
        <v>0</v>
      </c>
      <c r="P90">
        <v>0</v>
      </c>
      <c r="Q90">
        <v>0</v>
      </c>
      <c r="R90">
        <v>0</v>
      </c>
      <c r="S90">
        <v>0</v>
      </c>
      <c r="T90">
        <v>0</v>
      </c>
      <c r="U90">
        <v>0</v>
      </c>
      <c r="V90">
        <v>0</v>
      </c>
      <c r="W90">
        <v>1</v>
      </c>
      <c r="X90">
        <v>1</v>
      </c>
      <c r="Y90">
        <v>0</v>
      </c>
      <c r="Z90">
        <v>0</v>
      </c>
      <c r="AA90">
        <v>0</v>
      </c>
      <c r="AB90">
        <v>0</v>
      </c>
      <c r="AC90">
        <v>1</v>
      </c>
      <c r="AD90">
        <v>0</v>
      </c>
      <c r="AE90">
        <v>0</v>
      </c>
      <c r="AF90">
        <v>0</v>
      </c>
      <c r="AG90">
        <v>0</v>
      </c>
      <c r="AH90">
        <v>0</v>
      </c>
      <c r="AI90">
        <v>0</v>
      </c>
      <c r="AJ90">
        <v>0</v>
      </c>
      <c r="AK90">
        <v>0</v>
      </c>
      <c r="AL90">
        <v>0</v>
      </c>
      <c r="AM90">
        <v>0</v>
      </c>
      <c r="AN90" t="s">
        <v>49</v>
      </c>
      <c r="AO90">
        <v>1</v>
      </c>
      <c r="AP90">
        <v>2</v>
      </c>
      <c r="AQ90">
        <v>1</v>
      </c>
      <c r="AR90">
        <v>1</v>
      </c>
      <c r="AS90">
        <v>2</v>
      </c>
      <c r="AT90">
        <v>1</v>
      </c>
    </row>
    <row r="91" spans="1:46" x14ac:dyDescent="0.2">
      <c r="A91" t="s">
        <v>152</v>
      </c>
      <c r="B91" s="2">
        <f t="shared" si="1"/>
        <v>45962</v>
      </c>
      <c r="C91" t="s">
        <v>61</v>
      </c>
      <c r="D91" s="1">
        <v>1.2175925925925925E-2</v>
      </c>
      <c r="E91">
        <v>31</v>
      </c>
      <c r="F91" t="s">
        <v>119</v>
      </c>
      <c r="G91" t="s">
        <v>135</v>
      </c>
      <c r="H91">
        <f>VLOOKUP(G91, cohort!A$2:B$21, 2, FALSE)</f>
        <v>3</v>
      </c>
      <c r="I91" t="s">
        <v>48</v>
      </c>
      <c r="J91">
        <v>0.88888888888888795</v>
      </c>
      <c r="K91">
        <v>1</v>
      </c>
      <c r="L91">
        <v>0.83333333333333304</v>
      </c>
      <c r="M91">
        <v>0.8</v>
      </c>
      <c r="N91">
        <v>0.54545454545454497</v>
      </c>
      <c r="O91">
        <v>0</v>
      </c>
      <c r="P91">
        <v>0</v>
      </c>
      <c r="Q91">
        <v>1</v>
      </c>
      <c r="R91">
        <v>0</v>
      </c>
      <c r="S91">
        <v>0</v>
      </c>
      <c r="T91">
        <v>0</v>
      </c>
      <c r="U91">
        <v>0</v>
      </c>
      <c r="V91">
        <v>0</v>
      </c>
      <c r="W91">
        <v>0</v>
      </c>
      <c r="X91">
        <v>0</v>
      </c>
      <c r="Y91">
        <v>0</v>
      </c>
      <c r="Z91">
        <v>1</v>
      </c>
      <c r="AA91">
        <v>0</v>
      </c>
      <c r="AB91">
        <v>0</v>
      </c>
      <c r="AC91">
        <v>0</v>
      </c>
      <c r="AD91">
        <v>0</v>
      </c>
      <c r="AE91">
        <v>0</v>
      </c>
      <c r="AF91">
        <v>0</v>
      </c>
      <c r="AG91">
        <v>0</v>
      </c>
      <c r="AH91">
        <v>0</v>
      </c>
      <c r="AI91">
        <v>0</v>
      </c>
      <c r="AJ91">
        <v>0</v>
      </c>
      <c r="AK91">
        <v>0</v>
      </c>
      <c r="AL91">
        <v>0</v>
      </c>
      <c r="AM91">
        <v>0</v>
      </c>
      <c r="AN91" t="s">
        <v>49</v>
      </c>
      <c r="AO91">
        <v>0</v>
      </c>
      <c r="AP91">
        <v>1</v>
      </c>
      <c r="AQ91">
        <v>1</v>
      </c>
      <c r="AR91">
        <v>0</v>
      </c>
      <c r="AS91">
        <v>0</v>
      </c>
      <c r="AT91">
        <v>0</v>
      </c>
    </row>
    <row r="92" spans="1:46" x14ac:dyDescent="0.2">
      <c r="A92" t="s">
        <v>153</v>
      </c>
      <c r="B92" s="2">
        <f t="shared" si="1"/>
        <v>45962</v>
      </c>
      <c r="C92" t="s">
        <v>92</v>
      </c>
      <c r="D92" s="1">
        <v>1.1122685185185185E-2</v>
      </c>
      <c r="E92">
        <v>29</v>
      </c>
      <c r="F92" t="s">
        <v>106</v>
      </c>
      <c r="G92" t="s">
        <v>154</v>
      </c>
      <c r="H92">
        <f>VLOOKUP(G92, cohort!A$2:B$21, 2, FALSE)</f>
        <v>3</v>
      </c>
      <c r="I92" t="s">
        <v>48</v>
      </c>
      <c r="J92">
        <v>0.44444444444444398</v>
      </c>
      <c r="K92">
        <v>1</v>
      </c>
      <c r="L92">
        <v>0.66666666666666596</v>
      </c>
      <c r="M92">
        <v>0.33333333333333298</v>
      </c>
      <c r="N92">
        <v>9.0909090909090898E-2</v>
      </c>
      <c r="O92">
        <v>0</v>
      </c>
      <c r="P92">
        <v>0</v>
      </c>
      <c r="Q92">
        <v>1</v>
      </c>
      <c r="R92">
        <v>0</v>
      </c>
      <c r="S92">
        <v>0</v>
      </c>
      <c r="T92">
        <v>0</v>
      </c>
      <c r="U92">
        <v>0</v>
      </c>
      <c r="V92">
        <v>0</v>
      </c>
      <c r="W92">
        <v>0</v>
      </c>
      <c r="X92">
        <v>0</v>
      </c>
      <c r="Y92">
        <v>0</v>
      </c>
      <c r="Z92">
        <v>0</v>
      </c>
      <c r="AA92">
        <v>0</v>
      </c>
      <c r="AB92">
        <v>0</v>
      </c>
      <c r="AC92">
        <v>0</v>
      </c>
      <c r="AD92">
        <v>0</v>
      </c>
      <c r="AE92">
        <v>0</v>
      </c>
      <c r="AF92">
        <v>0</v>
      </c>
      <c r="AG92">
        <v>0</v>
      </c>
      <c r="AH92">
        <v>0</v>
      </c>
      <c r="AI92">
        <v>0</v>
      </c>
      <c r="AJ92">
        <v>0</v>
      </c>
      <c r="AK92">
        <v>1</v>
      </c>
      <c r="AL92">
        <v>0</v>
      </c>
      <c r="AM92">
        <v>0</v>
      </c>
      <c r="AN92" t="s">
        <v>49</v>
      </c>
      <c r="AO92">
        <v>0</v>
      </c>
      <c r="AP92">
        <v>1</v>
      </c>
      <c r="AQ92">
        <v>2</v>
      </c>
      <c r="AR92">
        <v>0</v>
      </c>
      <c r="AS92">
        <v>0</v>
      </c>
      <c r="AT92">
        <v>0</v>
      </c>
    </row>
    <row r="93" spans="1:46" x14ac:dyDescent="0.2">
      <c r="A93" t="s">
        <v>153</v>
      </c>
      <c r="B93" s="2">
        <f t="shared" si="1"/>
        <v>45962</v>
      </c>
      <c r="C93" t="s">
        <v>92</v>
      </c>
      <c r="D93" s="1">
        <v>1.3912037037037037E-2</v>
      </c>
      <c r="E93">
        <v>32</v>
      </c>
      <c r="F93" t="s">
        <v>123</v>
      </c>
      <c r="G93" t="s">
        <v>143</v>
      </c>
      <c r="H93">
        <f>VLOOKUP(G93, cohort!A$2:B$21, 2, FALSE)</f>
        <v>2</v>
      </c>
      <c r="I93" t="s">
        <v>50</v>
      </c>
      <c r="J93">
        <v>0.55555555555555503</v>
      </c>
      <c r="K93">
        <v>1</v>
      </c>
      <c r="L93">
        <v>0.5</v>
      </c>
      <c r="M93">
        <v>0.53333333333333299</v>
      </c>
      <c r="N93">
        <v>0.27272727272727199</v>
      </c>
      <c r="O93">
        <v>0</v>
      </c>
      <c r="P93">
        <v>0</v>
      </c>
      <c r="Q93">
        <v>0</v>
      </c>
      <c r="R93">
        <v>0</v>
      </c>
      <c r="S93">
        <v>0</v>
      </c>
      <c r="T93">
        <v>0</v>
      </c>
      <c r="U93">
        <v>1</v>
      </c>
      <c r="V93">
        <v>1</v>
      </c>
      <c r="W93">
        <v>0</v>
      </c>
      <c r="X93">
        <v>0</v>
      </c>
      <c r="Y93">
        <v>0</v>
      </c>
      <c r="Z93">
        <v>0</v>
      </c>
      <c r="AA93">
        <v>0</v>
      </c>
      <c r="AB93">
        <v>0</v>
      </c>
      <c r="AC93">
        <v>0</v>
      </c>
      <c r="AD93">
        <v>0</v>
      </c>
      <c r="AE93">
        <v>0</v>
      </c>
      <c r="AF93">
        <v>0</v>
      </c>
      <c r="AG93">
        <v>0</v>
      </c>
      <c r="AH93">
        <v>0</v>
      </c>
      <c r="AI93">
        <v>0</v>
      </c>
      <c r="AJ93">
        <v>0</v>
      </c>
      <c r="AK93">
        <v>0</v>
      </c>
      <c r="AL93">
        <v>0</v>
      </c>
      <c r="AM93">
        <v>0</v>
      </c>
      <c r="AN93" t="s">
        <v>49</v>
      </c>
      <c r="AO93">
        <v>0</v>
      </c>
      <c r="AP93">
        <v>2</v>
      </c>
      <c r="AQ93">
        <v>0</v>
      </c>
      <c r="AR93">
        <v>0</v>
      </c>
      <c r="AS93">
        <v>0</v>
      </c>
      <c r="AT93">
        <v>0</v>
      </c>
    </row>
    <row r="94" spans="1:46" x14ac:dyDescent="0.2">
      <c r="A94" t="s">
        <v>153</v>
      </c>
      <c r="B94" s="2">
        <f t="shared" si="1"/>
        <v>45962</v>
      </c>
      <c r="C94" t="s">
        <v>92</v>
      </c>
      <c r="D94" s="1">
        <v>4.9074074074074072E-3</v>
      </c>
      <c r="E94">
        <v>7</v>
      </c>
      <c r="F94" t="s">
        <v>70</v>
      </c>
      <c r="G94" t="s">
        <v>137</v>
      </c>
      <c r="H94">
        <f>VLOOKUP(G94, cohort!A$2:B$21, 2, FALSE)</f>
        <v>3</v>
      </c>
      <c r="I94" t="s">
        <v>48</v>
      </c>
      <c r="J94">
        <v>0.55555555555555503</v>
      </c>
      <c r="K94">
        <v>1</v>
      </c>
      <c r="L94">
        <v>0.33333333333333298</v>
      </c>
      <c r="M94">
        <v>6.6666666666666596E-2</v>
      </c>
      <c r="N94">
        <v>0</v>
      </c>
      <c r="O94">
        <v>0</v>
      </c>
      <c r="P94">
        <v>0</v>
      </c>
      <c r="Q94">
        <v>0</v>
      </c>
      <c r="R94">
        <v>0</v>
      </c>
      <c r="S94">
        <v>0</v>
      </c>
      <c r="T94">
        <v>0</v>
      </c>
      <c r="U94">
        <v>1</v>
      </c>
      <c r="V94">
        <v>0</v>
      </c>
      <c r="W94">
        <v>1</v>
      </c>
      <c r="X94">
        <v>0</v>
      </c>
      <c r="Y94">
        <v>0</v>
      </c>
      <c r="Z94">
        <v>0</v>
      </c>
      <c r="AA94">
        <v>0</v>
      </c>
      <c r="AB94">
        <v>0</v>
      </c>
      <c r="AC94">
        <v>0</v>
      </c>
      <c r="AD94">
        <v>0</v>
      </c>
      <c r="AE94">
        <v>0</v>
      </c>
      <c r="AF94">
        <v>0</v>
      </c>
      <c r="AG94">
        <v>0</v>
      </c>
      <c r="AH94">
        <v>0</v>
      </c>
      <c r="AI94">
        <v>0</v>
      </c>
      <c r="AJ94">
        <v>1</v>
      </c>
      <c r="AK94">
        <v>0</v>
      </c>
      <c r="AL94">
        <v>0</v>
      </c>
      <c r="AM94">
        <v>0</v>
      </c>
      <c r="AN94" t="s">
        <v>49</v>
      </c>
      <c r="AO94">
        <v>0</v>
      </c>
      <c r="AP94">
        <v>2</v>
      </c>
      <c r="AQ94">
        <v>0</v>
      </c>
      <c r="AR94">
        <v>1</v>
      </c>
      <c r="AS94">
        <v>0</v>
      </c>
      <c r="AT94">
        <v>0</v>
      </c>
    </row>
    <row r="95" spans="1:46" x14ac:dyDescent="0.2">
      <c r="A95" t="s">
        <v>153</v>
      </c>
      <c r="B95" s="2">
        <f t="shared" si="1"/>
        <v>45962</v>
      </c>
      <c r="C95" t="s">
        <v>92</v>
      </c>
      <c r="D95" s="1">
        <v>1.2013888888888888E-2</v>
      </c>
      <c r="E95">
        <v>16</v>
      </c>
      <c r="F95" t="s">
        <v>73</v>
      </c>
      <c r="G95" t="s">
        <v>131</v>
      </c>
      <c r="H95">
        <f>VLOOKUP(G95, cohort!A$2:B$21, 2, FALSE)</f>
        <v>2</v>
      </c>
      <c r="I95" t="s">
        <v>48</v>
      </c>
      <c r="J95">
        <v>0.55555555555555503</v>
      </c>
      <c r="K95">
        <v>0.5</v>
      </c>
      <c r="L95">
        <v>0.5</v>
      </c>
      <c r="M95">
        <v>0.33333333333333298</v>
      </c>
      <c r="N95">
        <v>9.0909090909090898E-2</v>
      </c>
      <c r="O95">
        <v>0</v>
      </c>
      <c r="P95">
        <v>0</v>
      </c>
      <c r="Q95">
        <v>0</v>
      </c>
      <c r="R95">
        <v>1</v>
      </c>
      <c r="S95">
        <v>0</v>
      </c>
      <c r="T95">
        <v>0</v>
      </c>
      <c r="U95">
        <v>0</v>
      </c>
      <c r="V95">
        <v>0</v>
      </c>
      <c r="W95">
        <v>0</v>
      </c>
      <c r="X95">
        <v>0</v>
      </c>
      <c r="Y95">
        <v>0</v>
      </c>
      <c r="Z95">
        <v>0</v>
      </c>
      <c r="AA95">
        <v>0</v>
      </c>
      <c r="AB95">
        <v>1</v>
      </c>
      <c r="AC95">
        <v>0</v>
      </c>
      <c r="AD95">
        <v>0</v>
      </c>
      <c r="AE95">
        <v>0</v>
      </c>
      <c r="AF95">
        <v>0</v>
      </c>
      <c r="AG95">
        <v>0</v>
      </c>
      <c r="AH95">
        <v>0</v>
      </c>
      <c r="AI95">
        <v>0</v>
      </c>
      <c r="AJ95">
        <v>0</v>
      </c>
      <c r="AK95">
        <v>0</v>
      </c>
      <c r="AL95">
        <v>0</v>
      </c>
      <c r="AM95">
        <v>0</v>
      </c>
      <c r="AN95" t="s">
        <v>49</v>
      </c>
      <c r="AO95">
        <v>0</v>
      </c>
      <c r="AP95">
        <v>1</v>
      </c>
      <c r="AQ95">
        <v>0</v>
      </c>
      <c r="AR95">
        <v>0</v>
      </c>
      <c r="AS95">
        <v>1</v>
      </c>
      <c r="AT95">
        <v>0</v>
      </c>
    </row>
    <row r="96" spans="1:46" x14ac:dyDescent="0.2">
      <c r="A96" t="s">
        <v>155</v>
      </c>
      <c r="B96" s="2">
        <f t="shared" si="1"/>
        <v>45962</v>
      </c>
      <c r="C96" t="s">
        <v>45</v>
      </c>
      <c r="D96" s="1">
        <v>1.3634259259259259E-2</v>
      </c>
      <c r="E96">
        <v>16</v>
      </c>
      <c r="F96" t="s">
        <v>73</v>
      </c>
      <c r="G96" t="s">
        <v>118</v>
      </c>
      <c r="H96" t="str">
        <f>VLOOKUP(G96, cohort!A$2:B$21, 2, FALSE)</f>
        <v>x</v>
      </c>
      <c r="I96" t="s">
        <v>48</v>
      </c>
      <c r="J96">
        <v>0.55555555555555503</v>
      </c>
      <c r="K96">
        <v>1</v>
      </c>
      <c r="L96">
        <v>0.5</v>
      </c>
      <c r="M96">
        <v>0.4</v>
      </c>
      <c r="N96">
        <v>0.27272727272727199</v>
      </c>
      <c r="O96">
        <v>0</v>
      </c>
      <c r="P96">
        <v>0</v>
      </c>
      <c r="Q96">
        <v>0</v>
      </c>
      <c r="R96">
        <v>1</v>
      </c>
      <c r="S96">
        <v>0</v>
      </c>
      <c r="T96">
        <v>0</v>
      </c>
      <c r="U96">
        <v>0</v>
      </c>
      <c r="V96">
        <v>0</v>
      </c>
      <c r="W96">
        <v>0</v>
      </c>
      <c r="X96">
        <v>0</v>
      </c>
      <c r="Y96">
        <v>0</v>
      </c>
      <c r="Z96">
        <v>0</v>
      </c>
      <c r="AA96">
        <v>0</v>
      </c>
      <c r="AB96">
        <v>1</v>
      </c>
      <c r="AC96">
        <v>0</v>
      </c>
      <c r="AD96">
        <v>0</v>
      </c>
      <c r="AE96">
        <v>0</v>
      </c>
      <c r="AF96">
        <v>0</v>
      </c>
      <c r="AG96">
        <v>0</v>
      </c>
      <c r="AH96">
        <v>0</v>
      </c>
      <c r="AI96">
        <v>0</v>
      </c>
      <c r="AJ96">
        <v>0</v>
      </c>
      <c r="AK96">
        <v>0</v>
      </c>
      <c r="AL96">
        <v>0</v>
      </c>
      <c r="AM96">
        <v>0</v>
      </c>
      <c r="AN96" t="s">
        <v>49</v>
      </c>
      <c r="AO96">
        <v>0</v>
      </c>
      <c r="AP96">
        <v>1</v>
      </c>
      <c r="AQ96">
        <v>0</v>
      </c>
      <c r="AR96">
        <v>0</v>
      </c>
      <c r="AS96">
        <v>1</v>
      </c>
      <c r="AT96">
        <v>0</v>
      </c>
    </row>
    <row r="97" spans="1:46" x14ac:dyDescent="0.2">
      <c r="A97" t="s">
        <v>155</v>
      </c>
      <c r="B97" s="2">
        <f t="shared" si="1"/>
        <v>45962</v>
      </c>
      <c r="C97" t="s">
        <v>45</v>
      </c>
      <c r="D97" s="1">
        <v>1.0578703703703703E-2</v>
      </c>
      <c r="E97">
        <v>18</v>
      </c>
      <c r="F97" t="s">
        <v>100</v>
      </c>
      <c r="G97" t="s">
        <v>114</v>
      </c>
      <c r="H97">
        <f>VLOOKUP(G97, cohort!A$2:B$21, 2, FALSE)</f>
        <v>2</v>
      </c>
      <c r="I97" t="s">
        <v>48</v>
      </c>
      <c r="J97">
        <v>0.33333333333333298</v>
      </c>
      <c r="K97">
        <v>1</v>
      </c>
      <c r="L97">
        <v>0.5</v>
      </c>
      <c r="M97">
        <v>0.33333333333333298</v>
      </c>
      <c r="N97">
        <v>0.27272727272727199</v>
      </c>
      <c r="O97">
        <v>0</v>
      </c>
      <c r="P97">
        <v>0</v>
      </c>
      <c r="Q97">
        <v>0</v>
      </c>
      <c r="R97">
        <v>0</v>
      </c>
      <c r="S97">
        <v>1</v>
      </c>
      <c r="T97">
        <v>0</v>
      </c>
      <c r="U97">
        <v>1</v>
      </c>
      <c r="V97">
        <v>1</v>
      </c>
      <c r="W97">
        <v>0</v>
      </c>
      <c r="X97">
        <v>0</v>
      </c>
      <c r="Y97">
        <v>0</v>
      </c>
      <c r="Z97">
        <v>1</v>
      </c>
      <c r="AA97">
        <v>0</v>
      </c>
      <c r="AB97">
        <v>0</v>
      </c>
      <c r="AC97">
        <v>0</v>
      </c>
      <c r="AD97">
        <v>0</v>
      </c>
      <c r="AE97">
        <v>0</v>
      </c>
      <c r="AF97">
        <v>0</v>
      </c>
      <c r="AG97">
        <v>0</v>
      </c>
      <c r="AH97">
        <v>0</v>
      </c>
      <c r="AI97">
        <v>0</v>
      </c>
      <c r="AJ97">
        <v>0</v>
      </c>
      <c r="AK97">
        <v>0</v>
      </c>
      <c r="AL97">
        <v>1</v>
      </c>
      <c r="AM97">
        <v>0</v>
      </c>
      <c r="AN97" t="s">
        <v>49</v>
      </c>
      <c r="AO97">
        <v>0</v>
      </c>
      <c r="AP97">
        <v>3</v>
      </c>
      <c r="AQ97">
        <v>1</v>
      </c>
      <c r="AR97">
        <v>0</v>
      </c>
      <c r="AS97">
        <v>1</v>
      </c>
      <c r="AT97">
        <v>1</v>
      </c>
    </row>
    <row r="98" spans="1:46" x14ac:dyDescent="0.2">
      <c r="A98" t="s">
        <v>156</v>
      </c>
      <c r="B98" s="2">
        <f t="shared" si="1"/>
        <v>45962</v>
      </c>
      <c r="C98" t="s">
        <v>52</v>
      </c>
      <c r="D98" s="1">
        <v>1.1145833333333334E-2</v>
      </c>
      <c r="E98">
        <v>31</v>
      </c>
      <c r="F98" t="s">
        <v>119</v>
      </c>
      <c r="G98" t="s">
        <v>146</v>
      </c>
      <c r="H98">
        <f>VLOOKUP(G98, cohort!A$2:B$21, 2, FALSE)</f>
        <v>3</v>
      </c>
      <c r="I98" t="s">
        <v>48</v>
      </c>
      <c r="J98">
        <v>0.55555555555555503</v>
      </c>
      <c r="K98">
        <v>1</v>
      </c>
      <c r="L98">
        <v>0.83333333333333304</v>
      </c>
      <c r="M98">
        <v>0.33333333333333298</v>
      </c>
      <c r="N98">
        <v>9.0909090909090898E-2</v>
      </c>
      <c r="O98">
        <v>0</v>
      </c>
      <c r="P98">
        <v>0</v>
      </c>
      <c r="Q98">
        <v>1</v>
      </c>
      <c r="R98">
        <v>0</v>
      </c>
      <c r="S98">
        <v>0</v>
      </c>
      <c r="T98">
        <v>0</v>
      </c>
      <c r="U98">
        <v>0</v>
      </c>
      <c r="V98">
        <v>0</v>
      </c>
      <c r="W98">
        <v>0</v>
      </c>
      <c r="X98">
        <v>0</v>
      </c>
      <c r="Y98">
        <v>0</v>
      </c>
      <c r="Z98">
        <v>1</v>
      </c>
      <c r="AA98">
        <v>0</v>
      </c>
      <c r="AB98">
        <v>0</v>
      </c>
      <c r="AC98">
        <v>0</v>
      </c>
      <c r="AD98">
        <v>0</v>
      </c>
      <c r="AE98">
        <v>0</v>
      </c>
      <c r="AF98">
        <v>0</v>
      </c>
      <c r="AG98">
        <v>0</v>
      </c>
      <c r="AH98">
        <v>0</v>
      </c>
      <c r="AI98">
        <v>0</v>
      </c>
      <c r="AJ98">
        <v>0</v>
      </c>
      <c r="AK98">
        <v>0</v>
      </c>
      <c r="AL98">
        <v>0</v>
      </c>
      <c r="AM98">
        <v>0</v>
      </c>
      <c r="AN98" t="s">
        <v>49</v>
      </c>
      <c r="AO98">
        <v>0</v>
      </c>
      <c r="AP98">
        <v>1</v>
      </c>
      <c r="AQ98">
        <v>1</v>
      </c>
      <c r="AR98">
        <v>0</v>
      </c>
      <c r="AS98">
        <v>0</v>
      </c>
      <c r="AT98">
        <v>0</v>
      </c>
    </row>
    <row r="99" spans="1:46" x14ac:dyDescent="0.2">
      <c r="A99" t="s">
        <v>156</v>
      </c>
      <c r="B99" s="2">
        <f t="shared" si="1"/>
        <v>45962</v>
      </c>
      <c r="C99" t="s">
        <v>52</v>
      </c>
      <c r="D99" s="1">
        <v>9.780092592592592E-3</v>
      </c>
      <c r="E99">
        <v>32</v>
      </c>
      <c r="F99" t="s">
        <v>123</v>
      </c>
      <c r="G99" t="s">
        <v>140</v>
      </c>
      <c r="H99">
        <f>VLOOKUP(G99, cohort!A$2:B$21, 2, FALSE)</f>
        <v>3</v>
      </c>
      <c r="I99" t="s">
        <v>48</v>
      </c>
      <c r="J99">
        <v>0.44444444444444398</v>
      </c>
      <c r="K99">
        <v>0.5</v>
      </c>
      <c r="L99">
        <v>0.66666666666666596</v>
      </c>
      <c r="M99">
        <v>0.33333333333333298</v>
      </c>
      <c r="N99">
        <v>0</v>
      </c>
      <c r="O99">
        <v>0</v>
      </c>
      <c r="P99">
        <v>0</v>
      </c>
      <c r="Q99">
        <v>0</v>
      </c>
      <c r="R99">
        <v>0</v>
      </c>
      <c r="S99">
        <v>0</v>
      </c>
      <c r="T99">
        <v>0</v>
      </c>
      <c r="U99">
        <v>1</v>
      </c>
      <c r="V99">
        <v>1</v>
      </c>
      <c r="W99">
        <v>0</v>
      </c>
      <c r="X99">
        <v>0</v>
      </c>
      <c r="Y99">
        <v>0</v>
      </c>
      <c r="Z99">
        <v>0</v>
      </c>
      <c r="AA99">
        <v>0</v>
      </c>
      <c r="AB99">
        <v>0</v>
      </c>
      <c r="AC99">
        <v>0</v>
      </c>
      <c r="AD99">
        <v>0</v>
      </c>
      <c r="AE99">
        <v>0</v>
      </c>
      <c r="AF99">
        <v>0</v>
      </c>
      <c r="AG99">
        <v>0</v>
      </c>
      <c r="AH99">
        <v>0</v>
      </c>
      <c r="AI99">
        <v>0</v>
      </c>
      <c r="AJ99">
        <v>0</v>
      </c>
      <c r="AK99">
        <v>0</v>
      </c>
      <c r="AL99">
        <v>0</v>
      </c>
      <c r="AM99">
        <v>0</v>
      </c>
      <c r="AN99" t="s">
        <v>49</v>
      </c>
      <c r="AO99">
        <v>0</v>
      </c>
      <c r="AP99">
        <v>2</v>
      </c>
      <c r="AQ99">
        <v>0</v>
      </c>
      <c r="AR99">
        <v>0</v>
      </c>
      <c r="AS99">
        <v>0</v>
      </c>
      <c r="AT99">
        <v>0</v>
      </c>
    </row>
    <row r="100" spans="1:46" x14ac:dyDescent="0.2">
      <c r="A100" t="s">
        <v>157</v>
      </c>
      <c r="B100" s="2">
        <f t="shared" si="1"/>
        <v>45962</v>
      </c>
      <c r="C100" t="s">
        <v>61</v>
      </c>
      <c r="D100" s="1">
        <v>1.6643518518518519E-2</v>
      </c>
      <c r="E100">
        <v>28</v>
      </c>
      <c r="F100" t="s">
        <v>84</v>
      </c>
      <c r="G100" t="s">
        <v>53</v>
      </c>
      <c r="H100">
        <f>VLOOKUP(G100, cohort!A$2:B$21, 2, FALSE)</f>
        <v>1</v>
      </c>
      <c r="I100" t="s">
        <v>48</v>
      </c>
      <c r="J100">
        <v>0.88888888888888795</v>
      </c>
      <c r="K100">
        <v>1</v>
      </c>
      <c r="L100">
        <v>0.83333333333333304</v>
      </c>
      <c r="M100">
        <v>0.86666666666666603</v>
      </c>
      <c r="N100">
        <v>0.72727272727272696</v>
      </c>
      <c r="O100">
        <v>0</v>
      </c>
      <c r="P100">
        <v>0</v>
      </c>
      <c r="Q100">
        <v>0</v>
      </c>
      <c r="R100">
        <v>0</v>
      </c>
      <c r="S100">
        <v>0</v>
      </c>
      <c r="T100">
        <v>1</v>
      </c>
      <c r="U100">
        <v>1</v>
      </c>
      <c r="V100">
        <v>0</v>
      </c>
      <c r="W100">
        <v>0</v>
      </c>
      <c r="X100">
        <v>0</v>
      </c>
      <c r="Y100">
        <v>0</v>
      </c>
      <c r="Z100">
        <v>0</v>
      </c>
      <c r="AA100">
        <v>0</v>
      </c>
      <c r="AB100">
        <v>0</v>
      </c>
      <c r="AC100">
        <v>0</v>
      </c>
      <c r="AD100">
        <v>0</v>
      </c>
      <c r="AE100">
        <v>0</v>
      </c>
      <c r="AF100">
        <v>0</v>
      </c>
      <c r="AG100">
        <v>0</v>
      </c>
      <c r="AH100">
        <v>0</v>
      </c>
      <c r="AI100">
        <v>0</v>
      </c>
      <c r="AJ100">
        <v>0</v>
      </c>
      <c r="AK100">
        <v>0</v>
      </c>
      <c r="AL100">
        <v>1</v>
      </c>
      <c r="AM100">
        <v>0</v>
      </c>
      <c r="AN100" t="s">
        <v>49</v>
      </c>
      <c r="AO100">
        <v>0</v>
      </c>
      <c r="AP100">
        <v>1</v>
      </c>
      <c r="AQ100">
        <v>1</v>
      </c>
      <c r="AR100">
        <v>1</v>
      </c>
      <c r="AS100">
        <v>0</v>
      </c>
      <c r="AT100">
        <v>1</v>
      </c>
    </row>
    <row r="101" spans="1:46" x14ac:dyDescent="0.2">
      <c r="A101" t="s">
        <v>157</v>
      </c>
      <c r="B101" s="2">
        <f t="shared" si="1"/>
        <v>45962</v>
      </c>
      <c r="C101" t="s">
        <v>61</v>
      </c>
      <c r="D101" s="1">
        <v>1.2569444444444444E-2</v>
      </c>
      <c r="E101">
        <v>16</v>
      </c>
      <c r="F101" t="s">
        <v>73</v>
      </c>
      <c r="G101" t="s">
        <v>135</v>
      </c>
      <c r="H101">
        <f>VLOOKUP(G101, cohort!A$2:B$21, 2, FALSE)</f>
        <v>3</v>
      </c>
      <c r="I101" t="s">
        <v>48</v>
      </c>
      <c r="J101">
        <v>0.55555555555555503</v>
      </c>
      <c r="K101">
        <v>0.5</v>
      </c>
      <c r="L101">
        <v>0.5</v>
      </c>
      <c r="M101">
        <v>0.266666666666666</v>
      </c>
      <c r="N101">
        <v>9.0909090909090898E-2</v>
      </c>
      <c r="O101">
        <v>0</v>
      </c>
      <c r="P101">
        <v>0</v>
      </c>
      <c r="Q101">
        <v>0</v>
      </c>
      <c r="R101">
        <v>1</v>
      </c>
      <c r="S101">
        <v>0</v>
      </c>
      <c r="T101">
        <v>0</v>
      </c>
      <c r="U101">
        <v>0</v>
      </c>
      <c r="V101">
        <v>0</v>
      </c>
      <c r="W101">
        <v>0</v>
      </c>
      <c r="X101">
        <v>0</v>
      </c>
      <c r="Y101">
        <v>0</v>
      </c>
      <c r="Z101">
        <v>0</v>
      </c>
      <c r="AA101">
        <v>0</v>
      </c>
      <c r="AB101">
        <v>1</v>
      </c>
      <c r="AC101">
        <v>0</v>
      </c>
      <c r="AD101">
        <v>0</v>
      </c>
      <c r="AE101">
        <v>0</v>
      </c>
      <c r="AF101">
        <v>0</v>
      </c>
      <c r="AG101">
        <v>0</v>
      </c>
      <c r="AH101">
        <v>0</v>
      </c>
      <c r="AI101">
        <v>0</v>
      </c>
      <c r="AJ101">
        <v>0</v>
      </c>
      <c r="AK101">
        <v>0</v>
      </c>
      <c r="AL101">
        <v>0</v>
      </c>
      <c r="AM101">
        <v>0</v>
      </c>
      <c r="AN101" t="s">
        <v>49</v>
      </c>
      <c r="AO101">
        <v>0</v>
      </c>
      <c r="AP101">
        <v>1</v>
      </c>
      <c r="AQ101">
        <v>0</v>
      </c>
      <c r="AR101">
        <v>0</v>
      </c>
      <c r="AS101">
        <v>1</v>
      </c>
      <c r="AT101">
        <v>0</v>
      </c>
    </row>
    <row r="102" spans="1:46" x14ac:dyDescent="0.2">
      <c r="A102" t="s">
        <v>158</v>
      </c>
      <c r="B102" s="2">
        <f t="shared" si="1"/>
        <v>45962</v>
      </c>
      <c r="C102" t="s">
        <v>92</v>
      </c>
      <c r="D102" s="1">
        <v>1.5138888888888889E-2</v>
      </c>
      <c r="E102">
        <v>18</v>
      </c>
      <c r="F102" t="s">
        <v>100</v>
      </c>
      <c r="G102" t="s">
        <v>59</v>
      </c>
      <c r="H102">
        <f>VLOOKUP(G102, cohort!A$2:B$21, 2, FALSE)</f>
        <v>1</v>
      </c>
      <c r="I102" t="s">
        <v>48</v>
      </c>
      <c r="J102">
        <v>1</v>
      </c>
      <c r="K102">
        <v>1</v>
      </c>
      <c r="L102">
        <v>0.66666666666666596</v>
      </c>
      <c r="M102">
        <v>0.93333333333333302</v>
      </c>
      <c r="N102">
        <v>0.72727272727272696</v>
      </c>
      <c r="O102">
        <v>0</v>
      </c>
      <c r="P102">
        <v>0</v>
      </c>
      <c r="Q102">
        <v>0</v>
      </c>
      <c r="R102">
        <v>0</v>
      </c>
      <c r="S102">
        <v>1</v>
      </c>
      <c r="T102">
        <v>0</v>
      </c>
      <c r="U102">
        <v>1</v>
      </c>
      <c r="V102">
        <v>1</v>
      </c>
      <c r="W102">
        <v>0</v>
      </c>
      <c r="X102">
        <v>0</v>
      </c>
      <c r="Y102">
        <v>0</v>
      </c>
      <c r="Z102">
        <v>1</v>
      </c>
      <c r="AA102">
        <v>0</v>
      </c>
      <c r="AB102">
        <v>0</v>
      </c>
      <c r="AC102">
        <v>0</v>
      </c>
      <c r="AD102">
        <v>0</v>
      </c>
      <c r="AE102">
        <v>0</v>
      </c>
      <c r="AF102">
        <v>0</v>
      </c>
      <c r="AG102">
        <v>0</v>
      </c>
      <c r="AH102">
        <v>0</v>
      </c>
      <c r="AI102">
        <v>0</v>
      </c>
      <c r="AJ102">
        <v>0</v>
      </c>
      <c r="AK102">
        <v>0</v>
      </c>
      <c r="AL102">
        <v>1</v>
      </c>
      <c r="AM102">
        <v>0</v>
      </c>
      <c r="AN102" t="s">
        <v>49</v>
      </c>
      <c r="AO102">
        <v>0</v>
      </c>
      <c r="AP102">
        <v>3</v>
      </c>
      <c r="AQ102">
        <v>1</v>
      </c>
      <c r="AR102">
        <v>0</v>
      </c>
      <c r="AS102">
        <v>1</v>
      </c>
      <c r="AT102">
        <v>1</v>
      </c>
    </row>
    <row r="103" spans="1:46" x14ac:dyDescent="0.2">
      <c r="A103" t="s">
        <v>158</v>
      </c>
      <c r="B103" s="2">
        <f t="shared" si="1"/>
        <v>45962</v>
      </c>
      <c r="C103" t="s">
        <v>92</v>
      </c>
      <c r="D103" s="1">
        <v>4.7222222222222223E-3</v>
      </c>
      <c r="E103">
        <v>7</v>
      </c>
      <c r="F103" t="s">
        <v>70</v>
      </c>
      <c r="G103" t="s">
        <v>143</v>
      </c>
      <c r="H103">
        <f>VLOOKUP(G103, cohort!A$2:B$21, 2, FALSE)</f>
        <v>2</v>
      </c>
      <c r="I103" t="s">
        <v>48</v>
      </c>
      <c r="J103">
        <v>0.44444444444444398</v>
      </c>
      <c r="K103">
        <v>0.5</v>
      </c>
      <c r="L103">
        <v>0.33333333333333298</v>
      </c>
      <c r="M103">
        <v>0</v>
      </c>
      <c r="N103">
        <v>0</v>
      </c>
      <c r="O103">
        <v>0</v>
      </c>
      <c r="P103">
        <v>0</v>
      </c>
      <c r="Q103">
        <v>0</v>
      </c>
      <c r="R103">
        <v>0</v>
      </c>
      <c r="S103">
        <v>0</v>
      </c>
      <c r="T103">
        <v>0</v>
      </c>
      <c r="U103">
        <v>1</v>
      </c>
      <c r="V103">
        <v>0</v>
      </c>
      <c r="W103">
        <v>1</v>
      </c>
      <c r="X103">
        <v>0</v>
      </c>
      <c r="Y103">
        <v>0</v>
      </c>
      <c r="Z103">
        <v>0</v>
      </c>
      <c r="AA103">
        <v>0</v>
      </c>
      <c r="AB103">
        <v>0</v>
      </c>
      <c r="AC103">
        <v>0</v>
      </c>
      <c r="AD103">
        <v>0</v>
      </c>
      <c r="AE103">
        <v>0</v>
      </c>
      <c r="AF103">
        <v>0</v>
      </c>
      <c r="AG103">
        <v>0</v>
      </c>
      <c r="AH103">
        <v>0</v>
      </c>
      <c r="AI103">
        <v>0</v>
      </c>
      <c r="AJ103">
        <v>1</v>
      </c>
      <c r="AK103">
        <v>0</v>
      </c>
      <c r="AL103">
        <v>0</v>
      </c>
      <c r="AM103">
        <v>0</v>
      </c>
      <c r="AN103" t="s">
        <v>49</v>
      </c>
      <c r="AO103">
        <v>0</v>
      </c>
      <c r="AP103">
        <v>2</v>
      </c>
      <c r="AQ103">
        <v>0</v>
      </c>
      <c r="AR103">
        <v>1</v>
      </c>
      <c r="AS103">
        <v>0</v>
      </c>
      <c r="AT103">
        <v>0</v>
      </c>
    </row>
    <row r="104" spans="1:46" x14ac:dyDescent="0.2">
      <c r="A104" t="s">
        <v>159</v>
      </c>
      <c r="B104" s="2">
        <f t="shared" si="1"/>
        <v>45962</v>
      </c>
      <c r="C104" t="s">
        <v>45</v>
      </c>
      <c r="D104" s="1">
        <v>1.3900462962962963E-2</v>
      </c>
      <c r="E104">
        <v>31</v>
      </c>
      <c r="F104" t="s">
        <v>119</v>
      </c>
      <c r="G104" t="s">
        <v>154</v>
      </c>
      <c r="H104">
        <f>VLOOKUP(G104, cohort!A$2:B$21, 2, FALSE)</f>
        <v>3</v>
      </c>
      <c r="I104" t="s">
        <v>50</v>
      </c>
      <c r="J104">
        <v>0.77777777777777701</v>
      </c>
      <c r="K104">
        <v>1</v>
      </c>
      <c r="L104">
        <v>0.66666666666666596</v>
      </c>
      <c r="M104">
        <v>0.73333333333333295</v>
      </c>
      <c r="N104">
        <v>0.63636363636363602</v>
      </c>
      <c r="O104">
        <v>0</v>
      </c>
      <c r="P104">
        <v>0</v>
      </c>
      <c r="Q104">
        <v>1</v>
      </c>
      <c r="R104">
        <v>0</v>
      </c>
      <c r="S104">
        <v>0</v>
      </c>
      <c r="T104">
        <v>0</v>
      </c>
      <c r="U104">
        <v>0</v>
      </c>
      <c r="V104">
        <v>0</v>
      </c>
      <c r="W104">
        <v>0</v>
      </c>
      <c r="X104">
        <v>0</v>
      </c>
      <c r="Y104">
        <v>0</v>
      </c>
      <c r="Z104">
        <v>1</v>
      </c>
      <c r="AA104">
        <v>0</v>
      </c>
      <c r="AB104">
        <v>0</v>
      </c>
      <c r="AC104">
        <v>0</v>
      </c>
      <c r="AD104">
        <v>0</v>
      </c>
      <c r="AE104">
        <v>0</v>
      </c>
      <c r="AF104">
        <v>0</v>
      </c>
      <c r="AG104">
        <v>0</v>
      </c>
      <c r="AH104">
        <v>0</v>
      </c>
      <c r="AI104">
        <v>0</v>
      </c>
      <c r="AJ104">
        <v>0</v>
      </c>
      <c r="AK104">
        <v>0</v>
      </c>
      <c r="AL104">
        <v>0</v>
      </c>
      <c r="AM104">
        <v>0</v>
      </c>
      <c r="AN104" t="s">
        <v>49</v>
      </c>
      <c r="AO104">
        <v>0</v>
      </c>
      <c r="AP104">
        <v>1</v>
      </c>
      <c r="AQ104">
        <v>1</v>
      </c>
      <c r="AR104">
        <v>0</v>
      </c>
      <c r="AS104">
        <v>0</v>
      </c>
      <c r="AT104">
        <v>0</v>
      </c>
    </row>
    <row r="105" spans="1:46" x14ac:dyDescent="0.2">
      <c r="A105" t="s">
        <v>160</v>
      </c>
      <c r="B105" s="2">
        <f t="shared" si="1"/>
        <v>45962</v>
      </c>
      <c r="C105" t="s">
        <v>52</v>
      </c>
      <c r="D105" s="1">
        <v>7.8125E-3</v>
      </c>
      <c r="E105">
        <v>7</v>
      </c>
      <c r="F105" t="s">
        <v>70</v>
      </c>
      <c r="G105" t="s">
        <v>140</v>
      </c>
      <c r="H105">
        <f>VLOOKUP(G105, cohort!A$2:B$21, 2, FALSE)</f>
        <v>3</v>
      </c>
      <c r="I105" t="s">
        <v>48</v>
      </c>
      <c r="J105">
        <v>0.66666666666666596</v>
      </c>
      <c r="K105">
        <v>1</v>
      </c>
      <c r="L105">
        <v>0.66666666666666596</v>
      </c>
      <c r="M105">
        <v>0.133333333333333</v>
      </c>
      <c r="N105">
        <v>0</v>
      </c>
      <c r="O105">
        <v>0</v>
      </c>
      <c r="P105">
        <v>0</v>
      </c>
      <c r="Q105">
        <v>0</v>
      </c>
      <c r="R105">
        <v>0</v>
      </c>
      <c r="S105">
        <v>0</v>
      </c>
      <c r="T105">
        <v>0</v>
      </c>
      <c r="U105">
        <v>1</v>
      </c>
      <c r="V105">
        <v>0</v>
      </c>
      <c r="W105">
        <v>1</v>
      </c>
      <c r="X105">
        <v>0</v>
      </c>
      <c r="Y105">
        <v>0</v>
      </c>
      <c r="Z105">
        <v>0</v>
      </c>
      <c r="AA105">
        <v>0</v>
      </c>
      <c r="AB105">
        <v>0</v>
      </c>
      <c r="AC105">
        <v>0</v>
      </c>
      <c r="AD105">
        <v>0</v>
      </c>
      <c r="AE105">
        <v>0</v>
      </c>
      <c r="AF105">
        <v>0</v>
      </c>
      <c r="AG105">
        <v>0</v>
      </c>
      <c r="AH105">
        <v>0</v>
      </c>
      <c r="AI105">
        <v>0</v>
      </c>
      <c r="AJ105">
        <v>1</v>
      </c>
      <c r="AK105">
        <v>0</v>
      </c>
      <c r="AL105">
        <v>0</v>
      </c>
      <c r="AM105">
        <v>0</v>
      </c>
      <c r="AN105" t="s">
        <v>49</v>
      </c>
      <c r="AO105">
        <v>0</v>
      </c>
      <c r="AP105">
        <v>2</v>
      </c>
      <c r="AQ105">
        <v>0</v>
      </c>
      <c r="AR105">
        <v>1</v>
      </c>
      <c r="AS105">
        <v>0</v>
      </c>
      <c r="AT105">
        <v>0</v>
      </c>
    </row>
    <row r="106" spans="1:46" x14ac:dyDescent="0.2">
      <c r="A106" t="s">
        <v>160</v>
      </c>
      <c r="B106" s="2">
        <f t="shared" si="1"/>
        <v>45962</v>
      </c>
      <c r="C106" t="s">
        <v>52</v>
      </c>
      <c r="D106" s="1">
        <v>1.412037037037037E-2</v>
      </c>
      <c r="E106">
        <v>34</v>
      </c>
      <c r="F106" t="s">
        <v>151</v>
      </c>
      <c r="G106" t="s">
        <v>137</v>
      </c>
      <c r="H106">
        <f>VLOOKUP(G106, cohort!A$2:B$21, 2, FALSE)</f>
        <v>3</v>
      </c>
      <c r="I106" t="s">
        <v>48</v>
      </c>
      <c r="J106">
        <v>0.44444444444444398</v>
      </c>
      <c r="K106">
        <v>0.5</v>
      </c>
      <c r="L106">
        <v>0.66666666666666596</v>
      </c>
      <c r="M106">
        <v>0.2</v>
      </c>
      <c r="N106">
        <v>9.0909090909090898E-2</v>
      </c>
      <c r="O106">
        <v>0</v>
      </c>
      <c r="P106">
        <v>0</v>
      </c>
      <c r="Q106">
        <v>0</v>
      </c>
      <c r="R106">
        <v>0</v>
      </c>
      <c r="S106">
        <v>0</v>
      </c>
      <c r="T106">
        <v>0</v>
      </c>
      <c r="U106">
        <v>0</v>
      </c>
      <c r="V106">
        <v>0</v>
      </c>
      <c r="W106">
        <v>1</v>
      </c>
      <c r="X106">
        <v>1</v>
      </c>
      <c r="Y106">
        <v>0</v>
      </c>
      <c r="Z106">
        <v>0</v>
      </c>
      <c r="AA106">
        <v>0</v>
      </c>
      <c r="AB106">
        <v>0</v>
      </c>
      <c r="AC106">
        <v>1</v>
      </c>
      <c r="AD106">
        <v>0</v>
      </c>
      <c r="AE106">
        <v>0</v>
      </c>
      <c r="AF106">
        <v>0</v>
      </c>
      <c r="AG106">
        <v>0</v>
      </c>
      <c r="AH106">
        <v>0</v>
      </c>
      <c r="AI106">
        <v>0</v>
      </c>
      <c r="AJ106">
        <v>0</v>
      </c>
      <c r="AK106">
        <v>0</v>
      </c>
      <c r="AL106">
        <v>0</v>
      </c>
      <c r="AM106">
        <v>0</v>
      </c>
      <c r="AN106" t="s">
        <v>49</v>
      </c>
      <c r="AO106">
        <v>1</v>
      </c>
      <c r="AP106">
        <v>2</v>
      </c>
      <c r="AQ106">
        <v>1</v>
      </c>
      <c r="AR106">
        <v>1</v>
      </c>
      <c r="AS106">
        <v>2</v>
      </c>
      <c r="AT106">
        <v>1</v>
      </c>
    </row>
    <row r="107" spans="1:46" x14ac:dyDescent="0.2">
      <c r="A107" t="s">
        <v>161</v>
      </c>
      <c r="B107" s="2">
        <f t="shared" si="1"/>
        <v>45992</v>
      </c>
      <c r="C107" t="s">
        <v>92</v>
      </c>
      <c r="D107" s="1">
        <v>1.7372685185185185E-2</v>
      </c>
      <c r="E107">
        <v>34</v>
      </c>
      <c r="F107" t="s">
        <v>151</v>
      </c>
      <c r="G107" t="s">
        <v>143</v>
      </c>
      <c r="H107">
        <f>VLOOKUP(G107, cohort!A$2:B$21, 2, FALSE)</f>
        <v>2</v>
      </c>
      <c r="I107" t="s">
        <v>50</v>
      </c>
      <c r="J107">
        <v>0.88888888888888795</v>
      </c>
      <c r="K107">
        <v>1</v>
      </c>
      <c r="L107">
        <v>0.66666666666666596</v>
      </c>
      <c r="M107">
        <v>0.73333333333333295</v>
      </c>
      <c r="N107">
        <v>0.72727272727272696</v>
      </c>
      <c r="O107">
        <v>0</v>
      </c>
      <c r="P107">
        <v>0</v>
      </c>
      <c r="Q107">
        <v>0</v>
      </c>
      <c r="R107">
        <v>0</v>
      </c>
      <c r="S107">
        <v>0</v>
      </c>
      <c r="T107">
        <v>0</v>
      </c>
      <c r="U107">
        <v>0</v>
      </c>
      <c r="V107">
        <v>0</v>
      </c>
      <c r="W107">
        <v>1</v>
      </c>
      <c r="X107">
        <v>1</v>
      </c>
      <c r="Y107">
        <v>0</v>
      </c>
      <c r="Z107">
        <v>0</v>
      </c>
      <c r="AA107">
        <v>0</v>
      </c>
      <c r="AB107">
        <v>0</v>
      </c>
      <c r="AC107">
        <v>1</v>
      </c>
      <c r="AD107">
        <v>0</v>
      </c>
      <c r="AE107">
        <v>0</v>
      </c>
      <c r="AF107">
        <v>0</v>
      </c>
      <c r="AG107">
        <v>0</v>
      </c>
      <c r="AH107">
        <v>0</v>
      </c>
      <c r="AI107">
        <v>0</v>
      </c>
      <c r="AJ107">
        <v>0</v>
      </c>
      <c r="AK107">
        <v>0</v>
      </c>
      <c r="AL107">
        <v>0</v>
      </c>
      <c r="AM107">
        <v>0</v>
      </c>
      <c r="AN107" t="s">
        <v>49</v>
      </c>
      <c r="AO107">
        <v>1</v>
      </c>
      <c r="AP107">
        <v>2</v>
      </c>
      <c r="AQ107">
        <v>1</v>
      </c>
      <c r="AR107">
        <v>1</v>
      </c>
      <c r="AS107">
        <v>2</v>
      </c>
      <c r="AT107">
        <v>1</v>
      </c>
    </row>
    <row r="108" spans="1:46" x14ac:dyDescent="0.2">
      <c r="A108" t="s">
        <v>161</v>
      </c>
      <c r="B108" s="2">
        <f t="shared" si="1"/>
        <v>45992</v>
      </c>
      <c r="C108" t="s">
        <v>92</v>
      </c>
      <c r="D108" s="1">
        <v>1.3321759259259259E-2</v>
      </c>
      <c r="E108">
        <v>16</v>
      </c>
      <c r="F108" t="s">
        <v>73</v>
      </c>
      <c r="G108" t="s">
        <v>137</v>
      </c>
      <c r="H108">
        <f>VLOOKUP(G108, cohort!A$2:B$21, 2, FALSE)</f>
        <v>3</v>
      </c>
      <c r="I108" t="s">
        <v>48</v>
      </c>
      <c r="J108">
        <v>0.55555555555555503</v>
      </c>
      <c r="K108">
        <v>0.5</v>
      </c>
      <c r="L108">
        <v>0.5</v>
      </c>
      <c r="M108">
        <v>0.4</v>
      </c>
      <c r="N108">
        <v>0.27272727272727199</v>
      </c>
      <c r="O108">
        <v>0</v>
      </c>
      <c r="P108">
        <v>0</v>
      </c>
      <c r="Q108">
        <v>0</v>
      </c>
      <c r="R108">
        <v>1</v>
      </c>
      <c r="S108">
        <v>0</v>
      </c>
      <c r="T108">
        <v>0</v>
      </c>
      <c r="U108">
        <v>0</v>
      </c>
      <c r="V108">
        <v>0</v>
      </c>
      <c r="W108">
        <v>0</v>
      </c>
      <c r="X108">
        <v>0</v>
      </c>
      <c r="Y108">
        <v>0</v>
      </c>
      <c r="Z108">
        <v>0</v>
      </c>
      <c r="AA108">
        <v>0</v>
      </c>
      <c r="AB108">
        <v>1</v>
      </c>
      <c r="AC108">
        <v>0</v>
      </c>
      <c r="AD108">
        <v>0</v>
      </c>
      <c r="AE108">
        <v>0</v>
      </c>
      <c r="AF108">
        <v>0</v>
      </c>
      <c r="AG108">
        <v>0</v>
      </c>
      <c r="AH108">
        <v>0</v>
      </c>
      <c r="AI108">
        <v>0</v>
      </c>
      <c r="AJ108">
        <v>0</v>
      </c>
      <c r="AK108">
        <v>0</v>
      </c>
      <c r="AL108">
        <v>0</v>
      </c>
      <c r="AM108">
        <v>0</v>
      </c>
      <c r="AN108" t="s">
        <v>49</v>
      </c>
      <c r="AO108">
        <v>0</v>
      </c>
      <c r="AP108">
        <v>1</v>
      </c>
      <c r="AQ108">
        <v>0</v>
      </c>
      <c r="AR108">
        <v>0</v>
      </c>
      <c r="AS108">
        <v>1</v>
      </c>
      <c r="AT108">
        <v>0</v>
      </c>
    </row>
    <row r="109" spans="1:46" x14ac:dyDescent="0.2">
      <c r="A109" t="s">
        <v>162</v>
      </c>
      <c r="B109" s="2">
        <f t="shared" si="1"/>
        <v>45992</v>
      </c>
      <c r="C109" t="s">
        <v>45</v>
      </c>
      <c r="D109" s="1">
        <v>1.2662037037037038E-2</v>
      </c>
      <c r="E109">
        <v>32</v>
      </c>
      <c r="F109" t="s">
        <v>123</v>
      </c>
      <c r="G109" t="s">
        <v>154</v>
      </c>
      <c r="H109">
        <f>VLOOKUP(G109, cohort!A$2:B$21, 2, FALSE)</f>
        <v>3</v>
      </c>
      <c r="I109" t="s">
        <v>48</v>
      </c>
      <c r="J109">
        <v>0.44444444444444398</v>
      </c>
      <c r="K109">
        <v>1</v>
      </c>
      <c r="L109">
        <v>0.66666666666666596</v>
      </c>
      <c r="M109">
        <v>0.6</v>
      </c>
      <c r="N109">
        <v>0.45454545454545398</v>
      </c>
      <c r="O109">
        <v>0</v>
      </c>
      <c r="P109">
        <v>0</v>
      </c>
      <c r="Q109">
        <v>0</v>
      </c>
      <c r="R109">
        <v>0</v>
      </c>
      <c r="S109">
        <v>0</v>
      </c>
      <c r="T109">
        <v>0</v>
      </c>
      <c r="U109">
        <v>1</v>
      </c>
      <c r="V109">
        <v>1</v>
      </c>
      <c r="W109">
        <v>0</v>
      </c>
      <c r="X109">
        <v>0</v>
      </c>
      <c r="Y109">
        <v>0</v>
      </c>
      <c r="Z109">
        <v>0</v>
      </c>
      <c r="AA109">
        <v>0</v>
      </c>
      <c r="AB109">
        <v>0</v>
      </c>
      <c r="AC109">
        <v>0</v>
      </c>
      <c r="AD109">
        <v>0</v>
      </c>
      <c r="AE109">
        <v>0</v>
      </c>
      <c r="AF109">
        <v>0</v>
      </c>
      <c r="AG109">
        <v>0</v>
      </c>
      <c r="AH109">
        <v>0</v>
      </c>
      <c r="AI109">
        <v>0</v>
      </c>
      <c r="AJ109">
        <v>0</v>
      </c>
      <c r="AK109">
        <v>0</v>
      </c>
      <c r="AL109">
        <v>0</v>
      </c>
      <c r="AM109">
        <v>0</v>
      </c>
      <c r="AN109" t="s">
        <v>49</v>
      </c>
      <c r="AO109">
        <v>0</v>
      </c>
      <c r="AP109">
        <v>2</v>
      </c>
      <c r="AQ109">
        <v>0</v>
      </c>
      <c r="AR109">
        <v>0</v>
      </c>
      <c r="AS109">
        <v>0</v>
      </c>
      <c r="AT109">
        <v>0</v>
      </c>
    </row>
    <row r="110" spans="1:46" x14ac:dyDescent="0.2">
      <c r="A110" t="s">
        <v>162</v>
      </c>
      <c r="B110" s="2">
        <f t="shared" si="1"/>
        <v>45992</v>
      </c>
      <c r="C110" t="s">
        <v>45</v>
      </c>
      <c r="D110" s="1">
        <v>1.5879629629629629E-2</v>
      </c>
      <c r="E110">
        <v>8</v>
      </c>
      <c r="F110" t="s">
        <v>95</v>
      </c>
      <c r="G110" t="s">
        <v>107</v>
      </c>
      <c r="H110">
        <f>VLOOKUP(G110, cohort!A$2:B$21, 2, FALSE)</f>
        <v>2</v>
      </c>
      <c r="I110" t="s">
        <v>48</v>
      </c>
      <c r="J110">
        <v>0.88888888888888795</v>
      </c>
      <c r="K110">
        <v>1</v>
      </c>
      <c r="L110">
        <v>0.83333333333333304</v>
      </c>
      <c r="M110">
        <v>0.86666666666666603</v>
      </c>
      <c r="N110">
        <v>0.72727272727272696</v>
      </c>
      <c r="O110">
        <v>0</v>
      </c>
      <c r="P110">
        <v>0</v>
      </c>
      <c r="Q110">
        <v>0</v>
      </c>
      <c r="R110">
        <v>0</v>
      </c>
      <c r="S110">
        <v>0</v>
      </c>
      <c r="T110">
        <v>0</v>
      </c>
      <c r="U110">
        <v>0</v>
      </c>
      <c r="V110">
        <v>1</v>
      </c>
      <c r="W110">
        <v>0</v>
      </c>
      <c r="X110">
        <v>0</v>
      </c>
      <c r="Y110">
        <v>0</v>
      </c>
      <c r="Z110">
        <v>0</v>
      </c>
      <c r="AA110">
        <v>1</v>
      </c>
      <c r="AB110">
        <v>0</v>
      </c>
      <c r="AC110">
        <v>0</v>
      </c>
      <c r="AD110">
        <v>0</v>
      </c>
      <c r="AE110">
        <v>0</v>
      </c>
      <c r="AF110">
        <v>0</v>
      </c>
      <c r="AG110">
        <v>0</v>
      </c>
      <c r="AH110">
        <v>0</v>
      </c>
      <c r="AI110">
        <v>0</v>
      </c>
      <c r="AJ110">
        <v>0</v>
      </c>
      <c r="AK110">
        <v>0</v>
      </c>
      <c r="AL110">
        <v>1</v>
      </c>
      <c r="AM110">
        <v>0</v>
      </c>
      <c r="AN110" t="s">
        <v>49</v>
      </c>
      <c r="AO110">
        <v>0</v>
      </c>
      <c r="AP110">
        <v>1</v>
      </c>
      <c r="AQ110">
        <v>2</v>
      </c>
      <c r="AR110">
        <v>0</v>
      </c>
      <c r="AS110">
        <v>0</v>
      </c>
      <c r="AT110">
        <v>1</v>
      </c>
    </row>
    <row r="111" spans="1:46" x14ac:dyDescent="0.2">
      <c r="A111" t="s">
        <v>163</v>
      </c>
      <c r="B111" s="2">
        <f t="shared" si="1"/>
        <v>45992</v>
      </c>
      <c r="C111" t="s">
        <v>52</v>
      </c>
      <c r="D111" s="1">
        <v>1.2824074074074075E-2</v>
      </c>
      <c r="E111">
        <v>4</v>
      </c>
      <c r="F111" t="s">
        <v>87</v>
      </c>
      <c r="G111" t="s">
        <v>118</v>
      </c>
      <c r="H111" t="str">
        <f>VLOOKUP(G111, cohort!A$2:B$21, 2, FALSE)</f>
        <v>x</v>
      </c>
      <c r="I111" t="s">
        <v>48</v>
      </c>
      <c r="J111">
        <v>0.66666666666666596</v>
      </c>
      <c r="K111">
        <v>1</v>
      </c>
      <c r="L111">
        <v>0.66666666666666596</v>
      </c>
      <c r="M111">
        <v>0.46666666666666601</v>
      </c>
      <c r="N111">
        <v>0.27272727272727199</v>
      </c>
      <c r="O111">
        <v>1</v>
      </c>
      <c r="P111">
        <v>0</v>
      </c>
      <c r="Q111">
        <v>0</v>
      </c>
      <c r="R111">
        <v>0</v>
      </c>
      <c r="S111">
        <v>0</v>
      </c>
      <c r="T111">
        <v>0</v>
      </c>
      <c r="U111">
        <v>0</v>
      </c>
      <c r="V111">
        <v>0</v>
      </c>
      <c r="W111">
        <v>0</v>
      </c>
      <c r="X111">
        <v>0</v>
      </c>
      <c r="Y111">
        <v>0</v>
      </c>
      <c r="Z111">
        <v>0</v>
      </c>
      <c r="AA111">
        <v>0</v>
      </c>
      <c r="AB111">
        <v>0</v>
      </c>
      <c r="AC111">
        <v>1</v>
      </c>
      <c r="AD111">
        <v>0</v>
      </c>
      <c r="AE111">
        <v>1</v>
      </c>
      <c r="AF111">
        <v>0</v>
      </c>
      <c r="AG111">
        <v>1</v>
      </c>
      <c r="AH111">
        <v>0</v>
      </c>
      <c r="AI111">
        <v>0</v>
      </c>
      <c r="AJ111">
        <v>0</v>
      </c>
      <c r="AK111">
        <v>0</v>
      </c>
      <c r="AL111">
        <v>0</v>
      </c>
      <c r="AM111">
        <v>0</v>
      </c>
      <c r="AN111" t="s">
        <v>49</v>
      </c>
      <c r="AO111">
        <v>1</v>
      </c>
      <c r="AP111">
        <v>4</v>
      </c>
      <c r="AQ111">
        <v>1</v>
      </c>
      <c r="AR111">
        <v>1</v>
      </c>
      <c r="AS111">
        <v>1</v>
      </c>
      <c r="AT111">
        <v>1</v>
      </c>
    </row>
    <row r="112" spans="1:46" x14ac:dyDescent="0.2">
      <c r="A112" t="s">
        <v>164</v>
      </c>
      <c r="B112" s="2">
        <f t="shared" si="1"/>
        <v>45992</v>
      </c>
      <c r="C112" t="s">
        <v>58</v>
      </c>
      <c r="D112" s="1">
        <v>1.4201388888888888E-2</v>
      </c>
      <c r="E112">
        <v>17</v>
      </c>
      <c r="F112" t="s">
        <v>148</v>
      </c>
      <c r="G112" t="s">
        <v>47</v>
      </c>
      <c r="H112">
        <f>VLOOKUP(G112, cohort!A$2:B$21, 2, FALSE)</f>
        <v>1</v>
      </c>
      <c r="I112" t="s">
        <v>48</v>
      </c>
      <c r="J112">
        <v>0.88888888888888795</v>
      </c>
      <c r="K112">
        <v>1</v>
      </c>
      <c r="L112">
        <v>0.66666666666666596</v>
      </c>
      <c r="M112">
        <v>0.8</v>
      </c>
      <c r="N112">
        <v>0.72727272727272696</v>
      </c>
      <c r="O112">
        <v>0</v>
      </c>
      <c r="P112">
        <v>0</v>
      </c>
      <c r="Q112">
        <v>0</v>
      </c>
      <c r="R112">
        <v>0</v>
      </c>
      <c r="S112">
        <v>1</v>
      </c>
      <c r="T112">
        <v>0</v>
      </c>
      <c r="U112">
        <v>1</v>
      </c>
      <c r="V112">
        <v>0</v>
      </c>
      <c r="W112">
        <v>0</v>
      </c>
      <c r="X112">
        <v>0</v>
      </c>
      <c r="Y112">
        <v>0</v>
      </c>
      <c r="Z112">
        <v>1</v>
      </c>
      <c r="AA112">
        <v>0</v>
      </c>
      <c r="AB112">
        <v>0</v>
      </c>
      <c r="AC112">
        <v>0</v>
      </c>
      <c r="AD112">
        <v>0</v>
      </c>
      <c r="AE112">
        <v>0</v>
      </c>
      <c r="AF112">
        <v>0</v>
      </c>
      <c r="AG112">
        <v>0</v>
      </c>
      <c r="AH112">
        <v>0</v>
      </c>
      <c r="AI112">
        <v>0</v>
      </c>
      <c r="AJ112">
        <v>0</v>
      </c>
      <c r="AK112">
        <v>0</v>
      </c>
      <c r="AL112">
        <v>0</v>
      </c>
      <c r="AM112">
        <v>0</v>
      </c>
      <c r="AN112" t="s">
        <v>49</v>
      </c>
      <c r="AO112">
        <v>0</v>
      </c>
      <c r="AP112">
        <v>2</v>
      </c>
      <c r="AQ112">
        <v>0</v>
      </c>
      <c r="AR112">
        <v>0</v>
      </c>
      <c r="AS112">
        <v>1</v>
      </c>
      <c r="AT112">
        <v>0</v>
      </c>
    </row>
    <row r="113" spans="1:46" x14ac:dyDescent="0.2">
      <c r="A113" t="s">
        <v>164</v>
      </c>
      <c r="B113" s="2">
        <f t="shared" si="1"/>
        <v>45992</v>
      </c>
      <c r="C113" t="s">
        <v>58</v>
      </c>
      <c r="D113" s="1">
        <v>5.7523148148148151E-3</v>
      </c>
      <c r="E113">
        <v>29</v>
      </c>
      <c r="F113" t="s">
        <v>106</v>
      </c>
      <c r="G113" t="s">
        <v>165</v>
      </c>
      <c r="H113">
        <f>VLOOKUP(G113, cohort!A$2:B$21, 2, FALSE)</f>
        <v>4</v>
      </c>
      <c r="I113" t="s">
        <v>48</v>
      </c>
      <c r="J113">
        <v>0.55555555555555503</v>
      </c>
      <c r="K113">
        <v>1</v>
      </c>
      <c r="L113">
        <v>0.5</v>
      </c>
      <c r="M113">
        <v>0.46666666666666601</v>
      </c>
      <c r="N113">
        <v>0.27272727272727199</v>
      </c>
      <c r="O113">
        <v>0</v>
      </c>
      <c r="P113">
        <v>0</v>
      </c>
      <c r="Q113">
        <v>1</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1</v>
      </c>
      <c r="AL113">
        <v>0</v>
      </c>
      <c r="AM113">
        <v>0</v>
      </c>
      <c r="AN113" t="s">
        <v>49</v>
      </c>
      <c r="AO113">
        <v>0</v>
      </c>
      <c r="AP113">
        <v>1</v>
      </c>
      <c r="AQ113">
        <v>2</v>
      </c>
      <c r="AR113">
        <v>0</v>
      </c>
      <c r="AS113">
        <v>0</v>
      </c>
      <c r="AT113">
        <v>0</v>
      </c>
    </row>
    <row r="114" spans="1:46" x14ac:dyDescent="0.2">
      <c r="A114" t="s">
        <v>166</v>
      </c>
      <c r="B114" s="2">
        <f t="shared" si="1"/>
        <v>45992</v>
      </c>
      <c r="C114" t="s">
        <v>92</v>
      </c>
      <c r="D114" s="1">
        <v>1.15625E-2</v>
      </c>
      <c r="E114">
        <v>7</v>
      </c>
      <c r="F114" t="s">
        <v>70</v>
      </c>
      <c r="G114" t="s">
        <v>154</v>
      </c>
      <c r="H114">
        <f>VLOOKUP(G114, cohort!A$2:B$21, 2, FALSE)</f>
        <v>3</v>
      </c>
      <c r="I114" t="s">
        <v>48</v>
      </c>
      <c r="J114">
        <v>1</v>
      </c>
      <c r="K114">
        <v>1</v>
      </c>
      <c r="L114">
        <v>0.66666666666666596</v>
      </c>
      <c r="M114">
        <v>0.6</v>
      </c>
      <c r="N114">
        <v>0.27272727272727199</v>
      </c>
      <c r="O114">
        <v>0</v>
      </c>
      <c r="P114">
        <v>0</v>
      </c>
      <c r="Q114">
        <v>0</v>
      </c>
      <c r="R114">
        <v>0</v>
      </c>
      <c r="S114">
        <v>0</v>
      </c>
      <c r="T114">
        <v>0</v>
      </c>
      <c r="U114">
        <v>1</v>
      </c>
      <c r="V114">
        <v>0</v>
      </c>
      <c r="W114">
        <v>1</v>
      </c>
      <c r="X114">
        <v>0</v>
      </c>
      <c r="Y114">
        <v>0</v>
      </c>
      <c r="Z114">
        <v>0</v>
      </c>
      <c r="AA114">
        <v>0</v>
      </c>
      <c r="AB114">
        <v>0</v>
      </c>
      <c r="AC114">
        <v>0</v>
      </c>
      <c r="AD114">
        <v>0</v>
      </c>
      <c r="AE114">
        <v>0</v>
      </c>
      <c r="AF114">
        <v>0</v>
      </c>
      <c r="AG114">
        <v>0</v>
      </c>
      <c r="AH114">
        <v>0</v>
      </c>
      <c r="AI114">
        <v>0</v>
      </c>
      <c r="AJ114">
        <v>1</v>
      </c>
      <c r="AK114">
        <v>0</v>
      </c>
      <c r="AL114">
        <v>0</v>
      </c>
      <c r="AM114">
        <v>0</v>
      </c>
      <c r="AN114" t="s">
        <v>49</v>
      </c>
      <c r="AO114">
        <v>0</v>
      </c>
      <c r="AP114">
        <v>2</v>
      </c>
      <c r="AQ114">
        <v>0</v>
      </c>
      <c r="AR114">
        <v>1</v>
      </c>
      <c r="AS114">
        <v>0</v>
      </c>
      <c r="AT114">
        <v>0</v>
      </c>
    </row>
    <row r="115" spans="1:46" x14ac:dyDescent="0.2">
      <c r="A115" t="s">
        <v>166</v>
      </c>
      <c r="B115" s="2">
        <f t="shared" si="1"/>
        <v>45992</v>
      </c>
      <c r="C115" t="s">
        <v>92</v>
      </c>
      <c r="D115" s="1">
        <v>1.3912037037037037E-2</v>
      </c>
      <c r="E115">
        <v>16</v>
      </c>
      <c r="F115" t="s">
        <v>73</v>
      </c>
      <c r="G115" t="s">
        <v>143</v>
      </c>
      <c r="H115">
        <f>VLOOKUP(G115, cohort!A$2:B$21, 2, FALSE)</f>
        <v>2</v>
      </c>
      <c r="I115" t="s">
        <v>50</v>
      </c>
      <c r="J115">
        <v>0.55555555555555503</v>
      </c>
      <c r="K115">
        <v>0.5</v>
      </c>
      <c r="L115">
        <v>0.33333333333333298</v>
      </c>
      <c r="M115">
        <v>0.133333333333333</v>
      </c>
      <c r="N115">
        <v>9.0909090909090898E-2</v>
      </c>
      <c r="O115">
        <v>0</v>
      </c>
      <c r="P115">
        <v>0</v>
      </c>
      <c r="Q115">
        <v>0</v>
      </c>
      <c r="R115">
        <v>1</v>
      </c>
      <c r="S115">
        <v>0</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t="s">
        <v>49</v>
      </c>
      <c r="AO115">
        <v>0</v>
      </c>
      <c r="AP115">
        <v>1</v>
      </c>
      <c r="AQ115">
        <v>0</v>
      </c>
      <c r="AR115">
        <v>0</v>
      </c>
      <c r="AS115">
        <v>1</v>
      </c>
      <c r="AT115">
        <v>0</v>
      </c>
    </row>
    <row r="116" spans="1:46" x14ac:dyDescent="0.2">
      <c r="A116" t="s">
        <v>166</v>
      </c>
      <c r="B116" s="2">
        <f t="shared" si="1"/>
        <v>45992</v>
      </c>
      <c r="C116" t="s">
        <v>92</v>
      </c>
      <c r="D116" s="1">
        <v>1.2569444444444444E-2</v>
      </c>
      <c r="E116">
        <v>4</v>
      </c>
      <c r="F116" t="s">
        <v>87</v>
      </c>
      <c r="G116" t="s">
        <v>137</v>
      </c>
      <c r="H116">
        <f>VLOOKUP(G116, cohort!A$2:B$21, 2, FALSE)</f>
        <v>3</v>
      </c>
      <c r="I116" t="s">
        <v>48</v>
      </c>
      <c r="J116">
        <v>1</v>
      </c>
      <c r="K116">
        <v>1</v>
      </c>
      <c r="L116">
        <v>0.83333333333333304</v>
      </c>
      <c r="M116">
        <v>0.93333333333333302</v>
      </c>
      <c r="N116">
        <v>0.72727272727272696</v>
      </c>
      <c r="O116">
        <v>1</v>
      </c>
      <c r="P116">
        <v>0</v>
      </c>
      <c r="Q116">
        <v>0</v>
      </c>
      <c r="R116">
        <v>0</v>
      </c>
      <c r="S116">
        <v>0</v>
      </c>
      <c r="T116">
        <v>0</v>
      </c>
      <c r="U116">
        <v>0</v>
      </c>
      <c r="V116">
        <v>0</v>
      </c>
      <c r="W116">
        <v>0</v>
      </c>
      <c r="X116">
        <v>0</v>
      </c>
      <c r="Y116">
        <v>0</v>
      </c>
      <c r="Z116">
        <v>0</v>
      </c>
      <c r="AA116">
        <v>0</v>
      </c>
      <c r="AB116">
        <v>0</v>
      </c>
      <c r="AC116">
        <v>1</v>
      </c>
      <c r="AD116">
        <v>0</v>
      </c>
      <c r="AE116">
        <v>1</v>
      </c>
      <c r="AF116">
        <v>0</v>
      </c>
      <c r="AG116">
        <v>1</v>
      </c>
      <c r="AH116">
        <v>0</v>
      </c>
      <c r="AI116">
        <v>0</v>
      </c>
      <c r="AJ116">
        <v>0</v>
      </c>
      <c r="AK116">
        <v>0</v>
      </c>
      <c r="AL116">
        <v>0</v>
      </c>
      <c r="AM116">
        <v>0</v>
      </c>
      <c r="AN116" t="s">
        <v>49</v>
      </c>
      <c r="AO116">
        <v>1</v>
      </c>
      <c r="AP116">
        <v>4</v>
      </c>
      <c r="AQ116">
        <v>1</v>
      </c>
      <c r="AR116">
        <v>1</v>
      </c>
      <c r="AS116">
        <v>1</v>
      </c>
      <c r="AT116">
        <v>1</v>
      </c>
    </row>
    <row r="117" spans="1:46" x14ac:dyDescent="0.2">
      <c r="A117" t="s">
        <v>166</v>
      </c>
      <c r="B117" s="2">
        <f t="shared" si="1"/>
        <v>45992</v>
      </c>
      <c r="C117" t="s">
        <v>92</v>
      </c>
      <c r="D117" s="1">
        <v>1.3182870370370371E-2</v>
      </c>
      <c r="E117">
        <v>4</v>
      </c>
      <c r="F117" t="s">
        <v>87</v>
      </c>
      <c r="G117" t="s">
        <v>131</v>
      </c>
      <c r="H117">
        <f>VLOOKUP(G117, cohort!A$2:B$21, 2, FALSE)</f>
        <v>2</v>
      </c>
      <c r="I117" t="s">
        <v>48</v>
      </c>
      <c r="J117">
        <v>1</v>
      </c>
      <c r="K117">
        <v>1</v>
      </c>
      <c r="L117">
        <v>0.83333333333333304</v>
      </c>
      <c r="M117">
        <v>0.6</v>
      </c>
      <c r="N117">
        <v>0.54545454545454497</v>
      </c>
      <c r="O117">
        <v>1</v>
      </c>
      <c r="P117">
        <v>0</v>
      </c>
      <c r="Q117">
        <v>0</v>
      </c>
      <c r="R117">
        <v>0</v>
      </c>
      <c r="S117">
        <v>0</v>
      </c>
      <c r="T117">
        <v>0</v>
      </c>
      <c r="U117">
        <v>0</v>
      </c>
      <c r="V117">
        <v>0</v>
      </c>
      <c r="W117">
        <v>0</v>
      </c>
      <c r="X117">
        <v>0</v>
      </c>
      <c r="Y117">
        <v>0</v>
      </c>
      <c r="Z117">
        <v>0</v>
      </c>
      <c r="AA117">
        <v>0</v>
      </c>
      <c r="AB117">
        <v>0</v>
      </c>
      <c r="AC117">
        <v>1</v>
      </c>
      <c r="AD117">
        <v>0</v>
      </c>
      <c r="AE117">
        <v>1</v>
      </c>
      <c r="AF117">
        <v>0</v>
      </c>
      <c r="AG117">
        <v>1</v>
      </c>
      <c r="AH117">
        <v>0</v>
      </c>
      <c r="AI117">
        <v>0</v>
      </c>
      <c r="AJ117">
        <v>0</v>
      </c>
      <c r="AK117">
        <v>0</v>
      </c>
      <c r="AL117">
        <v>0</v>
      </c>
      <c r="AM117">
        <v>0</v>
      </c>
      <c r="AN117" t="s">
        <v>49</v>
      </c>
      <c r="AO117">
        <v>1</v>
      </c>
      <c r="AP117">
        <v>4</v>
      </c>
      <c r="AQ117">
        <v>1</v>
      </c>
      <c r="AR117">
        <v>1</v>
      </c>
      <c r="AS117">
        <v>1</v>
      </c>
      <c r="AT117">
        <v>1</v>
      </c>
    </row>
    <row r="118" spans="1:46" x14ac:dyDescent="0.2">
      <c r="A118" t="s">
        <v>167</v>
      </c>
      <c r="B118" s="2">
        <f t="shared" si="1"/>
        <v>45992</v>
      </c>
      <c r="C118" t="s">
        <v>45</v>
      </c>
      <c r="D118" s="1">
        <v>1.8483796296296297E-2</v>
      </c>
      <c r="E118">
        <v>24</v>
      </c>
      <c r="F118" t="s">
        <v>168</v>
      </c>
      <c r="G118" t="s">
        <v>82</v>
      </c>
      <c r="H118" t="str">
        <f>VLOOKUP(G118, cohort!A$2:B$21, 2, FALSE)</f>
        <v>x</v>
      </c>
      <c r="I118" t="s">
        <v>48</v>
      </c>
      <c r="J118">
        <v>0.77777777777777701</v>
      </c>
      <c r="K118">
        <v>1</v>
      </c>
      <c r="L118">
        <v>0.33333333333333298</v>
      </c>
      <c r="M118">
        <v>0.66666666666666596</v>
      </c>
      <c r="N118">
        <v>0.63636363636363602</v>
      </c>
      <c r="O118">
        <v>0</v>
      </c>
      <c r="P118">
        <v>0</v>
      </c>
      <c r="Q118">
        <v>0</v>
      </c>
      <c r="R118">
        <v>0</v>
      </c>
      <c r="S118">
        <v>0</v>
      </c>
      <c r="T118">
        <v>0</v>
      </c>
      <c r="U118">
        <v>0</v>
      </c>
      <c r="V118">
        <v>0</v>
      </c>
      <c r="W118">
        <v>0</v>
      </c>
      <c r="X118">
        <v>0</v>
      </c>
      <c r="Y118">
        <v>0</v>
      </c>
      <c r="Z118">
        <v>0</v>
      </c>
      <c r="AA118">
        <v>0</v>
      </c>
      <c r="AB118">
        <v>0</v>
      </c>
      <c r="AC118">
        <v>1</v>
      </c>
      <c r="AD118">
        <v>0</v>
      </c>
      <c r="AE118">
        <v>0</v>
      </c>
      <c r="AF118">
        <v>0</v>
      </c>
      <c r="AG118">
        <v>0</v>
      </c>
      <c r="AH118">
        <v>0</v>
      </c>
      <c r="AI118">
        <v>0</v>
      </c>
      <c r="AJ118">
        <v>0</v>
      </c>
      <c r="AK118">
        <v>0</v>
      </c>
      <c r="AL118">
        <v>0</v>
      </c>
      <c r="AM118">
        <v>0</v>
      </c>
      <c r="AN118" t="s">
        <v>49</v>
      </c>
      <c r="AO118">
        <v>1</v>
      </c>
      <c r="AP118">
        <v>1</v>
      </c>
      <c r="AQ118">
        <v>1</v>
      </c>
      <c r="AR118">
        <v>1</v>
      </c>
      <c r="AS118">
        <v>1</v>
      </c>
      <c r="AT118">
        <v>1</v>
      </c>
    </row>
    <row r="119" spans="1:46" x14ac:dyDescent="0.2">
      <c r="A119" t="s">
        <v>167</v>
      </c>
      <c r="B119" s="2">
        <f t="shared" si="1"/>
        <v>45992</v>
      </c>
      <c r="C119" t="s">
        <v>45</v>
      </c>
      <c r="D119" s="1">
        <v>1.6782407407407409E-2</v>
      </c>
      <c r="E119">
        <v>24</v>
      </c>
      <c r="F119" t="s">
        <v>168</v>
      </c>
      <c r="G119" t="s">
        <v>114</v>
      </c>
      <c r="H119">
        <f>VLOOKUP(G119, cohort!A$2:B$21, 2, FALSE)</f>
        <v>2</v>
      </c>
      <c r="I119" t="s">
        <v>48</v>
      </c>
      <c r="J119">
        <v>0.55555555555555503</v>
      </c>
      <c r="K119">
        <v>0.5</v>
      </c>
      <c r="L119">
        <v>0.5</v>
      </c>
      <c r="M119">
        <v>0.4</v>
      </c>
      <c r="N119">
        <v>0.27272727272727199</v>
      </c>
      <c r="O119">
        <v>0</v>
      </c>
      <c r="P119">
        <v>0</v>
      </c>
      <c r="Q119">
        <v>0</v>
      </c>
      <c r="R119">
        <v>0</v>
      </c>
      <c r="S119">
        <v>0</v>
      </c>
      <c r="T119">
        <v>0</v>
      </c>
      <c r="U119">
        <v>0</v>
      </c>
      <c r="V119">
        <v>0</v>
      </c>
      <c r="W119">
        <v>0</v>
      </c>
      <c r="X119">
        <v>0</v>
      </c>
      <c r="Y119">
        <v>0</v>
      </c>
      <c r="Z119">
        <v>0</v>
      </c>
      <c r="AA119">
        <v>0</v>
      </c>
      <c r="AB119">
        <v>0</v>
      </c>
      <c r="AC119">
        <v>1</v>
      </c>
      <c r="AD119">
        <v>0</v>
      </c>
      <c r="AE119">
        <v>0</v>
      </c>
      <c r="AF119">
        <v>0</v>
      </c>
      <c r="AG119">
        <v>0</v>
      </c>
      <c r="AH119">
        <v>0</v>
      </c>
      <c r="AI119">
        <v>0</v>
      </c>
      <c r="AJ119">
        <v>0</v>
      </c>
      <c r="AK119">
        <v>0</v>
      </c>
      <c r="AL119">
        <v>0</v>
      </c>
      <c r="AM119">
        <v>0</v>
      </c>
      <c r="AN119" t="s">
        <v>49</v>
      </c>
      <c r="AO119">
        <v>1</v>
      </c>
      <c r="AP119">
        <v>1</v>
      </c>
      <c r="AQ119">
        <v>1</v>
      </c>
      <c r="AR119">
        <v>1</v>
      </c>
      <c r="AS119">
        <v>1</v>
      </c>
      <c r="AT119">
        <v>1</v>
      </c>
    </row>
    <row r="120" spans="1:46" x14ac:dyDescent="0.2">
      <c r="A120" t="s">
        <v>169</v>
      </c>
      <c r="B120" s="2">
        <f t="shared" si="1"/>
        <v>45992</v>
      </c>
      <c r="C120" t="s">
        <v>52</v>
      </c>
      <c r="D120" s="1">
        <v>1.3449074074074073E-2</v>
      </c>
      <c r="E120">
        <v>32</v>
      </c>
      <c r="F120" t="s">
        <v>123</v>
      </c>
      <c r="G120" t="s">
        <v>146</v>
      </c>
      <c r="H120">
        <f>VLOOKUP(G120, cohort!A$2:B$21, 2, FALSE)</f>
        <v>3</v>
      </c>
      <c r="I120" t="s">
        <v>48</v>
      </c>
      <c r="J120">
        <v>0.55555555555555503</v>
      </c>
      <c r="K120">
        <v>1</v>
      </c>
      <c r="L120">
        <v>0.83333333333333304</v>
      </c>
      <c r="M120">
        <v>0.46666666666666601</v>
      </c>
      <c r="N120">
        <v>0.27272727272727199</v>
      </c>
      <c r="O120">
        <v>0</v>
      </c>
      <c r="P120">
        <v>0</v>
      </c>
      <c r="Q120">
        <v>0</v>
      </c>
      <c r="R120">
        <v>0</v>
      </c>
      <c r="S120">
        <v>0</v>
      </c>
      <c r="T120">
        <v>0</v>
      </c>
      <c r="U120">
        <v>1</v>
      </c>
      <c r="V120">
        <v>1</v>
      </c>
      <c r="W120">
        <v>0</v>
      </c>
      <c r="X120">
        <v>0</v>
      </c>
      <c r="Y120">
        <v>0</v>
      </c>
      <c r="Z120">
        <v>0</v>
      </c>
      <c r="AA120">
        <v>0</v>
      </c>
      <c r="AB120">
        <v>0</v>
      </c>
      <c r="AC120">
        <v>0</v>
      </c>
      <c r="AD120">
        <v>0</v>
      </c>
      <c r="AE120">
        <v>0</v>
      </c>
      <c r="AF120">
        <v>0</v>
      </c>
      <c r="AG120">
        <v>0</v>
      </c>
      <c r="AH120">
        <v>0</v>
      </c>
      <c r="AI120">
        <v>0</v>
      </c>
      <c r="AJ120">
        <v>0</v>
      </c>
      <c r="AK120">
        <v>0</v>
      </c>
      <c r="AL120">
        <v>0</v>
      </c>
      <c r="AM120">
        <v>0</v>
      </c>
      <c r="AN120" t="s">
        <v>49</v>
      </c>
      <c r="AO120">
        <v>0</v>
      </c>
      <c r="AP120">
        <v>2</v>
      </c>
      <c r="AQ120">
        <v>0</v>
      </c>
      <c r="AR120">
        <v>0</v>
      </c>
      <c r="AS120">
        <v>0</v>
      </c>
      <c r="AT120">
        <v>0</v>
      </c>
    </row>
    <row r="121" spans="1:46" x14ac:dyDescent="0.2">
      <c r="A121" t="s">
        <v>170</v>
      </c>
      <c r="B121" s="2">
        <f t="shared" si="1"/>
        <v>45992</v>
      </c>
      <c r="C121" t="s">
        <v>61</v>
      </c>
      <c r="D121" s="1">
        <v>6.0648148148148145E-3</v>
      </c>
      <c r="E121">
        <v>7</v>
      </c>
      <c r="F121" t="s">
        <v>70</v>
      </c>
      <c r="G121" t="s">
        <v>135</v>
      </c>
      <c r="H121">
        <f>VLOOKUP(G121, cohort!A$2:B$21, 2, FALSE)</f>
        <v>3</v>
      </c>
      <c r="I121" t="s">
        <v>48</v>
      </c>
      <c r="J121">
        <v>0.44444444444444398</v>
      </c>
      <c r="K121">
        <v>0.5</v>
      </c>
      <c r="L121">
        <v>0.33333333333333298</v>
      </c>
      <c r="M121">
        <v>0.2</v>
      </c>
      <c r="N121">
        <v>0</v>
      </c>
      <c r="O121">
        <v>0</v>
      </c>
      <c r="P121">
        <v>0</v>
      </c>
      <c r="Q121">
        <v>0</v>
      </c>
      <c r="R121">
        <v>0</v>
      </c>
      <c r="S121">
        <v>0</v>
      </c>
      <c r="T121">
        <v>0</v>
      </c>
      <c r="U121">
        <v>1</v>
      </c>
      <c r="V121">
        <v>0</v>
      </c>
      <c r="W121">
        <v>1</v>
      </c>
      <c r="X121">
        <v>0</v>
      </c>
      <c r="Y121">
        <v>0</v>
      </c>
      <c r="Z121">
        <v>0</v>
      </c>
      <c r="AA121">
        <v>0</v>
      </c>
      <c r="AB121">
        <v>0</v>
      </c>
      <c r="AC121">
        <v>0</v>
      </c>
      <c r="AD121">
        <v>0</v>
      </c>
      <c r="AE121">
        <v>0</v>
      </c>
      <c r="AF121">
        <v>0</v>
      </c>
      <c r="AG121">
        <v>0</v>
      </c>
      <c r="AH121">
        <v>0</v>
      </c>
      <c r="AI121">
        <v>0</v>
      </c>
      <c r="AJ121">
        <v>1</v>
      </c>
      <c r="AK121">
        <v>0</v>
      </c>
      <c r="AL121">
        <v>0</v>
      </c>
      <c r="AM121">
        <v>0</v>
      </c>
      <c r="AN121" t="s">
        <v>49</v>
      </c>
      <c r="AO121">
        <v>0</v>
      </c>
      <c r="AP121">
        <v>2</v>
      </c>
      <c r="AQ121">
        <v>0</v>
      </c>
      <c r="AR121">
        <v>1</v>
      </c>
      <c r="AS121">
        <v>0</v>
      </c>
      <c r="AT121">
        <v>0</v>
      </c>
    </row>
    <row r="122" spans="1:46" x14ac:dyDescent="0.2">
      <c r="A122" t="s">
        <v>171</v>
      </c>
      <c r="B122" s="2">
        <f t="shared" si="1"/>
        <v>45992</v>
      </c>
      <c r="C122" t="s">
        <v>92</v>
      </c>
      <c r="D122" s="1">
        <v>1.4212962962962964E-2</v>
      </c>
      <c r="E122">
        <v>14</v>
      </c>
      <c r="F122" t="s">
        <v>77</v>
      </c>
      <c r="G122" t="s">
        <v>154</v>
      </c>
      <c r="H122">
        <f>VLOOKUP(G122, cohort!A$2:B$21, 2, FALSE)</f>
        <v>3</v>
      </c>
      <c r="I122" t="s">
        <v>48</v>
      </c>
      <c r="J122">
        <v>0.77777777777777701</v>
      </c>
      <c r="K122">
        <v>1</v>
      </c>
      <c r="L122">
        <v>0.66666666666666596</v>
      </c>
      <c r="M122">
        <v>0.6</v>
      </c>
      <c r="N122">
        <v>0.36363636363636298</v>
      </c>
      <c r="O122">
        <v>0</v>
      </c>
      <c r="P122">
        <v>0</v>
      </c>
      <c r="Q122">
        <v>0</v>
      </c>
      <c r="R122">
        <v>0</v>
      </c>
      <c r="S122">
        <v>0</v>
      </c>
      <c r="T122">
        <v>0</v>
      </c>
      <c r="U122">
        <v>0</v>
      </c>
      <c r="V122">
        <v>0</v>
      </c>
      <c r="W122">
        <v>1</v>
      </c>
      <c r="X122">
        <v>1</v>
      </c>
      <c r="Y122">
        <v>0</v>
      </c>
      <c r="Z122">
        <v>0</v>
      </c>
      <c r="AA122">
        <v>0</v>
      </c>
      <c r="AB122">
        <v>0</v>
      </c>
      <c r="AC122">
        <v>1</v>
      </c>
      <c r="AD122">
        <v>0</v>
      </c>
      <c r="AE122">
        <v>0</v>
      </c>
      <c r="AF122">
        <v>0</v>
      </c>
      <c r="AG122">
        <v>0</v>
      </c>
      <c r="AH122">
        <v>0</v>
      </c>
      <c r="AI122">
        <v>0</v>
      </c>
      <c r="AJ122">
        <v>0</v>
      </c>
      <c r="AK122">
        <v>0</v>
      </c>
      <c r="AL122">
        <v>0</v>
      </c>
      <c r="AM122">
        <v>0</v>
      </c>
      <c r="AN122" t="s">
        <v>49</v>
      </c>
      <c r="AO122">
        <v>1</v>
      </c>
      <c r="AP122">
        <v>2</v>
      </c>
      <c r="AQ122">
        <v>1</v>
      </c>
      <c r="AR122">
        <v>1</v>
      </c>
      <c r="AS122">
        <v>2</v>
      </c>
      <c r="AT122">
        <v>1</v>
      </c>
    </row>
    <row r="123" spans="1:46" x14ac:dyDescent="0.2">
      <c r="A123" t="s">
        <v>172</v>
      </c>
      <c r="B123" s="2">
        <f t="shared" si="1"/>
        <v>45992</v>
      </c>
      <c r="C123" t="s">
        <v>45</v>
      </c>
      <c r="D123" s="1">
        <v>1.3020833333333334E-2</v>
      </c>
      <c r="E123">
        <v>9</v>
      </c>
      <c r="F123" t="s">
        <v>173</v>
      </c>
      <c r="G123" t="s">
        <v>107</v>
      </c>
      <c r="H123">
        <f>VLOOKUP(G123, cohort!A$2:B$21, 2, FALSE)</f>
        <v>2</v>
      </c>
      <c r="I123" t="s">
        <v>48</v>
      </c>
      <c r="J123">
        <v>0.77777777777777701</v>
      </c>
      <c r="K123">
        <v>1</v>
      </c>
      <c r="L123">
        <v>0.66666666666666596</v>
      </c>
      <c r="M123">
        <v>0.6</v>
      </c>
      <c r="N123">
        <v>0.45454545454545398</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t="s">
        <v>49</v>
      </c>
      <c r="AO123">
        <v>0</v>
      </c>
      <c r="AP123">
        <v>0</v>
      </c>
      <c r="AQ123">
        <v>0</v>
      </c>
      <c r="AR123">
        <v>0</v>
      </c>
      <c r="AS123">
        <v>0</v>
      </c>
      <c r="AT123">
        <v>0</v>
      </c>
    </row>
    <row r="124" spans="1:46" x14ac:dyDescent="0.2">
      <c r="A124" t="s">
        <v>172</v>
      </c>
      <c r="B124" s="2">
        <f t="shared" si="1"/>
        <v>45992</v>
      </c>
      <c r="C124" t="s">
        <v>45</v>
      </c>
      <c r="D124" s="1">
        <v>1.5914351851851853E-2</v>
      </c>
      <c r="E124">
        <v>8</v>
      </c>
      <c r="F124" t="s">
        <v>95</v>
      </c>
      <c r="G124" t="s">
        <v>110</v>
      </c>
      <c r="H124">
        <f>VLOOKUP(G124, cohort!A$2:B$21, 2, FALSE)</f>
        <v>2</v>
      </c>
      <c r="I124" t="s">
        <v>48</v>
      </c>
      <c r="J124">
        <v>0.55555555555555503</v>
      </c>
      <c r="K124">
        <v>1</v>
      </c>
      <c r="L124">
        <v>0.66666666666666596</v>
      </c>
      <c r="M124">
        <v>0.6</v>
      </c>
      <c r="N124">
        <v>0.36363636363636298</v>
      </c>
      <c r="O124">
        <v>0</v>
      </c>
      <c r="P124">
        <v>0</v>
      </c>
      <c r="Q124">
        <v>0</v>
      </c>
      <c r="R124">
        <v>0</v>
      </c>
      <c r="S124">
        <v>0</v>
      </c>
      <c r="T124">
        <v>0</v>
      </c>
      <c r="U124">
        <v>0</v>
      </c>
      <c r="V124">
        <v>1</v>
      </c>
      <c r="W124">
        <v>0</v>
      </c>
      <c r="X124">
        <v>0</v>
      </c>
      <c r="Y124">
        <v>0</v>
      </c>
      <c r="Z124">
        <v>0</v>
      </c>
      <c r="AA124">
        <v>1</v>
      </c>
      <c r="AB124">
        <v>0</v>
      </c>
      <c r="AC124">
        <v>0</v>
      </c>
      <c r="AD124">
        <v>0</v>
      </c>
      <c r="AE124">
        <v>0</v>
      </c>
      <c r="AF124">
        <v>0</v>
      </c>
      <c r="AG124">
        <v>0</v>
      </c>
      <c r="AH124">
        <v>0</v>
      </c>
      <c r="AI124">
        <v>0</v>
      </c>
      <c r="AJ124">
        <v>0</v>
      </c>
      <c r="AK124">
        <v>0</v>
      </c>
      <c r="AL124">
        <v>1</v>
      </c>
      <c r="AM124">
        <v>0</v>
      </c>
      <c r="AN124" t="s">
        <v>49</v>
      </c>
      <c r="AO124">
        <v>0</v>
      </c>
      <c r="AP124">
        <v>1</v>
      </c>
      <c r="AQ124">
        <v>2</v>
      </c>
      <c r="AR124">
        <v>0</v>
      </c>
      <c r="AS124">
        <v>0</v>
      </c>
      <c r="AT124">
        <v>1</v>
      </c>
    </row>
    <row r="125" spans="1:46" x14ac:dyDescent="0.2">
      <c r="A125" t="s">
        <v>174</v>
      </c>
      <c r="B125" s="2">
        <f t="shared" si="1"/>
        <v>45992</v>
      </c>
      <c r="C125" t="s">
        <v>52</v>
      </c>
      <c r="D125" s="1">
        <v>1.5231481481481481E-2</v>
      </c>
      <c r="E125">
        <v>34</v>
      </c>
      <c r="F125" t="s">
        <v>77</v>
      </c>
      <c r="G125" t="s">
        <v>140</v>
      </c>
      <c r="H125">
        <f>VLOOKUP(G125, cohort!A$2:B$21, 2, FALSE)</f>
        <v>3</v>
      </c>
      <c r="I125" t="s">
        <v>48</v>
      </c>
      <c r="J125">
        <v>0.66666666666666596</v>
      </c>
      <c r="K125">
        <v>1</v>
      </c>
      <c r="L125">
        <v>0.66666666666666596</v>
      </c>
      <c r="M125">
        <v>0.4</v>
      </c>
      <c r="N125">
        <v>0.27272727272727199</v>
      </c>
      <c r="O125">
        <v>0</v>
      </c>
      <c r="P125">
        <v>0</v>
      </c>
      <c r="Q125">
        <v>0</v>
      </c>
      <c r="R125">
        <v>0</v>
      </c>
      <c r="S125">
        <v>0</v>
      </c>
      <c r="T125">
        <v>0</v>
      </c>
      <c r="U125">
        <v>0</v>
      </c>
      <c r="V125">
        <v>0</v>
      </c>
      <c r="W125">
        <v>1</v>
      </c>
      <c r="X125">
        <v>1</v>
      </c>
      <c r="Y125">
        <v>0</v>
      </c>
      <c r="Z125">
        <v>0</v>
      </c>
      <c r="AA125">
        <v>0</v>
      </c>
      <c r="AB125">
        <v>0</v>
      </c>
      <c r="AC125">
        <v>1</v>
      </c>
      <c r="AD125">
        <v>0</v>
      </c>
      <c r="AE125">
        <v>0</v>
      </c>
      <c r="AF125">
        <v>0</v>
      </c>
      <c r="AG125">
        <v>0</v>
      </c>
      <c r="AH125">
        <v>0</v>
      </c>
      <c r="AI125">
        <v>0</v>
      </c>
      <c r="AJ125">
        <v>0</v>
      </c>
      <c r="AK125">
        <v>0</v>
      </c>
      <c r="AL125">
        <v>0</v>
      </c>
      <c r="AM125">
        <v>0</v>
      </c>
      <c r="AN125" t="s">
        <v>49</v>
      </c>
      <c r="AO125">
        <v>1</v>
      </c>
      <c r="AP125">
        <v>2</v>
      </c>
      <c r="AQ125">
        <v>1</v>
      </c>
      <c r="AR125">
        <v>1</v>
      </c>
      <c r="AS125">
        <v>2</v>
      </c>
      <c r="AT125">
        <v>1</v>
      </c>
    </row>
    <row r="126" spans="1:46" x14ac:dyDescent="0.2">
      <c r="A126" t="s">
        <v>175</v>
      </c>
      <c r="B126" s="2">
        <f t="shared" si="1"/>
        <v>46023</v>
      </c>
      <c r="C126" t="s">
        <v>92</v>
      </c>
      <c r="D126" s="1">
        <v>1.4479166666666666E-2</v>
      </c>
      <c r="E126">
        <v>24</v>
      </c>
      <c r="F126" t="s">
        <v>168</v>
      </c>
      <c r="G126" t="s">
        <v>59</v>
      </c>
      <c r="H126">
        <f>VLOOKUP(G126, cohort!A$2:B$21, 2, FALSE)</f>
        <v>1</v>
      </c>
      <c r="I126" t="s">
        <v>48</v>
      </c>
      <c r="J126">
        <v>0.88888888888888795</v>
      </c>
      <c r="K126">
        <v>1</v>
      </c>
      <c r="L126">
        <v>0.83333333333333304</v>
      </c>
      <c r="M126">
        <v>0.93333333333333302</v>
      </c>
      <c r="N126">
        <v>0.72727272727272696</v>
      </c>
      <c r="O126">
        <v>0</v>
      </c>
      <c r="P126">
        <v>0</v>
      </c>
      <c r="Q126">
        <v>0</v>
      </c>
      <c r="R126">
        <v>0</v>
      </c>
      <c r="S126">
        <v>0</v>
      </c>
      <c r="T126">
        <v>0</v>
      </c>
      <c r="U126">
        <v>0</v>
      </c>
      <c r="V126">
        <v>0</v>
      </c>
      <c r="W126">
        <v>0</v>
      </c>
      <c r="X126">
        <v>0</v>
      </c>
      <c r="Y126">
        <v>0</v>
      </c>
      <c r="Z126">
        <v>0</v>
      </c>
      <c r="AA126">
        <v>0</v>
      </c>
      <c r="AB126">
        <v>0</v>
      </c>
      <c r="AC126">
        <v>1</v>
      </c>
      <c r="AD126">
        <v>0</v>
      </c>
      <c r="AE126">
        <v>0</v>
      </c>
      <c r="AF126">
        <v>0</v>
      </c>
      <c r="AG126">
        <v>0</v>
      </c>
      <c r="AH126">
        <v>0</v>
      </c>
      <c r="AI126">
        <v>0</v>
      </c>
      <c r="AJ126">
        <v>0</v>
      </c>
      <c r="AK126">
        <v>0</v>
      </c>
      <c r="AL126">
        <v>0</v>
      </c>
      <c r="AM126">
        <v>0</v>
      </c>
      <c r="AN126" t="s">
        <v>49</v>
      </c>
      <c r="AO126">
        <v>1</v>
      </c>
      <c r="AP126">
        <v>1</v>
      </c>
      <c r="AQ126">
        <v>1</v>
      </c>
      <c r="AR126">
        <v>1</v>
      </c>
      <c r="AS126">
        <v>1</v>
      </c>
      <c r="AT126">
        <v>1</v>
      </c>
    </row>
    <row r="127" spans="1:46" x14ac:dyDescent="0.2">
      <c r="A127" t="s">
        <v>175</v>
      </c>
      <c r="B127" s="2">
        <f t="shared" si="1"/>
        <v>46023</v>
      </c>
      <c r="C127" t="s">
        <v>92</v>
      </c>
      <c r="D127" s="1">
        <v>1.3900462962962963E-2</v>
      </c>
      <c r="E127">
        <v>4</v>
      </c>
      <c r="F127" t="s">
        <v>87</v>
      </c>
      <c r="G127" t="s">
        <v>143</v>
      </c>
      <c r="H127">
        <f>VLOOKUP(G127, cohort!A$2:B$21, 2, FALSE)</f>
        <v>2</v>
      </c>
      <c r="I127" t="s">
        <v>50</v>
      </c>
      <c r="J127">
        <v>0.22222222222222199</v>
      </c>
      <c r="K127">
        <v>0.5</v>
      </c>
      <c r="L127">
        <v>0.66666666666666596</v>
      </c>
      <c r="M127">
        <v>0.33333333333333298</v>
      </c>
      <c r="N127">
        <v>0.18181818181818099</v>
      </c>
      <c r="O127">
        <v>1</v>
      </c>
      <c r="P127">
        <v>0</v>
      </c>
      <c r="Q127">
        <v>0</v>
      </c>
      <c r="R127">
        <v>0</v>
      </c>
      <c r="S127">
        <v>0</v>
      </c>
      <c r="T127">
        <v>0</v>
      </c>
      <c r="U127">
        <v>0</v>
      </c>
      <c r="V127">
        <v>0</v>
      </c>
      <c r="W127">
        <v>0</v>
      </c>
      <c r="X127">
        <v>0</v>
      </c>
      <c r="Y127">
        <v>0</v>
      </c>
      <c r="Z127">
        <v>0</v>
      </c>
      <c r="AA127">
        <v>0</v>
      </c>
      <c r="AB127">
        <v>0</v>
      </c>
      <c r="AC127">
        <v>1</v>
      </c>
      <c r="AD127">
        <v>0</v>
      </c>
      <c r="AE127">
        <v>1</v>
      </c>
      <c r="AF127">
        <v>0</v>
      </c>
      <c r="AG127">
        <v>1</v>
      </c>
      <c r="AH127">
        <v>0</v>
      </c>
      <c r="AI127">
        <v>0</v>
      </c>
      <c r="AJ127">
        <v>0</v>
      </c>
      <c r="AK127">
        <v>0</v>
      </c>
      <c r="AL127">
        <v>0</v>
      </c>
      <c r="AM127">
        <v>0</v>
      </c>
      <c r="AN127" t="s">
        <v>49</v>
      </c>
      <c r="AO127">
        <v>1</v>
      </c>
      <c r="AP127">
        <v>4</v>
      </c>
      <c r="AQ127">
        <v>1</v>
      </c>
      <c r="AR127">
        <v>1</v>
      </c>
      <c r="AS127">
        <v>1</v>
      </c>
      <c r="AT127">
        <v>1</v>
      </c>
    </row>
    <row r="128" spans="1:46" x14ac:dyDescent="0.2">
      <c r="A128" t="s">
        <v>176</v>
      </c>
      <c r="B128" s="2">
        <f t="shared" si="1"/>
        <v>46023</v>
      </c>
      <c r="C128" t="s">
        <v>52</v>
      </c>
      <c r="D128" s="1">
        <v>1.0983796296296297E-2</v>
      </c>
      <c r="E128">
        <v>7</v>
      </c>
      <c r="F128" t="s">
        <v>70</v>
      </c>
      <c r="G128" t="s">
        <v>146</v>
      </c>
      <c r="H128">
        <f>VLOOKUP(G128, cohort!A$2:B$21, 2, FALSE)</f>
        <v>3</v>
      </c>
      <c r="I128" t="s">
        <v>48</v>
      </c>
      <c r="J128">
        <v>0.55555555555555503</v>
      </c>
      <c r="K128">
        <v>0.5</v>
      </c>
      <c r="L128">
        <v>0.33333333333333298</v>
      </c>
      <c r="M128">
        <v>0.266666666666666</v>
      </c>
      <c r="N128">
        <v>0.36363636363636298</v>
      </c>
      <c r="O128">
        <v>0</v>
      </c>
      <c r="P128">
        <v>0</v>
      </c>
      <c r="Q128">
        <v>0</v>
      </c>
      <c r="R128">
        <v>0</v>
      </c>
      <c r="S128">
        <v>0</v>
      </c>
      <c r="T128">
        <v>0</v>
      </c>
      <c r="U128">
        <v>1</v>
      </c>
      <c r="V128">
        <v>0</v>
      </c>
      <c r="W128">
        <v>1</v>
      </c>
      <c r="X128">
        <v>0</v>
      </c>
      <c r="Y128">
        <v>0</v>
      </c>
      <c r="Z128">
        <v>0</v>
      </c>
      <c r="AA128">
        <v>0</v>
      </c>
      <c r="AB128">
        <v>0</v>
      </c>
      <c r="AC128">
        <v>0</v>
      </c>
      <c r="AD128">
        <v>0</v>
      </c>
      <c r="AE128">
        <v>0</v>
      </c>
      <c r="AF128">
        <v>0</v>
      </c>
      <c r="AG128">
        <v>0</v>
      </c>
      <c r="AH128">
        <v>0</v>
      </c>
      <c r="AI128">
        <v>0</v>
      </c>
      <c r="AJ128">
        <v>1</v>
      </c>
      <c r="AK128">
        <v>0</v>
      </c>
      <c r="AL128">
        <v>0</v>
      </c>
      <c r="AM128">
        <v>0</v>
      </c>
      <c r="AN128" t="s">
        <v>49</v>
      </c>
      <c r="AO128">
        <v>0</v>
      </c>
      <c r="AP128">
        <v>2</v>
      </c>
      <c r="AQ128">
        <v>0</v>
      </c>
      <c r="AR128">
        <v>1</v>
      </c>
      <c r="AS128">
        <v>0</v>
      </c>
      <c r="AT128">
        <v>0</v>
      </c>
    </row>
    <row r="129" spans="1:46" x14ac:dyDescent="0.2">
      <c r="A129" t="s">
        <v>177</v>
      </c>
      <c r="B129" s="2">
        <f t="shared" si="1"/>
        <v>46023</v>
      </c>
      <c r="C129" t="s">
        <v>61</v>
      </c>
      <c r="D129" s="1">
        <v>9.4212962962962957E-3</v>
      </c>
      <c r="E129">
        <v>14</v>
      </c>
      <c r="F129" t="s">
        <v>151</v>
      </c>
      <c r="G129" t="s">
        <v>135</v>
      </c>
      <c r="H129">
        <f>VLOOKUP(G129, cohort!A$2:B$21, 2, FALSE)</f>
        <v>3</v>
      </c>
      <c r="I129" t="s">
        <v>48</v>
      </c>
      <c r="J129">
        <v>0.55555555555555503</v>
      </c>
      <c r="K129">
        <v>1</v>
      </c>
      <c r="L129">
        <v>0.66666666666666596</v>
      </c>
      <c r="M129">
        <v>0.266666666666666</v>
      </c>
      <c r="N129">
        <v>0.18181818181818099</v>
      </c>
      <c r="O129">
        <v>0</v>
      </c>
      <c r="P129">
        <v>0</v>
      </c>
      <c r="Q129">
        <v>0</v>
      </c>
      <c r="R129">
        <v>0</v>
      </c>
      <c r="S129">
        <v>0</v>
      </c>
      <c r="T129">
        <v>0</v>
      </c>
      <c r="U129">
        <v>0</v>
      </c>
      <c r="V129">
        <v>0</v>
      </c>
      <c r="W129">
        <v>1</v>
      </c>
      <c r="X129">
        <v>1</v>
      </c>
      <c r="Y129">
        <v>0</v>
      </c>
      <c r="Z129">
        <v>0</v>
      </c>
      <c r="AA129">
        <v>0</v>
      </c>
      <c r="AB129">
        <v>0</v>
      </c>
      <c r="AC129">
        <v>1</v>
      </c>
      <c r="AD129">
        <v>0</v>
      </c>
      <c r="AE129">
        <v>0</v>
      </c>
      <c r="AF129">
        <v>0</v>
      </c>
      <c r="AG129">
        <v>0</v>
      </c>
      <c r="AH129">
        <v>0</v>
      </c>
      <c r="AI129">
        <v>0</v>
      </c>
      <c r="AJ129">
        <v>0</v>
      </c>
      <c r="AK129">
        <v>0</v>
      </c>
      <c r="AL129">
        <v>0</v>
      </c>
      <c r="AM129">
        <v>0</v>
      </c>
      <c r="AN129" t="s">
        <v>49</v>
      </c>
      <c r="AO129">
        <v>1</v>
      </c>
      <c r="AP129">
        <v>2</v>
      </c>
      <c r="AQ129">
        <v>1</v>
      </c>
      <c r="AR129">
        <v>1</v>
      </c>
      <c r="AS129">
        <v>2</v>
      </c>
      <c r="AT129">
        <v>1</v>
      </c>
    </row>
    <row r="130" spans="1:46" x14ac:dyDescent="0.2">
      <c r="A130" t="s">
        <v>178</v>
      </c>
      <c r="B130" s="2">
        <f t="shared" si="1"/>
        <v>46023</v>
      </c>
      <c r="C130" t="s">
        <v>92</v>
      </c>
      <c r="D130" s="1">
        <v>1.3900462962962963E-2</v>
      </c>
      <c r="E130">
        <v>16</v>
      </c>
      <c r="F130" t="s">
        <v>73</v>
      </c>
      <c r="G130" t="s">
        <v>154</v>
      </c>
      <c r="H130">
        <f>VLOOKUP(G130, cohort!A$2:B$21, 2, FALSE)</f>
        <v>3</v>
      </c>
      <c r="I130" t="s">
        <v>50</v>
      </c>
      <c r="J130">
        <v>0.77777777777777701</v>
      </c>
      <c r="K130">
        <v>1</v>
      </c>
      <c r="L130">
        <v>0.66666666666666596</v>
      </c>
      <c r="M130">
        <v>0.66666666666666596</v>
      </c>
      <c r="N130">
        <v>0.45454545454545398</v>
      </c>
      <c r="O130">
        <v>0</v>
      </c>
      <c r="P130">
        <v>0</v>
      </c>
      <c r="Q130">
        <v>0</v>
      </c>
      <c r="R130">
        <v>1</v>
      </c>
      <c r="S130">
        <v>0</v>
      </c>
      <c r="T130">
        <v>0</v>
      </c>
      <c r="U130">
        <v>0</v>
      </c>
      <c r="V130">
        <v>0</v>
      </c>
      <c r="W130">
        <v>0</v>
      </c>
      <c r="X130">
        <v>0</v>
      </c>
      <c r="Y130">
        <v>0</v>
      </c>
      <c r="Z130">
        <v>0</v>
      </c>
      <c r="AA130">
        <v>0</v>
      </c>
      <c r="AB130">
        <v>1</v>
      </c>
      <c r="AC130">
        <v>0</v>
      </c>
      <c r="AD130">
        <v>0</v>
      </c>
      <c r="AE130">
        <v>0</v>
      </c>
      <c r="AF130">
        <v>0</v>
      </c>
      <c r="AG130">
        <v>0</v>
      </c>
      <c r="AH130">
        <v>0</v>
      </c>
      <c r="AI130">
        <v>0</v>
      </c>
      <c r="AJ130">
        <v>0</v>
      </c>
      <c r="AK130">
        <v>0</v>
      </c>
      <c r="AL130">
        <v>0</v>
      </c>
      <c r="AM130">
        <v>0</v>
      </c>
      <c r="AN130" t="s">
        <v>49</v>
      </c>
      <c r="AO130">
        <v>0</v>
      </c>
      <c r="AP130">
        <v>1</v>
      </c>
      <c r="AQ130">
        <v>0</v>
      </c>
      <c r="AR130">
        <v>0</v>
      </c>
      <c r="AS130">
        <v>1</v>
      </c>
      <c r="AT130">
        <v>0</v>
      </c>
    </row>
    <row r="131" spans="1:46" x14ac:dyDescent="0.2">
      <c r="A131" t="s">
        <v>179</v>
      </c>
      <c r="B131" s="2">
        <f t="shared" ref="B131:B160" si="2">DATE(YEAR(DATEVALUE(LEFT(A131,10))), MONTH(DATEVALUE(LEFT(A131,10))), 1)</f>
        <v>46023</v>
      </c>
      <c r="C131" t="s">
        <v>45</v>
      </c>
      <c r="D131" s="1">
        <v>1.3298611111111112E-2</v>
      </c>
      <c r="E131">
        <v>8</v>
      </c>
      <c r="F131" t="s">
        <v>95</v>
      </c>
      <c r="G131" t="s">
        <v>118</v>
      </c>
      <c r="H131" t="str">
        <f>VLOOKUP(G131, cohort!A$2:B$21, 2, FALSE)</f>
        <v>x</v>
      </c>
      <c r="I131" t="s">
        <v>48</v>
      </c>
      <c r="J131">
        <v>0.44444444444444398</v>
      </c>
      <c r="K131">
        <v>0.5</v>
      </c>
      <c r="L131">
        <v>0.66666666666666596</v>
      </c>
      <c r="M131">
        <v>0.33333333333333298</v>
      </c>
      <c r="N131">
        <v>9.0909090909090898E-2</v>
      </c>
      <c r="O131">
        <v>0</v>
      </c>
      <c r="P131">
        <v>0</v>
      </c>
      <c r="Q131">
        <v>0</v>
      </c>
      <c r="R131">
        <v>0</v>
      </c>
      <c r="S131">
        <v>0</v>
      </c>
      <c r="T131">
        <v>0</v>
      </c>
      <c r="U131">
        <v>0</v>
      </c>
      <c r="V131">
        <v>1</v>
      </c>
      <c r="W131">
        <v>0</v>
      </c>
      <c r="X131">
        <v>0</v>
      </c>
      <c r="Y131">
        <v>0</v>
      </c>
      <c r="Z131">
        <v>0</v>
      </c>
      <c r="AA131">
        <v>1</v>
      </c>
      <c r="AB131">
        <v>0</v>
      </c>
      <c r="AC131">
        <v>0</v>
      </c>
      <c r="AD131">
        <v>0</v>
      </c>
      <c r="AE131">
        <v>0</v>
      </c>
      <c r="AF131">
        <v>0</v>
      </c>
      <c r="AG131">
        <v>0</v>
      </c>
      <c r="AH131">
        <v>0</v>
      </c>
      <c r="AI131">
        <v>0</v>
      </c>
      <c r="AJ131">
        <v>0</v>
      </c>
      <c r="AK131">
        <v>0</v>
      </c>
      <c r="AL131">
        <v>1</v>
      </c>
      <c r="AM131">
        <v>0</v>
      </c>
      <c r="AN131" t="s">
        <v>49</v>
      </c>
      <c r="AO131">
        <v>0</v>
      </c>
      <c r="AP131">
        <v>1</v>
      </c>
      <c r="AQ131">
        <v>2</v>
      </c>
      <c r="AR131">
        <v>0</v>
      </c>
      <c r="AS131">
        <v>0</v>
      </c>
      <c r="AT131">
        <v>1</v>
      </c>
    </row>
    <row r="132" spans="1:46" x14ac:dyDescent="0.2">
      <c r="A132" t="s">
        <v>179</v>
      </c>
      <c r="B132" s="2">
        <f t="shared" si="2"/>
        <v>46023</v>
      </c>
      <c r="C132" t="s">
        <v>45</v>
      </c>
      <c r="D132" s="1">
        <v>1.4386574074074074E-2</v>
      </c>
      <c r="E132">
        <v>18</v>
      </c>
      <c r="F132" t="s">
        <v>100</v>
      </c>
      <c r="G132" t="s">
        <v>107</v>
      </c>
      <c r="H132">
        <f>VLOOKUP(G132, cohort!A$2:B$21, 2, FALSE)</f>
        <v>2</v>
      </c>
      <c r="I132" t="s">
        <v>48</v>
      </c>
      <c r="J132">
        <v>0.66666666666666596</v>
      </c>
      <c r="K132">
        <v>1</v>
      </c>
      <c r="L132">
        <v>0.5</v>
      </c>
      <c r="M132">
        <v>0.53333333333333299</v>
      </c>
      <c r="N132">
        <v>0.54545454545454497</v>
      </c>
      <c r="O132">
        <v>0</v>
      </c>
      <c r="P132">
        <v>0</v>
      </c>
      <c r="Q132">
        <v>0</v>
      </c>
      <c r="R132">
        <v>0</v>
      </c>
      <c r="S132">
        <v>1</v>
      </c>
      <c r="T132">
        <v>0</v>
      </c>
      <c r="U132">
        <v>1</v>
      </c>
      <c r="V132">
        <v>1</v>
      </c>
      <c r="W132">
        <v>0</v>
      </c>
      <c r="X132">
        <v>0</v>
      </c>
      <c r="Y132">
        <v>0</v>
      </c>
      <c r="Z132">
        <v>1</v>
      </c>
      <c r="AA132">
        <v>0</v>
      </c>
      <c r="AB132">
        <v>0</v>
      </c>
      <c r="AC132">
        <v>0</v>
      </c>
      <c r="AD132">
        <v>0</v>
      </c>
      <c r="AE132">
        <v>0</v>
      </c>
      <c r="AF132">
        <v>0</v>
      </c>
      <c r="AG132">
        <v>0</v>
      </c>
      <c r="AH132">
        <v>0</v>
      </c>
      <c r="AI132">
        <v>0</v>
      </c>
      <c r="AJ132">
        <v>0</v>
      </c>
      <c r="AK132">
        <v>0</v>
      </c>
      <c r="AL132">
        <v>1</v>
      </c>
      <c r="AM132">
        <v>0</v>
      </c>
      <c r="AN132" t="s">
        <v>49</v>
      </c>
      <c r="AO132">
        <v>0</v>
      </c>
      <c r="AP132">
        <v>3</v>
      </c>
      <c r="AQ132">
        <v>1</v>
      </c>
      <c r="AR132">
        <v>0</v>
      </c>
      <c r="AS132">
        <v>1</v>
      </c>
      <c r="AT132">
        <v>1</v>
      </c>
    </row>
    <row r="133" spans="1:46" x14ac:dyDescent="0.2">
      <c r="A133" t="s">
        <v>179</v>
      </c>
      <c r="B133" s="2">
        <f t="shared" si="2"/>
        <v>46023</v>
      </c>
      <c r="C133" t="s">
        <v>45</v>
      </c>
      <c r="D133" s="1">
        <v>1.3912037037037037E-2</v>
      </c>
      <c r="E133">
        <v>5</v>
      </c>
      <c r="F133" t="s">
        <v>119</v>
      </c>
      <c r="G133" t="s">
        <v>165</v>
      </c>
      <c r="H133">
        <f>VLOOKUP(G133, cohort!A$2:B$21, 2, FALSE)</f>
        <v>4</v>
      </c>
      <c r="I133" t="s">
        <v>50</v>
      </c>
      <c r="J133">
        <v>0.66666666666666596</v>
      </c>
      <c r="K133">
        <v>1</v>
      </c>
      <c r="L133">
        <v>0.33333333333333298</v>
      </c>
      <c r="M133">
        <v>0.66666666666666596</v>
      </c>
      <c r="N133">
        <v>0.45454545454545398</v>
      </c>
      <c r="O133">
        <v>0</v>
      </c>
      <c r="P133">
        <v>0</v>
      </c>
      <c r="Q133">
        <v>1</v>
      </c>
      <c r="R133">
        <v>0</v>
      </c>
      <c r="S133">
        <v>0</v>
      </c>
      <c r="T133">
        <v>0</v>
      </c>
      <c r="U133">
        <v>0</v>
      </c>
      <c r="V133">
        <v>0</v>
      </c>
      <c r="W133">
        <v>0</v>
      </c>
      <c r="X133">
        <v>0</v>
      </c>
      <c r="Y133">
        <v>0</v>
      </c>
      <c r="Z133">
        <v>1</v>
      </c>
      <c r="AA133">
        <v>0</v>
      </c>
      <c r="AB133">
        <v>0</v>
      </c>
      <c r="AC133">
        <v>0</v>
      </c>
      <c r="AD133">
        <v>0</v>
      </c>
      <c r="AE133">
        <v>0</v>
      </c>
      <c r="AF133">
        <v>0</v>
      </c>
      <c r="AG133">
        <v>0</v>
      </c>
      <c r="AH133">
        <v>0</v>
      </c>
      <c r="AI133">
        <v>0</v>
      </c>
      <c r="AJ133">
        <v>0</v>
      </c>
      <c r="AK133">
        <v>0</v>
      </c>
      <c r="AL133">
        <v>0</v>
      </c>
      <c r="AM133">
        <v>0</v>
      </c>
      <c r="AN133" t="s">
        <v>49</v>
      </c>
      <c r="AO133">
        <v>0</v>
      </c>
      <c r="AP133">
        <v>1</v>
      </c>
      <c r="AQ133">
        <v>1</v>
      </c>
      <c r="AR133">
        <v>0</v>
      </c>
      <c r="AS133">
        <v>0</v>
      </c>
      <c r="AT133">
        <v>0</v>
      </c>
    </row>
    <row r="134" spans="1:46" x14ac:dyDescent="0.2">
      <c r="A134" t="s">
        <v>180</v>
      </c>
      <c r="B134" s="2">
        <f t="shared" si="2"/>
        <v>46023</v>
      </c>
      <c r="C134" t="s">
        <v>52</v>
      </c>
      <c r="D134" s="1">
        <v>1.2835648148148148E-2</v>
      </c>
      <c r="E134">
        <v>14</v>
      </c>
      <c r="F134" t="s">
        <v>151</v>
      </c>
      <c r="G134" t="s">
        <v>146</v>
      </c>
      <c r="H134">
        <f>VLOOKUP(G134, cohort!A$2:B$21, 2, FALSE)</f>
        <v>3</v>
      </c>
      <c r="I134" t="s">
        <v>48</v>
      </c>
      <c r="J134">
        <v>0.55555555555555503</v>
      </c>
      <c r="K134">
        <v>1</v>
      </c>
      <c r="L134">
        <v>0.83333333333333304</v>
      </c>
      <c r="M134">
        <v>0.4</v>
      </c>
      <c r="N134">
        <v>0.27272727272727199</v>
      </c>
      <c r="O134">
        <v>0</v>
      </c>
      <c r="P134">
        <v>0</v>
      </c>
      <c r="Q134">
        <v>0</v>
      </c>
      <c r="R134">
        <v>0</v>
      </c>
      <c r="S134">
        <v>0</v>
      </c>
      <c r="T134">
        <v>0</v>
      </c>
      <c r="U134">
        <v>0</v>
      </c>
      <c r="V134">
        <v>0</v>
      </c>
      <c r="W134">
        <v>1</v>
      </c>
      <c r="X134">
        <v>1</v>
      </c>
      <c r="Y134">
        <v>0</v>
      </c>
      <c r="Z134">
        <v>0</v>
      </c>
      <c r="AA134">
        <v>0</v>
      </c>
      <c r="AB134">
        <v>0</v>
      </c>
      <c r="AC134">
        <v>1</v>
      </c>
      <c r="AD134">
        <v>0</v>
      </c>
      <c r="AE134">
        <v>0</v>
      </c>
      <c r="AF134">
        <v>0</v>
      </c>
      <c r="AG134">
        <v>0</v>
      </c>
      <c r="AH134">
        <v>0</v>
      </c>
      <c r="AI134">
        <v>0</v>
      </c>
      <c r="AJ134">
        <v>0</v>
      </c>
      <c r="AK134">
        <v>0</v>
      </c>
      <c r="AL134">
        <v>0</v>
      </c>
      <c r="AM134">
        <v>0</v>
      </c>
      <c r="AN134" t="s">
        <v>49</v>
      </c>
      <c r="AO134">
        <v>1</v>
      </c>
      <c r="AP134">
        <v>2</v>
      </c>
      <c r="AQ134">
        <v>1</v>
      </c>
      <c r="AR134">
        <v>1</v>
      </c>
      <c r="AS134">
        <v>2</v>
      </c>
      <c r="AT134">
        <v>1</v>
      </c>
    </row>
    <row r="135" spans="1:46" x14ac:dyDescent="0.2">
      <c r="A135" t="s">
        <v>180</v>
      </c>
      <c r="B135" s="2">
        <f t="shared" si="2"/>
        <v>46023</v>
      </c>
      <c r="C135" t="s">
        <v>52</v>
      </c>
      <c r="D135" s="1">
        <v>1.1157407407407408E-2</v>
      </c>
      <c r="E135">
        <v>8</v>
      </c>
      <c r="F135" t="s">
        <v>95</v>
      </c>
      <c r="G135" t="s">
        <v>65</v>
      </c>
      <c r="H135">
        <f>VLOOKUP(G135, cohort!A$2:B$21, 2, FALSE)</f>
        <v>1</v>
      </c>
      <c r="I135" t="s">
        <v>48</v>
      </c>
      <c r="J135">
        <v>0.66666666666666596</v>
      </c>
      <c r="K135">
        <v>1</v>
      </c>
      <c r="L135">
        <v>0.5</v>
      </c>
      <c r="M135">
        <v>0.4</v>
      </c>
      <c r="N135">
        <v>0.36363636363636298</v>
      </c>
      <c r="O135">
        <v>0</v>
      </c>
      <c r="P135">
        <v>0</v>
      </c>
      <c r="Q135">
        <v>0</v>
      </c>
      <c r="R135">
        <v>0</v>
      </c>
      <c r="S135">
        <v>0</v>
      </c>
      <c r="T135">
        <v>0</v>
      </c>
      <c r="U135">
        <v>0</v>
      </c>
      <c r="V135">
        <v>1</v>
      </c>
      <c r="W135">
        <v>0</v>
      </c>
      <c r="X135">
        <v>0</v>
      </c>
      <c r="Y135">
        <v>0</v>
      </c>
      <c r="Z135">
        <v>0</v>
      </c>
      <c r="AA135">
        <v>1</v>
      </c>
      <c r="AB135">
        <v>0</v>
      </c>
      <c r="AC135">
        <v>0</v>
      </c>
      <c r="AD135">
        <v>0</v>
      </c>
      <c r="AE135">
        <v>0</v>
      </c>
      <c r="AF135">
        <v>0</v>
      </c>
      <c r="AG135">
        <v>0</v>
      </c>
      <c r="AH135">
        <v>0</v>
      </c>
      <c r="AI135">
        <v>0</v>
      </c>
      <c r="AJ135">
        <v>0</v>
      </c>
      <c r="AK135">
        <v>0</v>
      </c>
      <c r="AL135">
        <v>1</v>
      </c>
      <c r="AM135">
        <v>0</v>
      </c>
      <c r="AN135" t="s">
        <v>49</v>
      </c>
      <c r="AO135">
        <v>0</v>
      </c>
      <c r="AP135">
        <v>1</v>
      </c>
      <c r="AQ135">
        <v>2</v>
      </c>
      <c r="AR135">
        <v>0</v>
      </c>
      <c r="AS135">
        <v>0</v>
      </c>
      <c r="AT135">
        <v>1</v>
      </c>
    </row>
    <row r="136" spans="1:46" x14ac:dyDescent="0.2">
      <c r="A136" t="s">
        <v>181</v>
      </c>
      <c r="B136" s="2">
        <f t="shared" si="2"/>
        <v>46023</v>
      </c>
      <c r="C136" t="s">
        <v>61</v>
      </c>
      <c r="D136" s="1">
        <v>1.3912037037037037E-2</v>
      </c>
      <c r="E136">
        <v>9</v>
      </c>
      <c r="F136" t="s">
        <v>173</v>
      </c>
      <c r="G136" t="s">
        <v>53</v>
      </c>
      <c r="H136">
        <f>VLOOKUP(G136, cohort!A$2:B$21, 2, FALSE)</f>
        <v>1</v>
      </c>
      <c r="I136" t="s">
        <v>50</v>
      </c>
      <c r="J136">
        <v>0.55555555555555503</v>
      </c>
      <c r="K136">
        <v>1</v>
      </c>
      <c r="L136">
        <v>0.83333333333333304</v>
      </c>
      <c r="M136">
        <v>0.53333333333333299</v>
      </c>
      <c r="N136">
        <v>0.36363636363636298</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t="s">
        <v>49</v>
      </c>
      <c r="AO136">
        <v>0</v>
      </c>
      <c r="AP136">
        <v>0</v>
      </c>
      <c r="AQ136">
        <v>0</v>
      </c>
      <c r="AR136">
        <v>0</v>
      </c>
      <c r="AS136">
        <v>0</v>
      </c>
      <c r="AT136">
        <v>0</v>
      </c>
    </row>
    <row r="137" spans="1:46" x14ac:dyDescent="0.2">
      <c r="A137" t="s">
        <v>182</v>
      </c>
      <c r="B137" s="2">
        <f t="shared" si="2"/>
        <v>46023</v>
      </c>
      <c r="C137" t="s">
        <v>58</v>
      </c>
      <c r="D137" s="1">
        <v>2.056712962962963E-2</v>
      </c>
      <c r="E137">
        <v>24</v>
      </c>
      <c r="F137" t="s">
        <v>168</v>
      </c>
      <c r="G137" t="s">
        <v>47</v>
      </c>
      <c r="H137">
        <f>VLOOKUP(G137, cohort!A$2:B$21, 2, FALSE)</f>
        <v>1</v>
      </c>
      <c r="I137" t="s">
        <v>48</v>
      </c>
      <c r="J137">
        <v>0.77777777777777701</v>
      </c>
      <c r="K137">
        <v>1</v>
      </c>
      <c r="L137">
        <v>0.83333333333333304</v>
      </c>
      <c r="M137">
        <v>0.8</v>
      </c>
      <c r="N137">
        <v>0.72727272727272696</v>
      </c>
      <c r="O137">
        <v>0</v>
      </c>
      <c r="P137">
        <v>0</v>
      </c>
      <c r="Q137">
        <v>0</v>
      </c>
      <c r="R137">
        <v>0</v>
      </c>
      <c r="S137">
        <v>0</v>
      </c>
      <c r="T137">
        <v>0</v>
      </c>
      <c r="U137">
        <v>0</v>
      </c>
      <c r="V137">
        <v>0</v>
      </c>
      <c r="W137">
        <v>0</v>
      </c>
      <c r="X137">
        <v>0</v>
      </c>
      <c r="Y137">
        <v>0</v>
      </c>
      <c r="Z137">
        <v>0</v>
      </c>
      <c r="AA137">
        <v>0</v>
      </c>
      <c r="AB137">
        <v>0</v>
      </c>
      <c r="AC137">
        <v>1</v>
      </c>
      <c r="AD137">
        <v>0</v>
      </c>
      <c r="AE137">
        <v>0</v>
      </c>
      <c r="AF137">
        <v>0</v>
      </c>
      <c r="AG137">
        <v>0</v>
      </c>
      <c r="AH137">
        <v>0</v>
      </c>
      <c r="AI137">
        <v>0</v>
      </c>
      <c r="AJ137">
        <v>0</v>
      </c>
      <c r="AK137">
        <v>0</v>
      </c>
      <c r="AL137">
        <v>0</v>
      </c>
      <c r="AM137">
        <v>0</v>
      </c>
      <c r="AN137" t="s">
        <v>49</v>
      </c>
      <c r="AO137">
        <v>1</v>
      </c>
      <c r="AP137">
        <v>1</v>
      </c>
      <c r="AQ137">
        <v>1</v>
      </c>
      <c r="AR137">
        <v>1</v>
      </c>
      <c r="AS137">
        <v>1</v>
      </c>
      <c r="AT137">
        <v>1</v>
      </c>
    </row>
    <row r="138" spans="1:46" x14ac:dyDescent="0.2">
      <c r="A138" t="s">
        <v>182</v>
      </c>
      <c r="B138" s="2">
        <f t="shared" si="2"/>
        <v>46023</v>
      </c>
      <c r="C138" t="s">
        <v>58</v>
      </c>
      <c r="D138" s="1">
        <v>1.3287037037037036E-2</v>
      </c>
      <c r="E138">
        <v>8</v>
      </c>
      <c r="F138" t="s">
        <v>95</v>
      </c>
      <c r="G138" t="s">
        <v>62</v>
      </c>
      <c r="H138">
        <f>VLOOKUP(G138, cohort!A$2:B$21, 2, FALSE)</f>
        <v>1</v>
      </c>
      <c r="I138" t="s">
        <v>48</v>
      </c>
      <c r="J138">
        <v>0.88888888888888795</v>
      </c>
      <c r="K138">
        <v>1</v>
      </c>
      <c r="L138">
        <v>0.83333333333333304</v>
      </c>
      <c r="M138">
        <v>0.86666666666666603</v>
      </c>
      <c r="N138">
        <v>0.72727272727272696</v>
      </c>
      <c r="O138">
        <v>0</v>
      </c>
      <c r="P138">
        <v>0</v>
      </c>
      <c r="Q138">
        <v>0</v>
      </c>
      <c r="R138">
        <v>0</v>
      </c>
      <c r="S138">
        <v>0</v>
      </c>
      <c r="T138">
        <v>0</v>
      </c>
      <c r="U138">
        <v>0</v>
      </c>
      <c r="V138">
        <v>1</v>
      </c>
      <c r="W138">
        <v>0</v>
      </c>
      <c r="X138">
        <v>0</v>
      </c>
      <c r="Y138">
        <v>0</v>
      </c>
      <c r="Z138">
        <v>0</v>
      </c>
      <c r="AA138">
        <v>1</v>
      </c>
      <c r="AB138">
        <v>0</v>
      </c>
      <c r="AC138">
        <v>0</v>
      </c>
      <c r="AD138">
        <v>0</v>
      </c>
      <c r="AE138">
        <v>0</v>
      </c>
      <c r="AF138">
        <v>0</v>
      </c>
      <c r="AG138">
        <v>0</v>
      </c>
      <c r="AH138">
        <v>0</v>
      </c>
      <c r="AI138">
        <v>0</v>
      </c>
      <c r="AJ138">
        <v>0</v>
      </c>
      <c r="AK138">
        <v>0</v>
      </c>
      <c r="AL138">
        <v>1</v>
      </c>
      <c r="AM138">
        <v>0</v>
      </c>
      <c r="AN138" t="s">
        <v>49</v>
      </c>
      <c r="AO138">
        <v>0</v>
      </c>
      <c r="AP138">
        <v>1</v>
      </c>
      <c r="AQ138">
        <v>2</v>
      </c>
      <c r="AR138">
        <v>0</v>
      </c>
      <c r="AS138">
        <v>0</v>
      </c>
      <c r="AT138">
        <v>1</v>
      </c>
    </row>
    <row r="139" spans="1:46" x14ac:dyDescent="0.2">
      <c r="A139" t="s">
        <v>183</v>
      </c>
      <c r="B139" s="2">
        <f t="shared" si="2"/>
        <v>46023</v>
      </c>
      <c r="C139" t="s">
        <v>92</v>
      </c>
      <c r="D139" s="1">
        <v>1.0775462962962962E-2</v>
      </c>
      <c r="E139">
        <v>8</v>
      </c>
      <c r="F139" t="s">
        <v>95</v>
      </c>
      <c r="G139" t="s">
        <v>131</v>
      </c>
      <c r="H139">
        <f>VLOOKUP(G139, cohort!A$2:B$21, 2, FALSE)</f>
        <v>2</v>
      </c>
      <c r="I139" t="s">
        <v>48</v>
      </c>
      <c r="J139">
        <v>0.66666666666666596</v>
      </c>
      <c r="K139">
        <v>1</v>
      </c>
      <c r="L139">
        <v>0.83333333333333304</v>
      </c>
      <c r="M139">
        <v>0.73333333333333295</v>
      </c>
      <c r="N139">
        <v>0.63636363636363602</v>
      </c>
      <c r="O139">
        <v>0</v>
      </c>
      <c r="P139">
        <v>0</v>
      </c>
      <c r="Q139">
        <v>0</v>
      </c>
      <c r="R139">
        <v>0</v>
      </c>
      <c r="S139">
        <v>0</v>
      </c>
      <c r="T139">
        <v>0</v>
      </c>
      <c r="U139">
        <v>0</v>
      </c>
      <c r="V139">
        <v>1</v>
      </c>
      <c r="W139">
        <v>0</v>
      </c>
      <c r="X139">
        <v>0</v>
      </c>
      <c r="Y139">
        <v>0</v>
      </c>
      <c r="Z139">
        <v>0</v>
      </c>
      <c r="AA139">
        <v>1</v>
      </c>
      <c r="AB139">
        <v>0</v>
      </c>
      <c r="AC139">
        <v>0</v>
      </c>
      <c r="AD139">
        <v>0</v>
      </c>
      <c r="AE139">
        <v>0</v>
      </c>
      <c r="AF139">
        <v>0</v>
      </c>
      <c r="AG139">
        <v>0</v>
      </c>
      <c r="AH139">
        <v>0</v>
      </c>
      <c r="AI139">
        <v>0</v>
      </c>
      <c r="AJ139">
        <v>0</v>
      </c>
      <c r="AK139">
        <v>0</v>
      </c>
      <c r="AL139">
        <v>1</v>
      </c>
      <c r="AM139">
        <v>0</v>
      </c>
      <c r="AN139" t="s">
        <v>49</v>
      </c>
      <c r="AO139">
        <v>0</v>
      </c>
      <c r="AP139">
        <v>1</v>
      </c>
      <c r="AQ139">
        <v>2</v>
      </c>
      <c r="AR139">
        <v>0</v>
      </c>
      <c r="AS139">
        <v>0</v>
      </c>
      <c r="AT139">
        <v>1</v>
      </c>
    </row>
    <row r="140" spans="1:46" x14ac:dyDescent="0.2">
      <c r="A140" t="s">
        <v>184</v>
      </c>
      <c r="B140" s="2">
        <f t="shared" si="2"/>
        <v>46023</v>
      </c>
      <c r="C140" t="s">
        <v>45</v>
      </c>
      <c r="D140" s="1">
        <v>1.0532407407407407E-2</v>
      </c>
      <c r="E140">
        <v>18</v>
      </c>
      <c r="F140" t="s">
        <v>100</v>
      </c>
      <c r="G140" t="s">
        <v>110</v>
      </c>
      <c r="H140">
        <f>VLOOKUP(G140, cohort!A$2:B$21, 2, FALSE)</f>
        <v>2</v>
      </c>
      <c r="I140" t="s">
        <v>48</v>
      </c>
      <c r="J140">
        <v>0.44444444444444398</v>
      </c>
      <c r="K140">
        <v>1</v>
      </c>
      <c r="L140">
        <v>0.66666666666666596</v>
      </c>
      <c r="M140">
        <v>0.46666666666666601</v>
      </c>
      <c r="N140">
        <v>0.27272727272727199</v>
      </c>
      <c r="O140">
        <v>0</v>
      </c>
      <c r="P140">
        <v>0</v>
      </c>
      <c r="Q140">
        <v>0</v>
      </c>
      <c r="R140">
        <v>0</v>
      </c>
      <c r="S140">
        <v>1</v>
      </c>
      <c r="T140">
        <v>0</v>
      </c>
      <c r="U140">
        <v>1</v>
      </c>
      <c r="V140">
        <v>1</v>
      </c>
      <c r="W140">
        <v>0</v>
      </c>
      <c r="X140">
        <v>0</v>
      </c>
      <c r="Y140">
        <v>0</v>
      </c>
      <c r="Z140">
        <v>1</v>
      </c>
      <c r="AA140">
        <v>0</v>
      </c>
      <c r="AB140">
        <v>0</v>
      </c>
      <c r="AC140">
        <v>0</v>
      </c>
      <c r="AD140">
        <v>0</v>
      </c>
      <c r="AE140">
        <v>0</v>
      </c>
      <c r="AF140">
        <v>0</v>
      </c>
      <c r="AG140">
        <v>0</v>
      </c>
      <c r="AH140">
        <v>0</v>
      </c>
      <c r="AI140">
        <v>0</v>
      </c>
      <c r="AJ140">
        <v>0</v>
      </c>
      <c r="AK140">
        <v>0</v>
      </c>
      <c r="AL140">
        <v>1</v>
      </c>
      <c r="AM140">
        <v>0</v>
      </c>
      <c r="AN140" t="s">
        <v>49</v>
      </c>
      <c r="AO140">
        <v>0</v>
      </c>
      <c r="AP140">
        <v>3</v>
      </c>
      <c r="AQ140">
        <v>1</v>
      </c>
      <c r="AR140">
        <v>0</v>
      </c>
      <c r="AS140">
        <v>1</v>
      </c>
      <c r="AT140">
        <v>1</v>
      </c>
    </row>
    <row r="141" spans="1:46" x14ac:dyDescent="0.2">
      <c r="A141" t="s">
        <v>185</v>
      </c>
      <c r="B141" s="2">
        <f t="shared" si="2"/>
        <v>46023</v>
      </c>
      <c r="C141" t="s">
        <v>52</v>
      </c>
      <c r="D141" s="1">
        <v>1.3900462962962963E-2</v>
      </c>
      <c r="E141">
        <v>16</v>
      </c>
      <c r="F141" t="s">
        <v>73</v>
      </c>
      <c r="G141" t="s">
        <v>140</v>
      </c>
      <c r="H141">
        <f>VLOOKUP(G141, cohort!A$2:B$21, 2, FALSE)</f>
        <v>3</v>
      </c>
      <c r="I141" t="s">
        <v>50</v>
      </c>
      <c r="J141">
        <v>0.55555555555555503</v>
      </c>
      <c r="K141">
        <v>0.5</v>
      </c>
      <c r="L141">
        <v>0.33333333333333298</v>
      </c>
      <c r="M141">
        <v>0.266666666666666</v>
      </c>
      <c r="N141">
        <v>0.18181818181818099</v>
      </c>
      <c r="O141">
        <v>0</v>
      </c>
      <c r="P141">
        <v>0</v>
      </c>
      <c r="Q141">
        <v>0</v>
      </c>
      <c r="R141">
        <v>1</v>
      </c>
      <c r="S141">
        <v>0</v>
      </c>
      <c r="T141">
        <v>0</v>
      </c>
      <c r="U141">
        <v>0</v>
      </c>
      <c r="V141">
        <v>0</v>
      </c>
      <c r="W141">
        <v>0</v>
      </c>
      <c r="X141">
        <v>0</v>
      </c>
      <c r="Y141">
        <v>0</v>
      </c>
      <c r="Z141">
        <v>0</v>
      </c>
      <c r="AA141">
        <v>0</v>
      </c>
      <c r="AB141">
        <v>1</v>
      </c>
      <c r="AC141">
        <v>0</v>
      </c>
      <c r="AD141">
        <v>0</v>
      </c>
      <c r="AE141">
        <v>0</v>
      </c>
      <c r="AF141">
        <v>0</v>
      </c>
      <c r="AG141">
        <v>0</v>
      </c>
      <c r="AH141">
        <v>0</v>
      </c>
      <c r="AI141">
        <v>0</v>
      </c>
      <c r="AJ141">
        <v>0</v>
      </c>
      <c r="AK141">
        <v>0</v>
      </c>
      <c r="AL141">
        <v>0</v>
      </c>
      <c r="AM141">
        <v>0</v>
      </c>
      <c r="AN141" t="s">
        <v>49</v>
      </c>
      <c r="AO141">
        <v>0</v>
      </c>
      <c r="AP141">
        <v>1</v>
      </c>
      <c r="AQ141">
        <v>0</v>
      </c>
      <c r="AR141">
        <v>0</v>
      </c>
      <c r="AS141">
        <v>1</v>
      </c>
      <c r="AT141">
        <v>0</v>
      </c>
    </row>
    <row r="142" spans="1:46" x14ac:dyDescent="0.2">
      <c r="A142" t="s">
        <v>186</v>
      </c>
      <c r="B142" s="2">
        <f t="shared" si="2"/>
        <v>46023</v>
      </c>
      <c r="C142" t="s">
        <v>52</v>
      </c>
      <c r="D142" s="1">
        <v>1.3900462962962963E-2</v>
      </c>
      <c r="E142">
        <v>16</v>
      </c>
      <c r="F142" t="s">
        <v>73</v>
      </c>
      <c r="G142" t="s">
        <v>146</v>
      </c>
      <c r="H142">
        <f>VLOOKUP(G142, cohort!A$2:B$21, 2, FALSE)</f>
        <v>3</v>
      </c>
      <c r="I142" t="s">
        <v>50</v>
      </c>
      <c r="J142">
        <v>0.55555555555555503</v>
      </c>
      <c r="K142">
        <v>0.5</v>
      </c>
      <c r="L142">
        <v>0.33333333333333298</v>
      </c>
      <c r="M142">
        <v>0.33333333333333298</v>
      </c>
      <c r="N142">
        <v>9.0909090909090898E-2</v>
      </c>
      <c r="O142">
        <v>0</v>
      </c>
      <c r="P142">
        <v>0</v>
      </c>
      <c r="Q142">
        <v>0</v>
      </c>
      <c r="R142">
        <v>1</v>
      </c>
      <c r="S142">
        <v>0</v>
      </c>
      <c r="T142">
        <v>0</v>
      </c>
      <c r="U142">
        <v>0</v>
      </c>
      <c r="V142">
        <v>0</v>
      </c>
      <c r="W142">
        <v>0</v>
      </c>
      <c r="X142">
        <v>0</v>
      </c>
      <c r="Y142">
        <v>0</v>
      </c>
      <c r="Z142">
        <v>0</v>
      </c>
      <c r="AA142">
        <v>0</v>
      </c>
      <c r="AB142">
        <v>1</v>
      </c>
      <c r="AC142">
        <v>0</v>
      </c>
      <c r="AD142">
        <v>0</v>
      </c>
      <c r="AE142">
        <v>0</v>
      </c>
      <c r="AF142">
        <v>0</v>
      </c>
      <c r="AG142">
        <v>0</v>
      </c>
      <c r="AH142">
        <v>0</v>
      </c>
      <c r="AI142">
        <v>0</v>
      </c>
      <c r="AJ142">
        <v>0</v>
      </c>
      <c r="AK142">
        <v>0</v>
      </c>
      <c r="AL142">
        <v>0</v>
      </c>
      <c r="AM142">
        <v>0</v>
      </c>
      <c r="AN142" t="s">
        <v>49</v>
      </c>
      <c r="AO142">
        <v>0</v>
      </c>
      <c r="AP142">
        <v>1</v>
      </c>
      <c r="AQ142">
        <v>0</v>
      </c>
      <c r="AR142">
        <v>0</v>
      </c>
      <c r="AS142">
        <v>1</v>
      </c>
      <c r="AT142">
        <v>0</v>
      </c>
    </row>
    <row r="143" spans="1:46" x14ac:dyDescent="0.2">
      <c r="A143" t="s">
        <v>187</v>
      </c>
      <c r="B143" s="2">
        <f t="shared" si="2"/>
        <v>46054</v>
      </c>
      <c r="C143" t="s">
        <v>92</v>
      </c>
      <c r="D143" s="1">
        <v>1.3912037037037037E-2</v>
      </c>
      <c r="E143">
        <v>17</v>
      </c>
      <c r="F143" t="s">
        <v>148</v>
      </c>
      <c r="G143" t="s">
        <v>59</v>
      </c>
      <c r="H143">
        <f>VLOOKUP(G143, cohort!A$2:B$21, 2, FALSE)</f>
        <v>1</v>
      </c>
      <c r="I143" t="s">
        <v>50</v>
      </c>
      <c r="J143">
        <v>0.44444444444444398</v>
      </c>
      <c r="K143">
        <v>0.5</v>
      </c>
      <c r="L143">
        <v>0.33333333333333298</v>
      </c>
      <c r="M143">
        <v>0.46666666666666601</v>
      </c>
      <c r="N143">
        <v>0.18181818181818099</v>
      </c>
      <c r="O143">
        <v>0</v>
      </c>
      <c r="P143">
        <v>0</v>
      </c>
      <c r="Q143">
        <v>0</v>
      </c>
      <c r="R143">
        <v>0</v>
      </c>
      <c r="S143">
        <v>1</v>
      </c>
      <c r="T143">
        <v>0</v>
      </c>
      <c r="U143">
        <v>1</v>
      </c>
      <c r="V143">
        <v>0</v>
      </c>
      <c r="W143">
        <v>0</v>
      </c>
      <c r="X143">
        <v>0</v>
      </c>
      <c r="Y143">
        <v>0</v>
      </c>
      <c r="Z143">
        <v>1</v>
      </c>
      <c r="AA143">
        <v>0</v>
      </c>
      <c r="AB143">
        <v>0</v>
      </c>
      <c r="AC143">
        <v>0</v>
      </c>
      <c r="AD143">
        <v>0</v>
      </c>
      <c r="AE143">
        <v>0</v>
      </c>
      <c r="AF143">
        <v>0</v>
      </c>
      <c r="AG143">
        <v>0</v>
      </c>
      <c r="AH143">
        <v>0</v>
      </c>
      <c r="AI143">
        <v>0</v>
      </c>
      <c r="AJ143">
        <v>0</v>
      </c>
      <c r="AK143">
        <v>0</v>
      </c>
      <c r="AL143">
        <v>0</v>
      </c>
      <c r="AM143">
        <v>0</v>
      </c>
      <c r="AN143" t="s">
        <v>49</v>
      </c>
      <c r="AO143">
        <v>0</v>
      </c>
      <c r="AP143">
        <v>2</v>
      </c>
      <c r="AQ143">
        <v>0</v>
      </c>
      <c r="AR143">
        <v>0</v>
      </c>
      <c r="AS143">
        <v>1</v>
      </c>
      <c r="AT143">
        <v>0</v>
      </c>
    </row>
    <row r="144" spans="1:46" x14ac:dyDescent="0.2">
      <c r="A144" t="s">
        <v>187</v>
      </c>
      <c r="B144" s="2">
        <f t="shared" si="2"/>
        <v>46054</v>
      </c>
      <c r="C144" t="s">
        <v>92</v>
      </c>
      <c r="D144" s="1">
        <v>1.7384259259259259E-2</v>
      </c>
      <c r="E144">
        <v>18</v>
      </c>
      <c r="F144" t="s">
        <v>100</v>
      </c>
      <c r="G144" t="s">
        <v>143</v>
      </c>
      <c r="H144">
        <f>VLOOKUP(G144, cohort!A$2:B$21, 2, FALSE)</f>
        <v>2</v>
      </c>
      <c r="I144" t="s">
        <v>50</v>
      </c>
      <c r="J144">
        <v>0.66666666666666596</v>
      </c>
      <c r="K144">
        <v>0.5</v>
      </c>
      <c r="L144">
        <v>0.33333333333333298</v>
      </c>
      <c r="M144">
        <v>0.33333333333333298</v>
      </c>
      <c r="N144">
        <v>0.18181818181818099</v>
      </c>
      <c r="O144">
        <v>0</v>
      </c>
      <c r="P144">
        <v>0</v>
      </c>
      <c r="Q144">
        <v>0</v>
      </c>
      <c r="R144">
        <v>0</v>
      </c>
      <c r="S144">
        <v>1</v>
      </c>
      <c r="T144">
        <v>0</v>
      </c>
      <c r="U144">
        <v>1</v>
      </c>
      <c r="V144">
        <v>1</v>
      </c>
      <c r="W144">
        <v>0</v>
      </c>
      <c r="X144">
        <v>0</v>
      </c>
      <c r="Y144">
        <v>0</v>
      </c>
      <c r="Z144">
        <v>1</v>
      </c>
      <c r="AA144">
        <v>0</v>
      </c>
      <c r="AB144">
        <v>0</v>
      </c>
      <c r="AC144">
        <v>0</v>
      </c>
      <c r="AD144">
        <v>0</v>
      </c>
      <c r="AE144">
        <v>0</v>
      </c>
      <c r="AF144">
        <v>0</v>
      </c>
      <c r="AG144">
        <v>0</v>
      </c>
      <c r="AH144">
        <v>0</v>
      </c>
      <c r="AI144">
        <v>0</v>
      </c>
      <c r="AJ144">
        <v>0</v>
      </c>
      <c r="AK144">
        <v>0</v>
      </c>
      <c r="AL144">
        <v>1</v>
      </c>
      <c r="AM144">
        <v>0</v>
      </c>
      <c r="AN144" t="s">
        <v>49</v>
      </c>
      <c r="AO144">
        <v>0</v>
      </c>
      <c r="AP144">
        <v>3</v>
      </c>
      <c r="AQ144">
        <v>1</v>
      </c>
      <c r="AR144">
        <v>0</v>
      </c>
      <c r="AS144">
        <v>1</v>
      </c>
      <c r="AT144">
        <v>1</v>
      </c>
    </row>
    <row r="145" spans="1:46" x14ac:dyDescent="0.2">
      <c r="A145" t="s">
        <v>187</v>
      </c>
      <c r="B145" s="2">
        <f t="shared" si="2"/>
        <v>46054</v>
      </c>
      <c r="C145" t="s">
        <v>92</v>
      </c>
      <c r="D145" s="1">
        <v>1.2534722222222221E-2</v>
      </c>
      <c r="E145">
        <v>18</v>
      </c>
      <c r="F145" t="s">
        <v>100</v>
      </c>
      <c r="G145" t="s">
        <v>131</v>
      </c>
      <c r="H145">
        <f>VLOOKUP(G145, cohort!A$2:B$21, 2, FALSE)</f>
        <v>2</v>
      </c>
      <c r="I145" t="s">
        <v>48</v>
      </c>
      <c r="J145">
        <v>0.55555555555555503</v>
      </c>
      <c r="K145">
        <v>0.5</v>
      </c>
      <c r="L145">
        <v>0.66666666666666596</v>
      </c>
      <c r="M145">
        <v>0.4</v>
      </c>
      <c r="N145">
        <v>0.36363636363636298</v>
      </c>
      <c r="O145">
        <v>0</v>
      </c>
      <c r="P145">
        <v>0</v>
      </c>
      <c r="Q145">
        <v>0</v>
      </c>
      <c r="R145">
        <v>0</v>
      </c>
      <c r="S145">
        <v>1</v>
      </c>
      <c r="T145">
        <v>0</v>
      </c>
      <c r="U145">
        <v>1</v>
      </c>
      <c r="V145">
        <v>1</v>
      </c>
      <c r="W145">
        <v>0</v>
      </c>
      <c r="X145">
        <v>0</v>
      </c>
      <c r="Y145">
        <v>0</v>
      </c>
      <c r="Z145">
        <v>1</v>
      </c>
      <c r="AA145">
        <v>0</v>
      </c>
      <c r="AB145">
        <v>0</v>
      </c>
      <c r="AC145">
        <v>0</v>
      </c>
      <c r="AD145">
        <v>0</v>
      </c>
      <c r="AE145">
        <v>0</v>
      </c>
      <c r="AF145">
        <v>0</v>
      </c>
      <c r="AG145">
        <v>0</v>
      </c>
      <c r="AH145">
        <v>0</v>
      </c>
      <c r="AI145">
        <v>0</v>
      </c>
      <c r="AJ145">
        <v>0</v>
      </c>
      <c r="AK145">
        <v>0</v>
      </c>
      <c r="AL145">
        <v>1</v>
      </c>
      <c r="AM145">
        <v>0</v>
      </c>
      <c r="AN145" t="s">
        <v>49</v>
      </c>
      <c r="AO145">
        <v>0</v>
      </c>
      <c r="AP145">
        <v>3</v>
      </c>
      <c r="AQ145">
        <v>1</v>
      </c>
      <c r="AR145">
        <v>0</v>
      </c>
      <c r="AS145">
        <v>1</v>
      </c>
      <c r="AT145">
        <v>1</v>
      </c>
    </row>
    <row r="146" spans="1:46" x14ac:dyDescent="0.2">
      <c r="A146" t="s">
        <v>188</v>
      </c>
      <c r="B146" s="2">
        <f t="shared" si="2"/>
        <v>46054</v>
      </c>
      <c r="C146" t="s">
        <v>45</v>
      </c>
      <c r="D146" s="1">
        <v>1.7384259259259259E-2</v>
      </c>
      <c r="E146">
        <v>18</v>
      </c>
      <c r="F146" t="s">
        <v>100</v>
      </c>
      <c r="G146" t="s">
        <v>154</v>
      </c>
      <c r="H146">
        <f>VLOOKUP(G146, cohort!A$2:B$21, 2, FALSE)</f>
        <v>3</v>
      </c>
      <c r="I146" t="s">
        <v>50</v>
      </c>
      <c r="J146">
        <v>0.88888888888888795</v>
      </c>
      <c r="K146">
        <v>1</v>
      </c>
      <c r="L146">
        <v>0.66666666666666596</v>
      </c>
      <c r="M146">
        <v>0.6</v>
      </c>
      <c r="N146">
        <v>0.54545454545454497</v>
      </c>
      <c r="O146">
        <v>0</v>
      </c>
      <c r="P146">
        <v>0</v>
      </c>
      <c r="Q146">
        <v>0</v>
      </c>
      <c r="R146">
        <v>0</v>
      </c>
      <c r="S146">
        <v>1</v>
      </c>
      <c r="T146">
        <v>0</v>
      </c>
      <c r="U146">
        <v>1</v>
      </c>
      <c r="V146">
        <v>1</v>
      </c>
      <c r="W146">
        <v>0</v>
      </c>
      <c r="X146">
        <v>0</v>
      </c>
      <c r="Y146">
        <v>0</v>
      </c>
      <c r="Z146">
        <v>1</v>
      </c>
      <c r="AA146">
        <v>0</v>
      </c>
      <c r="AB146">
        <v>0</v>
      </c>
      <c r="AC146">
        <v>0</v>
      </c>
      <c r="AD146">
        <v>0</v>
      </c>
      <c r="AE146">
        <v>0</v>
      </c>
      <c r="AF146">
        <v>0</v>
      </c>
      <c r="AG146">
        <v>0</v>
      </c>
      <c r="AH146">
        <v>0</v>
      </c>
      <c r="AI146">
        <v>0</v>
      </c>
      <c r="AJ146">
        <v>0</v>
      </c>
      <c r="AK146">
        <v>0</v>
      </c>
      <c r="AL146">
        <v>1</v>
      </c>
      <c r="AM146">
        <v>0</v>
      </c>
      <c r="AN146" t="s">
        <v>49</v>
      </c>
      <c r="AO146">
        <v>0</v>
      </c>
      <c r="AP146">
        <v>3</v>
      </c>
      <c r="AQ146">
        <v>1</v>
      </c>
      <c r="AR146">
        <v>0</v>
      </c>
      <c r="AS146">
        <v>1</v>
      </c>
      <c r="AT146">
        <v>1</v>
      </c>
    </row>
    <row r="147" spans="1:46" x14ac:dyDescent="0.2">
      <c r="A147" t="s">
        <v>189</v>
      </c>
      <c r="B147" s="2">
        <f t="shared" si="2"/>
        <v>46054</v>
      </c>
      <c r="C147" t="s">
        <v>61</v>
      </c>
      <c r="D147" s="1">
        <v>1.3344907407407408E-2</v>
      </c>
      <c r="E147">
        <v>18</v>
      </c>
      <c r="F147" t="s">
        <v>100</v>
      </c>
      <c r="G147" t="s">
        <v>135</v>
      </c>
      <c r="H147">
        <f>VLOOKUP(G147, cohort!A$2:B$21, 2, FALSE)</f>
        <v>3</v>
      </c>
      <c r="I147" t="s">
        <v>48</v>
      </c>
      <c r="J147">
        <v>0.66666666666666596</v>
      </c>
      <c r="K147">
        <v>0.5</v>
      </c>
      <c r="L147">
        <v>0.66666666666666596</v>
      </c>
      <c r="M147">
        <v>0.53333333333333299</v>
      </c>
      <c r="N147">
        <v>0.36363636363636298</v>
      </c>
      <c r="O147">
        <v>0</v>
      </c>
      <c r="P147">
        <v>0</v>
      </c>
      <c r="Q147">
        <v>0</v>
      </c>
      <c r="R147">
        <v>0</v>
      </c>
      <c r="S147">
        <v>1</v>
      </c>
      <c r="T147">
        <v>0</v>
      </c>
      <c r="U147">
        <v>1</v>
      </c>
      <c r="V147">
        <v>1</v>
      </c>
      <c r="W147">
        <v>0</v>
      </c>
      <c r="X147">
        <v>0</v>
      </c>
      <c r="Y147">
        <v>0</v>
      </c>
      <c r="Z147">
        <v>1</v>
      </c>
      <c r="AA147">
        <v>0</v>
      </c>
      <c r="AB147">
        <v>0</v>
      </c>
      <c r="AC147">
        <v>0</v>
      </c>
      <c r="AD147">
        <v>0</v>
      </c>
      <c r="AE147">
        <v>0</v>
      </c>
      <c r="AF147">
        <v>0</v>
      </c>
      <c r="AG147">
        <v>0</v>
      </c>
      <c r="AH147">
        <v>0</v>
      </c>
      <c r="AI147">
        <v>0</v>
      </c>
      <c r="AJ147">
        <v>0</v>
      </c>
      <c r="AK147">
        <v>0</v>
      </c>
      <c r="AL147">
        <v>1</v>
      </c>
      <c r="AM147">
        <v>0</v>
      </c>
      <c r="AN147" t="s">
        <v>49</v>
      </c>
      <c r="AO147">
        <v>0</v>
      </c>
      <c r="AP147">
        <v>3</v>
      </c>
      <c r="AQ147">
        <v>1</v>
      </c>
      <c r="AR147">
        <v>0</v>
      </c>
      <c r="AS147">
        <v>1</v>
      </c>
      <c r="AT147">
        <v>1</v>
      </c>
    </row>
    <row r="148" spans="1:46" x14ac:dyDescent="0.2">
      <c r="A148" t="s">
        <v>190</v>
      </c>
      <c r="B148" s="2">
        <f t="shared" si="2"/>
        <v>46054</v>
      </c>
      <c r="C148" t="s">
        <v>58</v>
      </c>
      <c r="D148" s="1">
        <v>1.1203703703703704E-2</v>
      </c>
      <c r="E148">
        <v>32</v>
      </c>
      <c r="F148" t="s">
        <v>123</v>
      </c>
      <c r="G148" t="s">
        <v>165</v>
      </c>
      <c r="H148">
        <f>VLOOKUP(G148, cohort!A$2:B$21, 2, FALSE)</f>
        <v>4</v>
      </c>
      <c r="I148" t="s">
        <v>48</v>
      </c>
      <c r="J148">
        <v>0.55555555555555503</v>
      </c>
      <c r="K148">
        <v>1</v>
      </c>
      <c r="L148">
        <v>0.33333333333333298</v>
      </c>
      <c r="M148">
        <v>0.4</v>
      </c>
      <c r="N148">
        <v>0.18181818181818099</v>
      </c>
      <c r="O148">
        <v>0</v>
      </c>
      <c r="P148">
        <v>0</v>
      </c>
      <c r="Q148">
        <v>0</v>
      </c>
      <c r="R148">
        <v>0</v>
      </c>
      <c r="S148">
        <v>0</v>
      </c>
      <c r="T148">
        <v>0</v>
      </c>
      <c r="U148">
        <v>1</v>
      </c>
      <c r="V148">
        <v>1</v>
      </c>
      <c r="W148">
        <v>0</v>
      </c>
      <c r="X148">
        <v>0</v>
      </c>
      <c r="Y148">
        <v>0</v>
      </c>
      <c r="Z148">
        <v>0</v>
      </c>
      <c r="AA148">
        <v>0</v>
      </c>
      <c r="AB148">
        <v>0</v>
      </c>
      <c r="AC148">
        <v>0</v>
      </c>
      <c r="AD148">
        <v>0</v>
      </c>
      <c r="AE148">
        <v>0</v>
      </c>
      <c r="AF148">
        <v>0</v>
      </c>
      <c r="AG148">
        <v>0</v>
      </c>
      <c r="AH148">
        <v>0</v>
      </c>
      <c r="AI148">
        <v>0</v>
      </c>
      <c r="AJ148">
        <v>0</v>
      </c>
      <c r="AK148">
        <v>0</v>
      </c>
      <c r="AL148">
        <v>0</v>
      </c>
      <c r="AM148">
        <v>0</v>
      </c>
      <c r="AN148" t="s">
        <v>49</v>
      </c>
      <c r="AO148">
        <v>0</v>
      </c>
      <c r="AP148">
        <v>2</v>
      </c>
      <c r="AQ148">
        <v>0</v>
      </c>
      <c r="AR148">
        <v>0</v>
      </c>
      <c r="AS148">
        <v>0</v>
      </c>
      <c r="AT148">
        <v>0</v>
      </c>
    </row>
    <row r="149" spans="1:46" x14ac:dyDescent="0.2">
      <c r="A149" t="s">
        <v>191</v>
      </c>
      <c r="B149" s="2">
        <f t="shared" si="2"/>
        <v>46054</v>
      </c>
      <c r="C149" t="s">
        <v>52</v>
      </c>
      <c r="D149" s="1">
        <v>1.2268518518518519E-2</v>
      </c>
      <c r="E149">
        <v>4</v>
      </c>
      <c r="F149" t="s">
        <v>87</v>
      </c>
      <c r="G149" t="s">
        <v>140</v>
      </c>
      <c r="H149">
        <f>VLOOKUP(G149, cohort!A$2:B$21, 2, FALSE)</f>
        <v>3</v>
      </c>
      <c r="I149" t="s">
        <v>48</v>
      </c>
      <c r="J149">
        <v>0.55555555555555503</v>
      </c>
      <c r="K149">
        <v>0.5</v>
      </c>
      <c r="L149">
        <v>0.66666666666666596</v>
      </c>
      <c r="M149">
        <v>0.4</v>
      </c>
      <c r="N149">
        <v>0.18181818181818099</v>
      </c>
      <c r="O149">
        <v>1</v>
      </c>
      <c r="P149">
        <v>0</v>
      </c>
      <c r="Q149">
        <v>0</v>
      </c>
      <c r="R149">
        <v>0</v>
      </c>
      <c r="S149">
        <v>0</v>
      </c>
      <c r="T149">
        <v>0</v>
      </c>
      <c r="U149">
        <v>0</v>
      </c>
      <c r="V149">
        <v>0</v>
      </c>
      <c r="W149">
        <v>0</v>
      </c>
      <c r="X149">
        <v>0</v>
      </c>
      <c r="Y149">
        <v>0</v>
      </c>
      <c r="Z149">
        <v>0</v>
      </c>
      <c r="AA149">
        <v>0</v>
      </c>
      <c r="AB149">
        <v>0</v>
      </c>
      <c r="AC149">
        <v>1</v>
      </c>
      <c r="AD149">
        <v>0</v>
      </c>
      <c r="AE149">
        <v>1</v>
      </c>
      <c r="AF149">
        <v>0</v>
      </c>
      <c r="AG149">
        <v>1</v>
      </c>
      <c r="AH149">
        <v>0</v>
      </c>
      <c r="AI149">
        <v>0</v>
      </c>
      <c r="AJ149">
        <v>0</v>
      </c>
      <c r="AK149">
        <v>0</v>
      </c>
      <c r="AL149">
        <v>0</v>
      </c>
      <c r="AM149">
        <v>0</v>
      </c>
      <c r="AN149" t="s">
        <v>49</v>
      </c>
      <c r="AO149">
        <v>1</v>
      </c>
      <c r="AP149">
        <v>4</v>
      </c>
      <c r="AQ149">
        <v>1</v>
      </c>
      <c r="AR149">
        <v>1</v>
      </c>
      <c r="AS149">
        <v>1</v>
      </c>
      <c r="AT149">
        <v>1</v>
      </c>
    </row>
    <row r="150" spans="1:46" x14ac:dyDescent="0.2">
      <c r="A150" t="s">
        <v>192</v>
      </c>
      <c r="B150" s="2">
        <f t="shared" si="2"/>
        <v>46054</v>
      </c>
      <c r="C150" t="s">
        <v>58</v>
      </c>
      <c r="D150" s="1">
        <v>1.3113425925925926E-2</v>
      </c>
      <c r="E150">
        <v>9</v>
      </c>
      <c r="F150" t="s">
        <v>173</v>
      </c>
      <c r="G150" t="s">
        <v>47</v>
      </c>
      <c r="H150">
        <f>VLOOKUP(G150, cohort!A$2:B$21, 2, FALSE)</f>
        <v>1</v>
      </c>
      <c r="I150" t="s">
        <v>48</v>
      </c>
      <c r="J150">
        <v>0.77777777777777701</v>
      </c>
      <c r="K150">
        <v>1</v>
      </c>
      <c r="L150">
        <v>0.33333333333333298</v>
      </c>
      <c r="M150">
        <v>0.66666666666666596</v>
      </c>
      <c r="N150">
        <v>0.36363636363636298</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t="s">
        <v>49</v>
      </c>
      <c r="AO150">
        <v>0</v>
      </c>
      <c r="AP150">
        <v>0</v>
      </c>
      <c r="AQ150">
        <v>0</v>
      </c>
      <c r="AR150">
        <v>0</v>
      </c>
      <c r="AS150">
        <v>0</v>
      </c>
      <c r="AT150">
        <v>0</v>
      </c>
    </row>
    <row r="151" spans="1:46" x14ac:dyDescent="0.2">
      <c r="A151" t="s">
        <v>192</v>
      </c>
      <c r="B151" s="2">
        <f t="shared" si="2"/>
        <v>46054</v>
      </c>
      <c r="C151" t="s">
        <v>58</v>
      </c>
      <c r="D151" s="1">
        <v>7.2337962962962963E-3</v>
      </c>
      <c r="E151">
        <v>14</v>
      </c>
      <c r="F151" t="s">
        <v>77</v>
      </c>
      <c r="G151" t="s">
        <v>165</v>
      </c>
      <c r="H151">
        <f>VLOOKUP(G151, cohort!A$2:B$21, 2, FALSE)</f>
        <v>4</v>
      </c>
      <c r="I151" t="s">
        <v>48</v>
      </c>
      <c r="J151">
        <v>0.44444444444444398</v>
      </c>
      <c r="K151">
        <v>0</v>
      </c>
      <c r="L151">
        <v>0.16666666666666599</v>
      </c>
      <c r="M151">
        <v>0.266666666666666</v>
      </c>
      <c r="N151">
        <v>0.18181818181818099</v>
      </c>
      <c r="O151">
        <v>0</v>
      </c>
      <c r="P151">
        <v>0</v>
      </c>
      <c r="Q151">
        <v>0</v>
      </c>
      <c r="R151">
        <v>0</v>
      </c>
      <c r="S151">
        <v>0</v>
      </c>
      <c r="T151">
        <v>0</v>
      </c>
      <c r="U151">
        <v>0</v>
      </c>
      <c r="V151">
        <v>0</v>
      </c>
      <c r="W151">
        <v>1</v>
      </c>
      <c r="X151">
        <v>1</v>
      </c>
      <c r="Y151">
        <v>0</v>
      </c>
      <c r="Z151">
        <v>0</v>
      </c>
      <c r="AA151">
        <v>0</v>
      </c>
      <c r="AB151">
        <v>0</v>
      </c>
      <c r="AC151">
        <v>1</v>
      </c>
      <c r="AD151">
        <v>0</v>
      </c>
      <c r="AE151">
        <v>0</v>
      </c>
      <c r="AF151">
        <v>0</v>
      </c>
      <c r="AG151">
        <v>0</v>
      </c>
      <c r="AH151">
        <v>0</v>
      </c>
      <c r="AI151">
        <v>0</v>
      </c>
      <c r="AJ151">
        <v>0</v>
      </c>
      <c r="AK151">
        <v>0</v>
      </c>
      <c r="AL151">
        <v>0</v>
      </c>
      <c r="AM151">
        <v>0</v>
      </c>
      <c r="AN151" t="s">
        <v>49</v>
      </c>
      <c r="AO151">
        <v>1</v>
      </c>
      <c r="AP151">
        <v>2</v>
      </c>
      <c r="AQ151">
        <v>1</v>
      </c>
      <c r="AR151">
        <v>1</v>
      </c>
      <c r="AS151">
        <v>2</v>
      </c>
      <c r="AT151">
        <v>1</v>
      </c>
    </row>
    <row r="152" spans="1:46" x14ac:dyDescent="0.2">
      <c r="A152" t="s">
        <v>193</v>
      </c>
      <c r="B152" s="2">
        <f t="shared" si="2"/>
        <v>46054</v>
      </c>
      <c r="C152" t="s">
        <v>92</v>
      </c>
      <c r="D152" s="1">
        <v>1.7523148148148149E-2</v>
      </c>
      <c r="E152">
        <v>8</v>
      </c>
      <c r="F152" t="s">
        <v>95</v>
      </c>
      <c r="G152" t="s">
        <v>137</v>
      </c>
      <c r="H152">
        <f>VLOOKUP(G152, cohort!A$2:B$21, 2, FALSE)</f>
        <v>3</v>
      </c>
      <c r="I152" t="s">
        <v>48</v>
      </c>
      <c r="J152">
        <v>0.66666666666666596</v>
      </c>
      <c r="K152">
        <v>0.5</v>
      </c>
      <c r="L152">
        <v>0.5</v>
      </c>
      <c r="M152">
        <v>0.4</v>
      </c>
      <c r="N152">
        <v>0.27272727272727199</v>
      </c>
      <c r="O152">
        <v>0</v>
      </c>
      <c r="P152">
        <v>0</v>
      </c>
      <c r="Q152">
        <v>0</v>
      </c>
      <c r="R152">
        <v>0</v>
      </c>
      <c r="S152">
        <v>0</v>
      </c>
      <c r="T152">
        <v>0</v>
      </c>
      <c r="U152">
        <v>0</v>
      </c>
      <c r="V152">
        <v>1</v>
      </c>
      <c r="W152">
        <v>0</v>
      </c>
      <c r="X152">
        <v>0</v>
      </c>
      <c r="Y152">
        <v>0</v>
      </c>
      <c r="Z152">
        <v>0</v>
      </c>
      <c r="AA152">
        <v>1</v>
      </c>
      <c r="AB152">
        <v>0</v>
      </c>
      <c r="AC152">
        <v>0</v>
      </c>
      <c r="AD152">
        <v>0</v>
      </c>
      <c r="AE152">
        <v>0</v>
      </c>
      <c r="AF152">
        <v>0</v>
      </c>
      <c r="AG152">
        <v>0</v>
      </c>
      <c r="AH152">
        <v>0</v>
      </c>
      <c r="AI152">
        <v>0</v>
      </c>
      <c r="AJ152">
        <v>0</v>
      </c>
      <c r="AK152">
        <v>0</v>
      </c>
      <c r="AL152">
        <v>1</v>
      </c>
      <c r="AM152">
        <v>0</v>
      </c>
      <c r="AN152" t="s">
        <v>49</v>
      </c>
      <c r="AO152">
        <v>0</v>
      </c>
      <c r="AP152">
        <v>1</v>
      </c>
      <c r="AQ152">
        <v>2</v>
      </c>
      <c r="AR152">
        <v>0</v>
      </c>
      <c r="AS152">
        <v>0</v>
      </c>
      <c r="AT152">
        <v>1</v>
      </c>
    </row>
    <row r="153" spans="1:46" x14ac:dyDescent="0.2">
      <c r="A153" t="s">
        <v>194</v>
      </c>
      <c r="B153" s="2">
        <f t="shared" si="2"/>
        <v>46054</v>
      </c>
      <c r="C153" t="s">
        <v>45</v>
      </c>
      <c r="D153" s="1">
        <v>1.3819444444444445E-2</v>
      </c>
      <c r="E153">
        <v>17</v>
      </c>
      <c r="F153" t="s">
        <v>148</v>
      </c>
      <c r="G153" t="s">
        <v>107</v>
      </c>
      <c r="H153">
        <f>VLOOKUP(G153, cohort!A$2:B$21, 2, FALSE)</f>
        <v>2</v>
      </c>
      <c r="I153" t="s">
        <v>48</v>
      </c>
      <c r="J153">
        <v>0.77777777777777701</v>
      </c>
      <c r="K153">
        <v>1</v>
      </c>
      <c r="L153">
        <v>0.33333333333333298</v>
      </c>
      <c r="M153">
        <v>0.266666666666666</v>
      </c>
      <c r="N153">
        <v>0.18181818181818099</v>
      </c>
      <c r="O153">
        <v>0</v>
      </c>
      <c r="P153">
        <v>0</v>
      </c>
      <c r="Q153">
        <v>0</v>
      </c>
      <c r="R153">
        <v>0</v>
      </c>
      <c r="S153">
        <v>1</v>
      </c>
      <c r="T153">
        <v>0</v>
      </c>
      <c r="U153">
        <v>1</v>
      </c>
      <c r="V153">
        <v>0</v>
      </c>
      <c r="W153">
        <v>0</v>
      </c>
      <c r="X153">
        <v>0</v>
      </c>
      <c r="Y153">
        <v>0</v>
      </c>
      <c r="Z153">
        <v>1</v>
      </c>
      <c r="AA153">
        <v>0</v>
      </c>
      <c r="AB153">
        <v>0</v>
      </c>
      <c r="AC153">
        <v>0</v>
      </c>
      <c r="AD153">
        <v>0</v>
      </c>
      <c r="AE153">
        <v>0</v>
      </c>
      <c r="AF153">
        <v>0</v>
      </c>
      <c r="AG153">
        <v>0</v>
      </c>
      <c r="AH153">
        <v>0</v>
      </c>
      <c r="AI153">
        <v>0</v>
      </c>
      <c r="AJ153">
        <v>0</v>
      </c>
      <c r="AK153">
        <v>0</v>
      </c>
      <c r="AL153">
        <v>0</v>
      </c>
      <c r="AM153">
        <v>0</v>
      </c>
      <c r="AN153" t="s">
        <v>49</v>
      </c>
      <c r="AO153">
        <v>0</v>
      </c>
      <c r="AP153">
        <v>2</v>
      </c>
      <c r="AQ153">
        <v>0</v>
      </c>
      <c r="AR153">
        <v>0</v>
      </c>
      <c r="AS153">
        <v>1</v>
      </c>
      <c r="AT153">
        <v>0</v>
      </c>
    </row>
    <row r="154" spans="1:46" x14ac:dyDescent="0.2">
      <c r="A154" t="s">
        <v>194</v>
      </c>
      <c r="B154" s="2">
        <f t="shared" si="2"/>
        <v>46054</v>
      </c>
      <c r="C154" t="s">
        <v>45</v>
      </c>
      <c r="D154" s="1">
        <v>1.2175925925925925E-2</v>
      </c>
      <c r="E154">
        <v>17</v>
      </c>
      <c r="F154" t="s">
        <v>148</v>
      </c>
      <c r="G154" t="s">
        <v>110</v>
      </c>
      <c r="H154">
        <f>VLOOKUP(G154, cohort!A$2:B$21, 2, FALSE)</f>
        <v>2</v>
      </c>
      <c r="I154" t="s">
        <v>48</v>
      </c>
      <c r="J154">
        <v>0.88888888888888795</v>
      </c>
      <c r="K154">
        <v>1</v>
      </c>
      <c r="L154">
        <v>0.66666666666666596</v>
      </c>
      <c r="M154">
        <v>0.73333333333333295</v>
      </c>
      <c r="N154">
        <v>0.63636363636363602</v>
      </c>
      <c r="O154">
        <v>0</v>
      </c>
      <c r="P154">
        <v>0</v>
      </c>
      <c r="Q154">
        <v>0</v>
      </c>
      <c r="R154">
        <v>0</v>
      </c>
      <c r="S154">
        <v>1</v>
      </c>
      <c r="T154">
        <v>0</v>
      </c>
      <c r="U154">
        <v>1</v>
      </c>
      <c r="V154">
        <v>0</v>
      </c>
      <c r="W154">
        <v>0</v>
      </c>
      <c r="X154">
        <v>0</v>
      </c>
      <c r="Y154">
        <v>0</v>
      </c>
      <c r="Z154">
        <v>1</v>
      </c>
      <c r="AA154">
        <v>0</v>
      </c>
      <c r="AB154">
        <v>0</v>
      </c>
      <c r="AC154">
        <v>0</v>
      </c>
      <c r="AD154">
        <v>0</v>
      </c>
      <c r="AE154">
        <v>0</v>
      </c>
      <c r="AF154">
        <v>0</v>
      </c>
      <c r="AG154">
        <v>0</v>
      </c>
      <c r="AH154">
        <v>0</v>
      </c>
      <c r="AI154">
        <v>0</v>
      </c>
      <c r="AJ154">
        <v>0</v>
      </c>
      <c r="AK154">
        <v>0</v>
      </c>
      <c r="AL154">
        <v>0</v>
      </c>
      <c r="AM154">
        <v>0</v>
      </c>
      <c r="AN154" t="s">
        <v>49</v>
      </c>
      <c r="AO154">
        <v>0</v>
      </c>
      <c r="AP154">
        <v>2</v>
      </c>
      <c r="AQ154">
        <v>0</v>
      </c>
      <c r="AR154">
        <v>0</v>
      </c>
      <c r="AS154">
        <v>1</v>
      </c>
      <c r="AT154">
        <v>0</v>
      </c>
    </row>
    <row r="155" spans="1:46" x14ac:dyDescent="0.2">
      <c r="A155" t="s">
        <v>195</v>
      </c>
      <c r="B155" s="2">
        <f t="shared" si="2"/>
        <v>46082</v>
      </c>
      <c r="C155" t="s">
        <v>58</v>
      </c>
      <c r="D155" s="1">
        <v>1.0706018518518519E-2</v>
      </c>
      <c r="E155">
        <v>3</v>
      </c>
      <c r="F155" t="s">
        <v>46</v>
      </c>
      <c r="G155" t="s">
        <v>196</v>
      </c>
      <c r="H155">
        <f>VLOOKUP(G155, cohort!A$2:B$21, 2, FALSE)</f>
        <v>4</v>
      </c>
      <c r="I155" t="s">
        <v>48</v>
      </c>
      <c r="J155">
        <v>0</v>
      </c>
      <c r="K155">
        <v>0.5</v>
      </c>
      <c r="L155">
        <v>0.16666666666666599</v>
      </c>
      <c r="M155">
        <v>0.33333333333333298</v>
      </c>
      <c r="N155">
        <v>9.0909090909090898E-2</v>
      </c>
      <c r="O155">
        <v>0</v>
      </c>
      <c r="P155">
        <v>0</v>
      </c>
      <c r="Q155">
        <v>1</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1</v>
      </c>
      <c r="AL155">
        <v>0</v>
      </c>
      <c r="AM155">
        <v>0</v>
      </c>
      <c r="AN155" t="s">
        <v>49</v>
      </c>
      <c r="AO155">
        <v>0</v>
      </c>
      <c r="AP155">
        <v>1</v>
      </c>
      <c r="AQ155">
        <v>2</v>
      </c>
      <c r="AR155">
        <v>0</v>
      </c>
      <c r="AS155">
        <v>0</v>
      </c>
      <c r="AT155">
        <v>0</v>
      </c>
    </row>
    <row r="156" spans="1:46" x14ac:dyDescent="0.2">
      <c r="A156" t="s">
        <v>197</v>
      </c>
      <c r="B156" s="2">
        <f t="shared" si="2"/>
        <v>46082</v>
      </c>
      <c r="C156" t="s">
        <v>92</v>
      </c>
      <c r="D156" s="1">
        <v>1.2395833333333333E-2</v>
      </c>
      <c r="E156">
        <v>32</v>
      </c>
      <c r="F156" t="s">
        <v>123</v>
      </c>
      <c r="G156" t="s">
        <v>143</v>
      </c>
      <c r="H156">
        <f>VLOOKUP(G156, cohort!A$2:B$21, 2, FALSE)</f>
        <v>2</v>
      </c>
      <c r="I156" t="s">
        <v>48</v>
      </c>
      <c r="J156">
        <v>0.55555555555555503</v>
      </c>
      <c r="K156">
        <v>0.5</v>
      </c>
      <c r="L156">
        <v>0.5</v>
      </c>
      <c r="M156">
        <v>0.53333333333333299</v>
      </c>
      <c r="N156">
        <v>0</v>
      </c>
      <c r="O156">
        <v>0</v>
      </c>
      <c r="P156">
        <v>0</v>
      </c>
      <c r="Q156">
        <v>0</v>
      </c>
      <c r="R156">
        <v>0</v>
      </c>
      <c r="S156">
        <v>0</v>
      </c>
      <c r="T156">
        <v>0</v>
      </c>
      <c r="U156">
        <v>1</v>
      </c>
      <c r="V156">
        <v>1</v>
      </c>
      <c r="W156">
        <v>0</v>
      </c>
      <c r="X156">
        <v>0</v>
      </c>
      <c r="Y156">
        <v>0</v>
      </c>
      <c r="Z156">
        <v>0</v>
      </c>
      <c r="AA156">
        <v>0</v>
      </c>
      <c r="AB156">
        <v>0</v>
      </c>
      <c r="AC156">
        <v>0</v>
      </c>
      <c r="AD156">
        <v>0</v>
      </c>
      <c r="AE156">
        <v>0</v>
      </c>
      <c r="AF156">
        <v>0</v>
      </c>
      <c r="AG156">
        <v>0</v>
      </c>
      <c r="AH156">
        <v>0</v>
      </c>
      <c r="AI156">
        <v>0</v>
      </c>
      <c r="AJ156">
        <v>0</v>
      </c>
      <c r="AK156">
        <v>0</v>
      </c>
      <c r="AL156">
        <v>0</v>
      </c>
      <c r="AM156">
        <v>0</v>
      </c>
      <c r="AN156" t="s">
        <v>49</v>
      </c>
      <c r="AO156">
        <v>0</v>
      </c>
      <c r="AP156">
        <v>2</v>
      </c>
      <c r="AQ156">
        <v>0</v>
      </c>
      <c r="AR156">
        <v>0</v>
      </c>
      <c r="AS156">
        <v>0</v>
      </c>
      <c r="AT156">
        <v>0</v>
      </c>
    </row>
    <row r="157" spans="1:46" x14ac:dyDescent="0.2">
      <c r="A157" t="s">
        <v>198</v>
      </c>
      <c r="B157" s="2">
        <f t="shared" si="2"/>
        <v>46082</v>
      </c>
      <c r="C157" t="s">
        <v>52</v>
      </c>
      <c r="D157" s="1">
        <v>1.3912037037037037E-2</v>
      </c>
      <c r="E157">
        <v>4</v>
      </c>
      <c r="F157" t="s">
        <v>87</v>
      </c>
      <c r="G157" t="s">
        <v>154</v>
      </c>
      <c r="H157">
        <f>VLOOKUP(G157, cohort!A$2:B$21, 2, FALSE)</f>
        <v>3</v>
      </c>
      <c r="I157" t="s">
        <v>50</v>
      </c>
      <c r="J157">
        <v>0.88888888888888795</v>
      </c>
      <c r="K157">
        <v>1</v>
      </c>
      <c r="L157">
        <v>0.66666666666666596</v>
      </c>
      <c r="M157">
        <v>0.86666666666666603</v>
      </c>
      <c r="N157">
        <v>0.72727272727272696</v>
      </c>
      <c r="O157">
        <v>1</v>
      </c>
      <c r="P157">
        <v>0</v>
      </c>
      <c r="Q157">
        <v>0</v>
      </c>
      <c r="R157">
        <v>0</v>
      </c>
      <c r="S157">
        <v>0</v>
      </c>
      <c r="T157">
        <v>0</v>
      </c>
      <c r="U157">
        <v>0</v>
      </c>
      <c r="V157">
        <v>0</v>
      </c>
      <c r="W157">
        <v>0</v>
      </c>
      <c r="X157">
        <v>0</v>
      </c>
      <c r="Y157">
        <v>0</v>
      </c>
      <c r="Z157">
        <v>0</v>
      </c>
      <c r="AA157">
        <v>0</v>
      </c>
      <c r="AB157">
        <v>0</v>
      </c>
      <c r="AC157">
        <v>1</v>
      </c>
      <c r="AD157">
        <v>0</v>
      </c>
      <c r="AE157">
        <v>1</v>
      </c>
      <c r="AF157">
        <v>0</v>
      </c>
      <c r="AG157">
        <v>1</v>
      </c>
      <c r="AH157">
        <v>0</v>
      </c>
      <c r="AI157">
        <v>0</v>
      </c>
      <c r="AJ157">
        <v>0</v>
      </c>
      <c r="AK157">
        <v>0</v>
      </c>
      <c r="AL157">
        <v>0</v>
      </c>
      <c r="AM157">
        <v>0</v>
      </c>
      <c r="AN157" t="s">
        <v>49</v>
      </c>
      <c r="AO157">
        <v>1</v>
      </c>
      <c r="AP157">
        <v>4</v>
      </c>
      <c r="AQ157">
        <v>1</v>
      </c>
      <c r="AR157">
        <v>1</v>
      </c>
      <c r="AS157">
        <v>1</v>
      </c>
      <c r="AT157">
        <v>1</v>
      </c>
    </row>
    <row r="158" spans="1:46" x14ac:dyDescent="0.2">
      <c r="A158" t="s">
        <v>199</v>
      </c>
      <c r="B158" s="2">
        <f t="shared" si="2"/>
        <v>46082</v>
      </c>
      <c r="C158" t="s">
        <v>92</v>
      </c>
      <c r="D158" s="1">
        <v>1.3888888888888888E-2</v>
      </c>
      <c r="E158">
        <v>9</v>
      </c>
      <c r="F158" t="s">
        <v>173</v>
      </c>
      <c r="G158" t="s">
        <v>59</v>
      </c>
      <c r="H158">
        <f>VLOOKUP(G158, cohort!A$2:B$21, 2, FALSE)</f>
        <v>1</v>
      </c>
      <c r="I158" t="s">
        <v>48</v>
      </c>
      <c r="J158">
        <v>0.88888888888888795</v>
      </c>
      <c r="K158">
        <v>1</v>
      </c>
      <c r="L158">
        <v>0.66666666666666596</v>
      </c>
      <c r="M158">
        <v>0.66666666666666596</v>
      </c>
      <c r="N158">
        <v>0.54545454545454497</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t="s">
        <v>49</v>
      </c>
      <c r="AO158">
        <v>0</v>
      </c>
      <c r="AP158">
        <v>0</v>
      </c>
      <c r="AQ158">
        <v>0</v>
      </c>
      <c r="AR158">
        <v>0</v>
      </c>
      <c r="AS158">
        <v>0</v>
      </c>
      <c r="AT158">
        <v>0</v>
      </c>
    </row>
    <row r="159" spans="1:46" x14ac:dyDescent="0.2">
      <c r="A159" t="s">
        <v>200</v>
      </c>
      <c r="B159" s="2">
        <f t="shared" si="2"/>
        <v>46082</v>
      </c>
      <c r="C159" t="s">
        <v>58</v>
      </c>
      <c r="D159" s="1">
        <v>1.4988425925925926E-2</v>
      </c>
      <c r="E159">
        <v>19</v>
      </c>
      <c r="F159" t="s">
        <v>201</v>
      </c>
      <c r="G159" t="s">
        <v>47</v>
      </c>
      <c r="H159">
        <f>VLOOKUP(G159, cohort!A$2:B$21, 2, FALSE)</f>
        <v>1</v>
      </c>
      <c r="I159" t="s">
        <v>48</v>
      </c>
      <c r="J159">
        <v>0.55555555555555503</v>
      </c>
      <c r="K159">
        <v>0.5</v>
      </c>
      <c r="L159">
        <v>0.66666666666666596</v>
      </c>
      <c r="M159">
        <v>0.6</v>
      </c>
      <c r="N159">
        <v>0.45454545454545398</v>
      </c>
      <c r="O159">
        <v>0</v>
      </c>
      <c r="P159">
        <v>0</v>
      </c>
      <c r="Q159">
        <v>0</v>
      </c>
      <c r="R159">
        <v>0</v>
      </c>
      <c r="S159">
        <v>0</v>
      </c>
      <c r="T159">
        <v>0</v>
      </c>
      <c r="U159">
        <v>1</v>
      </c>
      <c r="V159">
        <v>1</v>
      </c>
      <c r="W159">
        <v>0</v>
      </c>
      <c r="X159">
        <v>0</v>
      </c>
      <c r="Y159">
        <v>0</v>
      </c>
      <c r="Z159">
        <v>0</v>
      </c>
      <c r="AA159">
        <v>0</v>
      </c>
      <c r="AB159">
        <v>0</v>
      </c>
      <c r="AC159">
        <v>1</v>
      </c>
      <c r="AD159">
        <v>0</v>
      </c>
      <c r="AE159">
        <v>0</v>
      </c>
      <c r="AF159">
        <v>0</v>
      </c>
      <c r="AG159">
        <v>0</v>
      </c>
      <c r="AH159">
        <v>0</v>
      </c>
      <c r="AI159">
        <v>0</v>
      </c>
      <c r="AJ159">
        <v>0</v>
      </c>
      <c r="AK159">
        <v>0</v>
      </c>
      <c r="AL159">
        <v>0</v>
      </c>
      <c r="AM159">
        <v>0</v>
      </c>
      <c r="AN159" t="s">
        <v>49</v>
      </c>
      <c r="AO159">
        <v>1</v>
      </c>
      <c r="AP159">
        <v>3</v>
      </c>
      <c r="AQ159">
        <v>1</v>
      </c>
      <c r="AR159">
        <v>1</v>
      </c>
      <c r="AS159">
        <v>1</v>
      </c>
      <c r="AT159">
        <v>1</v>
      </c>
    </row>
    <row r="160" spans="1:46" x14ac:dyDescent="0.2">
      <c r="A160" t="s">
        <v>200</v>
      </c>
      <c r="B160" s="2">
        <f t="shared" si="2"/>
        <v>46082</v>
      </c>
      <c r="C160" t="s">
        <v>58</v>
      </c>
      <c r="D160" s="1">
        <v>1.0925925925925926E-2</v>
      </c>
      <c r="E160">
        <v>16</v>
      </c>
      <c r="F160" t="s">
        <v>73</v>
      </c>
      <c r="G160" t="s">
        <v>165</v>
      </c>
      <c r="H160">
        <f>VLOOKUP(G160, cohort!A$2:B$21, 2, FALSE)</f>
        <v>4</v>
      </c>
      <c r="I160" t="s">
        <v>48</v>
      </c>
      <c r="J160">
        <v>0.66666666666666596</v>
      </c>
      <c r="K160">
        <v>0</v>
      </c>
      <c r="L160">
        <v>0.33333333333333298</v>
      </c>
      <c r="M160">
        <v>0.4</v>
      </c>
      <c r="N160">
        <v>9.0909090909090898E-2</v>
      </c>
      <c r="O160">
        <v>0</v>
      </c>
      <c r="P160">
        <v>0</v>
      </c>
      <c r="Q160">
        <v>0</v>
      </c>
      <c r="R160">
        <v>1</v>
      </c>
      <c r="S160">
        <v>0</v>
      </c>
      <c r="T160">
        <v>0</v>
      </c>
      <c r="U160">
        <v>0</v>
      </c>
      <c r="V160">
        <v>0</v>
      </c>
      <c r="W160">
        <v>0</v>
      </c>
      <c r="X160">
        <v>0</v>
      </c>
      <c r="Y160">
        <v>0</v>
      </c>
      <c r="Z160">
        <v>0</v>
      </c>
      <c r="AA160">
        <v>0</v>
      </c>
      <c r="AB160">
        <v>1</v>
      </c>
      <c r="AC160">
        <v>0</v>
      </c>
      <c r="AD160">
        <v>0</v>
      </c>
      <c r="AE160">
        <v>0</v>
      </c>
      <c r="AF160">
        <v>0</v>
      </c>
      <c r="AG160">
        <v>0</v>
      </c>
      <c r="AH160">
        <v>0</v>
      </c>
      <c r="AI160">
        <v>0</v>
      </c>
      <c r="AJ160">
        <v>0</v>
      </c>
      <c r="AK160">
        <v>0</v>
      </c>
      <c r="AL160">
        <v>0</v>
      </c>
      <c r="AM160">
        <v>0</v>
      </c>
      <c r="AN160" t="s">
        <v>49</v>
      </c>
      <c r="AO160">
        <v>0</v>
      </c>
      <c r="AP160">
        <v>1</v>
      </c>
      <c r="AQ160">
        <v>0</v>
      </c>
      <c r="AR160">
        <v>0</v>
      </c>
      <c r="AS160">
        <v>1</v>
      </c>
      <c r="AT16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GUOT</vt:lpstr>
      <vt:lpstr>airtable</vt:lpstr>
      <vt:lpstr>cohort</vt:lpstr>
      <vt:lpstr>pivot</vt:lpstr>
      <vt:lpstr>Graphs</vt:lpstr>
      <vt:lpstr>optionsdata_for_dashboard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2026-03-21T13:28:33Z</dcterms:created>
  <dcterms:modified xsi:type="dcterms:W3CDTF">2026-03-21T13:38:52Z</dcterms:modified>
</cp:coreProperties>
</file>