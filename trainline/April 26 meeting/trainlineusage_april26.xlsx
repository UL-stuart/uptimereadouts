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trainline/April 26 meeting/"/>
    </mc:Choice>
  </mc:AlternateContent>
  <xr:revisionPtr revIDLastSave="0" documentId="13_ncr:9_{E0941FFF-7E45-5D45-A29B-4A1BF082C9BA}" xr6:coauthVersionLast="47" xr6:coauthVersionMax="47" xr10:uidLastSave="{00000000-0000-0000-0000-000000000000}"/>
  <bookViews>
    <workbookView xWindow="3080" yWindow="2200" windowWidth="28040" windowHeight="17180" activeTab="1" xr2:uid="{DF7D4BDA-1AEA-864D-884C-1A03FA676242}"/>
  </bookViews>
  <sheets>
    <sheet name="GUOT pivot" sheetId="4" r:id="rId1"/>
    <sheet name="charts" sheetId="5" r:id="rId2"/>
    <sheet name="GUOT" sheetId="3" r:id="rId3"/>
    <sheet name="usage pivot" sheetId="2" r:id="rId4"/>
    <sheet name="trainline_april26_csv_fordraggi" sheetId="1" r:id="rId5"/>
  </sheets>
  <calcPr calcId="191029"/>
  <pivotCaches>
    <pivotCache cacheId="6" r:id="rId6"/>
    <pivotCache cacheId="1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2"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2" i="1"/>
</calcChain>
</file>

<file path=xl/sharedStrings.xml><?xml version="1.0" encoding="utf-8"?>
<sst xmlns="http://schemas.openxmlformats.org/spreadsheetml/2006/main" count="2252" uniqueCount="466">
  <si>
    <t>session_start</t>
  </si>
  <si>
    <t>day_of_week</t>
  </si>
  <si>
    <t>duration</t>
  </si>
  <si>
    <t>level</t>
  </si>
  <si>
    <t>name</t>
  </si>
  <si>
    <t>player</t>
  </si>
  <si>
    <t>completion_status</t>
  </si>
  <si>
    <t>identify_scope</t>
  </si>
  <si>
    <t>incident_mechanics</t>
  </si>
  <si>
    <t>external_comms</t>
  </si>
  <si>
    <t>internal_comms</t>
  </si>
  <si>
    <t>commanding_the_incident</t>
  </si>
  <si>
    <t>Complexity: Ambiguous cues (multiple alternatives)</t>
  </si>
  <si>
    <t>Complexity: Attention Demands</t>
  </si>
  <si>
    <t>Complexity: Conflicting Advice</t>
  </si>
  <si>
    <t>Complexity: Decreased access to team members</t>
  </si>
  <si>
    <t>Complexity: Distributed information across individuals/organiza</t>
  </si>
  <si>
    <t>Complexity: Doublebind situations (dilemmas)</t>
  </si>
  <si>
    <t>Complexity: False prime explanations (garden path)</t>
  </si>
  <si>
    <t>Complexity: Hidden coupling (effects at a distance; cascading e</t>
  </si>
  <si>
    <t>Complexity: Implied relationship (red herring)</t>
  </si>
  <si>
    <t>Complexity: Interdependencies amongst roles (someone needs some</t>
  </si>
  <si>
    <t>Complexity: Lack of predefined plan</t>
  </si>
  <si>
    <t>Complexity: Misleading indicators (low predictive value)</t>
  </si>
  <si>
    <t>Complexity: Mismatch between prede fined plans or procedures an</t>
  </si>
  <si>
    <t>Complexity: Missing Information</t>
  </si>
  <si>
    <t>Complexity: Multi Party Dilema</t>
  </si>
  <si>
    <t>Complexity: Multiple simultaneous influences (more than one exp</t>
  </si>
  <si>
    <t>Complexity: Multiple simultaneous influences (multiple explanat</t>
  </si>
  <si>
    <t>Complexity: Saturation</t>
  </si>
  <si>
    <t>Complexity: Simultaneous seperate issues</t>
  </si>
  <si>
    <t>Complexity: Stakeholder Interference</t>
  </si>
  <si>
    <t>Complexity: Stereotype violations (not the usual suspect)</t>
  </si>
  <si>
    <t>Complexity: Stress or fatigue</t>
  </si>
  <si>
    <t>Complexity: Uncertain information (unreliable data)</t>
  </si>
  <si>
    <t>Complexity: Unintended effects (managing side effects)</t>
  </si>
  <si>
    <t>Complexity: Absence of strong signals (no alarms, no threshold</t>
  </si>
  <si>
    <t>max</t>
  </si>
  <si>
    <t>Category: Detecting</t>
  </si>
  <si>
    <t>Category: Sensemaking</t>
  </si>
  <si>
    <t>Category: Planning</t>
  </si>
  <si>
    <t>Category: Deciding</t>
  </si>
  <si>
    <t>Category: Coordination</t>
  </si>
  <si>
    <t>Category: Executing</t>
  </si>
  <si>
    <t>2025-01-09 00:00:00.000 +0000</t>
  </si>
  <si>
    <t xml:space="preserve">Thursday </t>
  </si>
  <si>
    <t>Roblox</t>
  </si>
  <si>
    <t>sangeetha.niranjan</t>
  </si>
  <si>
    <t>OUT_OF_TIME</t>
  </si>
  <si>
    <t>0.66666666666666666667</t>
  </si>
  <si>
    <t>1.00000000000000000000</t>
  </si>
  <si>
    <t>0.60000000000000000000</t>
  </si>
  <si>
    <t>0.36363636363636363636</t>
  </si>
  <si>
    <t>-</t>
  </si>
  <si>
    <t>2025-01-10 00:00:00.000 +0000</t>
  </si>
  <si>
    <t xml:space="preserve">Friday   </t>
  </si>
  <si>
    <t>The Big Investor</t>
  </si>
  <si>
    <t>calum.mcdowell</t>
  </si>
  <si>
    <t>0.22222222222222222222</t>
  </si>
  <si>
    <t>0.50000000000000000000</t>
  </si>
  <si>
    <t>0.53333333333333333333</t>
  </si>
  <si>
    <t>0.27272727272727272727</t>
  </si>
  <si>
    <t>The Switch</t>
  </si>
  <si>
    <t>shivanand.hebballi</t>
  </si>
  <si>
    <t>COMPLETED</t>
  </si>
  <si>
    <t>0.44444444444444444444</t>
  </si>
  <si>
    <t>0.46666666666666666667</t>
  </si>
  <si>
    <t>2025-01-13 00:00:00.000 +0000</t>
  </si>
  <si>
    <t xml:space="preserve">Monday   </t>
  </si>
  <si>
    <t>The Chain</t>
  </si>
  <si>
    <t>reza.imany</t>
  </si>
  <si>
    <t>0.83333333333333333333</t>
  </si>
  <si>
    <t>2025-01-17 00:00:00.000 +0000</t>
  </si>
  <si>
    <t>Radio Silence</t>
  </si>
  <si>
    <t>jamie.buchanan</t>
  </si>
  <si>
    <t>0.55555555555555555556</t>
  </si>
  <si>
    <t>0.33333333333333333333</t>
  </si>
  <si>
    <t>0.40000000000000000000</t>
  </si>
  <si>
    <t>0.45454545454545454545</t>
  </si>
  <si>
    <t>2025-01-22 00:00:00.000 +0000</t>
  </si>
  <si>
    <t>Wednesday</t>
  </si>
  <si>
    <t>sankalp.bartariya</t>
  </si>
  <si>
    <t>2025-01-24 00:00:00.000 +0000</t>
  </si>
  <si>
    <t>2025-01-27 00:00:00.000 +0000</t>
  </si>
  <si>
    <t>2025-01-31 00:00:00.000 +0000</t>
  </si>
  <si>
    <t>venkat.raopotala</t>
  </si>
  <si>
    <t>2025-02-06 00:00:00.000 +0000</t>
  </si>
  <si>
    <t>2025-02-11 00:00:00.000 +0000</t>
  </si>
  <si>
    <t xml:space="preserve">Tuesday  </t>
  </si>
  <si>
    <t>Version confusion</t>
  </si>
  <si>
    <t>0.26666666666666666667</t>
  </si>
  <si>
    <t>2025-02-13 00:00:00.000 +0000</t>
  </si>
  <si>
    <t>Discount Disaster</t>
  </si>
  <si>
    <t>2025-02-14 00:00:00.000 +0000</t>
  </si>
  <si>
    <t>0.13333333333333333333</t>
  </si>
  <si>
    <t>0.09090909090909090909</t>
  </si>
  <si>
    <t>2025-02-20 00:00:00.000 +0000</t>
  </si>
  <si>
    <t>0.77777777777777777778</t>
  </si>
  <si>
    <t>2025-02-24 00:00:00.000 +0000</t>
  </si>
  <si>
    <t>0.20000000000000000000</t>
  </si>
  <si>
    <t>2025-02-25 00:00:00.000 +0000</t>
  </si>
  <si>
    <t>2025-03-05 00:00:00.000 +0000</t>
  </si>
  <si>
    <t>0.54545454545454545455</t>
  </si>
  <si>
    <t>2025-03-07 00:00:00.000 +0000</t>
  </si>
  <si>
    <t>2025-03-12 00:00:00.000 +0000</t>
  </si>
  <si>
    <t>roberta.roccia</t>
  </si>
  <si>
    <t>2025-03-31 01:00:00.000 +0100</t>
  </si>
  <si>
    <t>2025-04-04 01:00:00.000 +0100</t>
  </si>
  <si>
    <t>0.18181818181818181818</t>
  </si>
  <si>
    <t>2025-04-08 01:00:00.000 +0100</t>
  </si>
  <si>
    <t>Cart-astrophe</t>
  </si>
  <si>
    <t>2025-04-11 01:00:00.000 +0100</t>
  </si>
  <si>
    <t>2025-04-14 01:00:00.000 +0100</t>
  </si>
  <si>
    <t>2025-04-16 01:00:00.000 +0100</t>
  </si>
  <si>
    <t>Missing Delivery</t>
  </si>
  <si>
    <t>2025-04-25 01:00:00.000 +0100</t>
  </si>
  <si>
    <t>0.88888888888888888889</t>
  </si>
  <si>
    <t>2025-04-28 01:00:00.000 +0100</t>
  </si>
  <si>
    <t>Details Matter</t>
  </si>
  <si>
    <t>2025-04-30 01:00:00.000 +0100</t>
  </si>
  <si>
    <t>0.73333333333333333333</t>
  </si>
  <si>
    <t>2025-05-02 01:00:00.000 +0100</t>
  </si>
  <si>
    <t>0.06666666666666666667</t>
  </si>
  <si>
    <t>2025-05-06 01:00:00.000 +0100</t>
  </si>
  <si>
    <t>Bezs Beatles Day!</t>
  </si>
  <si>
    <t>2025-05-07 01:00:00.000 +0100</t>
  </si>
  <si>
    <t>0.63636363636363636364</t>
  </si>
  <si>
    <t>2025-05-09 01:00:00.000 +0100</t>
  </si>
  <si>
    <t>2025-05-16 01:00:00.000 +0100</t>
  </si>
  <si>
    <t>2025-05-19 01:00:00.000 +0100</t>
  </si>
  <si>
    <t>2025-05-20 01:00:00.000 +0100</t>
  </si>
  <si>
    <t>2025-05-28 01:00:00.000 +0100</t>
  </si>
  <si>
    <t>2025-05-30 01:00:00.000 +0100</t>
  </si>
  <si>
    <t>Memory Lane</t>
  </si>
  <si>
    <t>2025-06-02 01:00:00.000 +0100</t>
  </si>
  <si>
    <t>2025-06-06 01:00:00.000 +0100</t>
  </si>
  <si>
    <t>2025-06-11 01:00:00.000 +0100</t>
  </si>
  <si>
    <t>2025-06-13 01:00:00.000 +0100</t>
  </si>
  <si>
    <t>2025-06-17 01:00:00.000 +0100</t>
  </si>
  <si>
    <t>0.80000000000000000000</t>
  </si>
  <si>
    <t>0.72727272727272727273</t>
  </si>
  <si>
    <t>2025-06-18 01:00:00.000 +0100</t>
  </si>
  <si>
    <t>2025-06-23 01:00:00.000 +0100</t>
  </si>
  <si>
    <t>2025-06-25 01:00:00.000 +0100</t>
  </si>
  <si>
    <t>2025-07-01 01:00:00.000 +0100</t>
  </si>
  <si>
    <t>2025-07-02 01:00:00.000 +0100</t>
  </si>
  <si>
    <t>hamsa.iman</t>
  </si>
  <si>
    <t>2025-07-04 01:00:00.000 +0100</t>
  </si>
  <si>
    <t>2025-07-11 01:00:00.000 +0100</t>
  </si>
  <si>
    <t>2025-07-21 01:00:00.000 +0100</t>
  </si>
  <si>
    <t>2025-07-25 01:00:00.000 +0100</t>
  </si>
  <si>
    <t>2025-07-28 01:00:00.000 +0100</t>
  </si>
  <si>
    <t>2025-07-30 01:00:00.000 +0100</t>
  </si>
  <si>
    <t>2025-08-01 01:00:00.000 +0100</t>
  </si>
  <si>
    <t>2025-08-04 01:00:00.000 +0100</t>
  </si>
  <si>
    <t>Breaking Bez</t>
  </si>
  <si>
    <t>2025-08-06 01:00:00.000 +0100</t>
  </si>
  <si>
    <t>2025-08-12 01:00:00.000 +0100</t>
  </si>
  <si>
    <t>2025-08-13 01:00:00.000 +0100</t>
  </si>
  <si>
    <t>2025-08-14 01:00:00.000 +0100</t>
  </si>
  <si>
    <t>2025-08-20 01:00:00.000 +0100</t>
  </si>
  <si>
    <t>Rumours</t>
  </si>
  <si>
    <t>2025-08-22 01:00:00.000 +0100</t>
  </si>
  <si>
    <t>2025-09-01 01:00:00.000 +0100</t>
  </si>
  <si>
    <t>2025-09-09 01:00:00.000 +0100</t>
  </si>
  <si>
    <t>2025-09-10 01:00:00.000 +0100</t>
  </si>
  <si>
    <t>2025-09-12 01:00:00.000 +0100</t>
  </si>
  <si>
    <t>DEFCON 1</t>
  </si>
  <si>
    <t>2025-09-15 01:00:00.000 +0100</t>
  </si>
  <si>
    <t>The Disappearing Act</t>
  </si>
  <si>
    <t>2025-09-17 01:00:00.000 +0100</t>
  </si>
  <si>
    <t>0.86666666666666666667</t>
  </si>
  <si>
    <t>2025-09-22 01:00:00.000 +0100</t>
  </si>
  <si>
    <t>2025-09-26 01:00:00.000 +0100</t>
  </si>
  <si>
    <t>2025-09-29 01:00:00.000 +0100</t>
  </si>
  <si>
    <t>2025-09-30 01:00:00.000 +0100</t>
  </si>
  <si>
    <t>2025-10-09 01:00:00.000 +0100</t>
  </si>
  <si>
    <t>2025-10-10 01:00:00.000 +0100</t>
  </si>
  <si>
    <t>2025-10-15 01:00:00.000 +0100</t>
  </si>
  <si>
    <t>soumya.jk</t>
  </si>
  <si>
    <t>2025-10-17 01:00:00.000 +0100</t>
  </si>
  <si>
    <t>2025-10-21 01:00:00.000 +0100</t>
  </si>
  <si>
    <t>2025-10-27 00:00:00.000 +0000</t>
  </si>
  <si>
    <t>Bezs Beatles Day! V2</t>
  </si>
  <si>
    <t>2025-10-29 00:00:00.000 +0000</t>
  </si>
  <si>
    <t>2025-11-04 00:00:00.000 +0000</t>
  </si>
  <si>
    <t>2025-11-14 00:00:00.000 +0000</t>
  </si>
  <si>
    <t>2025-11-21 00:00:00.000 +0000</t>
  </si>
  <si>
    <t>The Unknown Unknown</t>
  </si>
  <si>
    <t>2025-11-24 00:00:00.000 +0000</t>
  </si>
  <si>
    <t>2025-11-25 00:00:00.000 +0000</t>
  </si>
  <si>
    <t>2025-11-26 00:00:00.000 +0000</t>
  </si>
  <si>
    <t>2025-12-12 00:00:00.000 +0000</t>
  </si>
  <si>
    <t>2025-12-17 00:00:00.000 +0000</t>
  </si>
  <si>
    <t>2026-01-09 00:00:00.000 +0000</t>
  </si>
  <si>
    <t>2026-01-13 00:00:00.000 +0000</t>
  </si>
  <si>
    <t>2026-01-14 00:00:00.000 +0000</t>
  </si>
  <si>
    <t>2026-01-16 00:00:00.000 +0000</t>
  </si>
  <si>
    <t>Too Good To Be True</t>
  </si>
  <si>
    <t>fraser.gillies</t>
  </si>
  <si>
    <t>2026-01-21 00:00:00.000 +0000</t>
  </si>
  <si>
    <t>0.93333333333333333333</t>
  </si>
  <si>
    <t>2026-01-22 00:00:00.000 +0000</t>
  </si>
  <si>
    <t>2026-01-23 00:00:00.000 +0000</t>
  </si>
  <si>
    <t>2026-01-28 00:00:00.000 +0000</t>
  </si>
  <si>
    <t>2026-01-29 00:00:00.000 +0000</t>
  </si>
  <si>
    <t>The Big Investor V2</t>
  </si>
  <si>
    <t>2026-01-30 00:00:00.000 +0000</t>
  </si>
  <si>
    <t>ashfaq.hussain</t>
  </si>
  <si>
    <t>0.11111111111111111111</t>
  </si>
  <si>
    <t>2026-02-05 00:00:00.000 +0000</t>
  </si>
  <si>
    <t>2026-02-06 00:00:00.000 +0000</t>
  </si>
  <si>
    <t>2026-03-05 00:00:00.000 +0000</t>
  </si>
  <si>
    <t>2026-03-06 00:00:00.000 +0000</t>
  </si>
  <si>
    <t>2026-03-13 00:00:00.000 +0000</t>
  </si>
  <si>
    <t>2026-03-16 00:00:00.000 +0000</t>
  </si>
  <si>
    <t>2026-03-18 00:00:00.000 +0000</t>
  </si>
  <si>
    <t>Discount Disaster Workshop</t>
  </si>
  <si>
    <t>2026-03-19 00:00:00.000 +0000</t>
  </si>
  <si>
    <t>2026-03-27 00:00:00.000 +0000</t>
  </si>
  <si>
    <t>2026-04-09 01:00:00.000 +0100</t>
  </si>
  <si>
    <t>month</t>
  </si>
  <si>
    <t>Row Labels</t>
  </si>
  <si>
    <t>Grand Total</t>
  </si>
  <si>
    <t>Count of session_start</t>
  </si>
  <si>
    <t>(Multiple Items)</t>
  </si>
  <si>
    <t>Attended</t>
  </si>
  <si>
    <t xml:space="preserve">Very realistic. Being in security and playing a sec drill - good practice over my commanding skills. 
What it'd take to get 10 ? 
Communication involved with DPO(data privacy officer) , compliance could have helped more as we do it in security issues </t>
  </si>
  <si>
    <t>Rishi</t>
  </si>
  <si>
    <t>Trainline</t>
  </si>
  <si>
    <t>Fraser</t>
  </si>
  <si>
    <t xml:space="preserve">Self DDos - The is a classic scenario or self DDos .
Liked Bez stress which was close to reality </t>
  </si>
  <si>
    <t>Karan</t>
  </si>
  <si>
    <t>checked</t>
  </si>
  <si>
    <t>Once Upon A Time</t>
  </si>
  <si>
    <t>Roberta</t>
  </si>
  <si>
    <t>The bots didn't listen too well in this drill, they did an action he didn't sign off on, and this was frustrating for him</t>
  </si>
  <si>
    <t>Matthew</t>
  </si>
  <si>
    <t>Hamsa</t>
  </si>
  <si>
    <t>Matthew L</t>
  </si>
  <si>
    <t>Missing Delivery V2</t>
  </si>
  <si>
    <t>Ashfaq</t>
  </si>
  <si>
    <t>Enjoyed it. Thankful to UL in turning his idea into a drill</t>
  </si>
  <si>
    <t>Would be good to get this quote signed off (maybe we can phrase it casually, use the 'can we add it to our reference library' style language) 
this is msg from Miranda, if we can ask him next time he is scheduled for any session</t>
  </si>
  <si>
    <t>Jamie</t>
  </si>
  <si>
    <t>accurate feedback</t>
  </si>
  <si>
    <t>Didn't get a chance to dive into the score as he got dragged into an incident at the end of the call. felt the drill was frustrating it was quite difficult to get a hold of the characters. discussed with him the importance of good business coms and grounding to help with shared understanding and how that would help with future drills</t>
  </si>
  <si>
    <t>Charlene</t>
  </si>
  <si>
    <t xml:space="preserve">could have given bit more complexity - by allowing to block tarffic from Spain </t>
  </si>
  <si>
    <t>Soumya</t>
  </si>
  <si>
    <t xml:space="preserve">interesting, felt bit rusty. So many changes in same service made it difficult to pick specific one </t>
  </si>
  <si>
    <t>Sangeetha</t>
  </si>
  <si>
    <t>Move to every 2 weeks</t>
  </si>
  <si>
    <t>Rumours V2</t>
  </si>
  <si>
    <t xml:space="preserve">It was good. Felt like go with the flow. Learnt about doing more sizing up in the beginning </t>
  </si>
  <si>
    <t>The Big Investors</t>
  </si>
  <si>
    <t>No Score</t>
  </si>
  <si>
    <t>Naz</t>
  </si>
  <si>
    <t>Offboarding</t>
  </si>
  <si>
    <t>Reza</t>
  </si>
  <si>
    <t>Naz,Rishi,Hamed</t>
  </si>
  <si>
    <t>Workshop</t>
  </si>
  <si>
    <t>24, 27, 32, 7, 8, 12, 31</t>
  </si>
  <si>
    <t>Roberta,Sankalp,Reza,Ashfaq,Daniel,Fraser,Hamsa,Shivanand</t>
  </si>
  <si>
    <t xml:space="preserve">Business Chanel was not working so he didnt have the proper experience but like it in general
  </t>
  </si>
  <si>
    <t>Bez Beatles Day V2</t>
  </si>
  <si>
    <t xml:space="preserve">Easy. Usually handled by service desk. Narrative wise it was good, not always the customers. </t>
  </si>
  <si>
    <t>He seems to really enjoy the drill today, he is looking forward to the next one</t>
  </si>
  <si>
    <t>Onboarding,Too Good To Be True</t>
  </si>
  <si>
    <t xml:space="preserve">Its cool to see how uptimelabs is creating scenarios and testing the skills. Liked the drill and the reports section </t>
  </si>
  <si>
    <t>No score, I asked about it didn't get a number but based on the feedback a high number, no feedback form disables us from tracking GUOT</t>
  </si>
  <si>
    <t>Didn't ask the G2 review as i was assigned to the session last minute</t>
  </si>
  <si>
    <t>Ed</t>
  </si>
  <si>
    <t xml:space="preserve">He likes the profile reports </t>
  </si>
  <si>
    <t>next session is 18th Feb workshop</t>
  </si>
  <si>
    <t>Profile Report</t>
  </si>
  <si>
    <t>Intro</t>
  </si>
  <si>
    <t xml:space="preserve">Confusion was very realistic. Didn't catch it initially. And the team's accountability issue is always there. </t>
  </si>
  <si>
    <t>Unknown Unknown</t>
  </si>
  <si>
    <t>He finds it stressful. didnt finish it on time. he needs to practise commanding incident</t>
  </si>
  <si>
    <t xml:space="preserve">Said it was good for this drill to have the narrative to get him confused, made the drill interesting.
Said adding a screenshot of the isue </t>
  </si>
  <si>
    <t>Sankalp</t>
  </si>
  <si>
    <t>Would like to know more about the tech issue</t>
  </si>
  <si>
    <t>Matthew will shadow</t>
  </si>
  <si>
    <t>Matthew,Charlene,Rishi</t>
  </si>
  <si>
    <t>This was cool really good tool - LIked it</t>
  </si>
  <si>
    <t xml:space="preserve">I did nt fall for any of the red herrigns - Great drill </t>
  </si>
  <si>
    <t xml:space="preserve">Add Karan for PIR and share the recording with team
</t>
  </si>
  <si>
    <t>Great drill. This clearly showed how an unorganised ownership could mess things up. Faced all the roadblocks in my real life , i was able to test my real life muscle memory in drill</t>
  </si>
  <si>
    <t>Move him to monthly cadence</t>
  </si>
  <si>
    <t>Ed,Charlene</t>
  </si>
  <si>
    <t>Shivanand</t>
  </si>
  <si>
    <t xml:space="preserve">Good one. Maintenance mode felt very natural. Escalation was a good path to get idea on resolution </t>
  </si>
  <si>
    <t>Venkat</t>
  </si>
  <si>
    <t>Calum</t>
  </si>
  <si>
    <t>Enjoyed the drill</t>
  </si>
  <si>
    <t>Mentioned as a good learning drill to identify 2 separate issues and focus on them separatly rather sequentially</t>
  </si>
  <si>
    <t>Move to every month
Did he had PIR on Defcon1 ?
Lots of cancelation</t>
  </si>
  <si>
    <t>Roblox +</t>
  </si>
  <si>
    <t xml:space="preserve">Very interesting - I did like the fact that we had to handle conflicts .
Escalate and ask to make critical decisions .
I enjoyed the fact that there were different opinions </t>
  </si>
  <si>
    <t xml:space="preserve">This was good , different one. Maya came up a bit late into the chat, even though he tagged her in the beginning to check on the possibility of DoS attack </t>
  </si>
  <si>
    <t xml:space="preserve">This was Nice, this feel like commanding a real incident  - The flow looks real - Was like a real inc and real issue - can happen in any company .
1 feedback - It was intentional unknown .
Looking on when this could impact servers .
2 hours ago from Bob .
Really good Drill - Hamed's help increased the impact of Escalating when needed (We get good hints ) 
One of the top drill .
One of the challenge at that time - Aprt from who is saying that - We need sensible evidence provided by Dand and Tanya.
</t>
  </si>
  <si>
    <t>didnt get through most of the drill so he couldnt justify giving it a 10 in his opinion. I shared my screen and went through the drill documentation and he said the narrative was great and challenging. Gave mostly minor feedback for improvement and really appreciated being the first person to test the drill.</t>
  </si>
  <si>
    <t>Unknown Unknown tester</t>
  </si>
  <si>
    <t>Drew</t>
  </si>
  <si>
    <t xml:space="preserve">Definitely it a good session , got learnings around handling business comms. Not to assume facts while doing external comms </t>
  </si>
  <si>
    <t>PIR on Defcon1</t>
  </si>
  <si>
    <t xml:space="preserve">Good to know about the things that she missed in the chase of time </t>
  </si>
  <si>
    <t>Move to every month</t>
  </si>
  <si>
    <t>Matthew should lead</t>
  </si>
  <si>
    <t>Found the drill frustrating with character not responding (which is expected) but also  enjoyed his experience and the challenge. 
Asked if he could move to one month cadence after 1 or 2 more drills.
Very end thanks us for having a platform for him to learn.</t>
  </si>
  <si>
    <t xml:space="preserve">It was good and confusing - When Maya wanted confirmation - i was hesitating </t>
  </si>
  <si>
    <t>Move him to every month</t>
  </si>
  <si>
    <t>Defcon1</t>
  </si>
  <si>
    <t xml:space="preserve">Didn't like how the change logs were all over the place and not in order of deployment </t>
  </si>
  <si>
    <t>Bez Beatles Day ++</t>
  </si>
  <si>
    <t xml:space="preserve">It was intense. So much to follow and coordinate. Never had a ransomware attack so far. And generally she being a SRE doesn't get involve in security incidents. </t>
  </si>
  <si>
    <t>lets move her to every month after PIR</t>
  </si>
  <si>
    <t xml:space="preserve">Good one we see this type of issue quite often </t>
  </si>
  <si>
    <t xml:space="preserve">You can 
Move him to every month </t>
  </si>
  <si>
    <t>Version Confusion</t>
  </si>
  <si>
    <t>Her words - UL has really leveled up the game</t>
  </si>
  <si>
    <t>Naz joined for the first 5mins to welcome her back.
Just got back from maternity leave
Trainline focus is Impact assessment and owner ship</t>
  </si>
  <si>
    <t>Move her to monthly cadence
@Karan  Trainline focus is Impact assessment and owner ship</t>
  </si>
  <si>
    <t>Likes how the PIR was ran but with more time he would like to do his own pir and come back to us he would find value in this</t>
  </si>
  <si>
    <t>He was so happy to see where he lacked along with proper backing by the time of his messages. And the best part of this way of PIR was that he himself realized where he was lacking. Followed by our suggestion on how to make it better.</t>
  </si>
  <si>
    <t>Enjoyed the challenge couldnt get much feedback as session was going over</t>
  </si>
  <si>
    <t>Last session was August</t>
  </si>
  <si>
    <t>He was really happy with drill and was looking forward to be in top of leaderboard</t>
  </si>
  <si>
    <t xml:space="preserve">Oh my god- This is a big incident .
I have no reason to give 9 - it is definitely 10 . Its a very good drill and we have ransomware attack .
Educate the teams to Phising </t>
  </si>
  <si>
    <t>Thinks it was a great drill</t>
  </si>
  <si>
    <t>This is a good PIR, awaring people of ransomware, and everything is kept in simple-to-understand words. Anyone apart from security will know what the things are that they need to keep in check if something similar happens in the future</t>
  </si>
  <si>
    <t xml:space="preserve">It was the most intense drill he ha ever played on this platform. It was such a wonderful exercise to see what a ransomware attack looks like. So much to follow up and coordinate among different teams
He enjoyed it a lot and said there are so many learnings out of this. 
He gave 9 because this drill was so intense that he was still figuring out what he actually did. Overall, he loved playing it. 
And he is looking forward to such security drills </t>
  </si>
  <si>
    <t xml:space="preserve">There was no surprise in this. It felt like a past drill. Here, dev investigation is quite easy. Directly it said issue in email logs. Whereas in trainline , the difficult part is following the whole chain of downstreams upstreams just to identify which is causing an issue. This is where most of the time is spent. </t>
  </si>
  <si>
    <t>Missing Delivery +</t>
  </si>
  <si>
    <t>Liked the challenge and the twist in narrative</t>
  </si>
  <si>
    <t xml:space="preserve">I did like - Interesting for sure .
Fortunately, never been in a ransomware .
Especially in big company - Private and dont send communcation .
Really enjoyable and get my heart pumping - Forget its a game or drill 
Didn't expect ransomware due to phising </t>
  </si>
  <si>
    <t xml:space="preserve">First thing - we had another incident with monitoring .
It was really good when some one don't come back - Sangeetha suggested us to escalate -We can raise concern when we are no getting help.
More focussed on fixing the issue.
New feature of Support channel helps . </t>
  </si>
  <si>
    <t>Team Drill</t>
  </si>
  <si>
    <t>32, 26</t>
  </si>
  <si>
    <t>Reza,Sangeetha</t>
  </si>
  <si>
    <t>He felt it was realistic where there is a possibility of DC going down, and people are giving vague responses instead of coming back with the exact thing. 
What it'd take to get 10? 
Maybe a proper direction from bots and proper replies could've been good in this. Also, he thinks the scope of switching over the DC on weighing up the backup DC in EU or US region</t>
  </si>
  <si>
    <t>Very impressive and intense drill . Pretty much covers everything about the phases of a ransomware attack. Its a very good learning on cyber incidents.</t>
  </si>
  <si>
    <t>enjoys mixture of different drills, would like it to be unpredictable and not always change related
to get to 9/10 just have different drill that is not always a change related</t>
  </si>
  <si>
    <t>It was a good drill but slightly confusing</t>
  </si>
  <si>
    <t>Asked Reza about team drill. He will ask Sangheta to join his next team drill session</t>
  </si>
  <si>
    <t>Great reminder that relying on external teams to notify of the issue is not always the case</t>
  </si>
  <si>
    <t xml:space="preserve">It was good- Switching to another email provider was suppose to work - learnt new things about getting more details when suggest to maek any change </t>
  </si>
  <si>
    <t xml:space="preserve">I liked - Interesting because, change related ones are always frustrating - The errors and change was well related .
Secret manager being cache'd - </t>
  </si>
  <si>
    <t>PIR on Details Matter</t>
  </si>
  <si>
    <t>She said from her experience is 4 but in terms of getting annoying and leading team it is higher</t>
  </si>
  <si>
    <t>Liked the retrospective version of PIR</t>
  </si>
  <si>
    <t>PIR on Breaking Bez</t>
  </si>
  <si>
    <t>Liked the drill but thought Reponses were a slower than usual</t>
  </si>
  <si>
    <t>The Chain,Grounding Workshop</t>
  </si>
  <si>
    <t xml:space="preserve">For me nothing is 10 - But this is good- 7 for me is very good </t>
  </si>
  <si>
    <t xml:space="preserve">Good drill, do have similar issues frequently in real work, score was a self-reflection, would give GUOT a 9 </t>
  </si>
  <si>
    <t>Juan</t>
  </si>
  <si>
    <t>Leon</t>
  </si>
  <si>
    <t xml:space="preserve">The same issue happened a week earlier in teh company - and that made it easy to resolve faster - But this is good to learn about incidents
</t>
  </si>
  <si>
    <t>PIR on Memory Lane</t>
  </si>
  <si>
    <t>Liked the drill, he seemd a bit distracted.
I didn't get to ask him about g2 as he had to rush off call for another meeting</t>
  </si>
  <si>
    <t>timer reset, it was hard to judge for player how much time he has left. Minimal impact for user</t>
  </si>
  <si>
    <t>INC-272 Breaking bez timer bug</t>
  </si>
  <si>
    <t>Drill was great - Last time had issue but this simulated the pressure and taking command under pressure - Feeling some experience .
enjoyed the drill</t>
  </si>
  <si>
    <t>Enjoyed this drill. Got to know the specific issue in a region. And ways around handling external parties when it comes to the API. He has worked a lot on APIs, but mostly internal APIs. 
It was the drill where he had to engage a lot with Bob and the team to reach the resolution. Also, to delegate the activities for the restoration tasks. Found the detailed change description about the changes done helpful in the wiki.</t>
  </si>
  <si>
    <t>Maram</t>
  </si>
  <si>
    <t xml:space="preserve">The PIR was helpful in understanding the drill </t>
  </si>
  <si>
    <t xml:space="preserve">This is what i always do - This is 100% close to reality for us .
Score got nothing to do with actual narrative- 
Its 5 because i already know things - But definitely 10 for others.
This is based on personal experience - This can be intermediate or advance level </t>
  </si>
  <si>
    <t>Cart-astroph</t>
  </si>
  <si>
    <t>Liked the drill, however felt the description gave it away a little and could've been a bit more challenging</t>
  </si>
  <si>
    <t xml:space="preserve">This is different : Figured this out earlier - since i have seen this issue in real -
This is close to reality </t>
  </si>
  <si>
    <t>Messages are sending slowly/not at all through op console.</t>
  </si>
  <si>
    <t>he struggled with completing the drill, said he didn't completely get the point of it. He has played this drill in the past but didn't seem to remember the narritive.</t>
  </si>
  <si>
    <t>Didn't give a clear answer as to what it would take to get 10 but said that this PIR session definitely helps to get better at his job and there were some learning aspects such as identifying PIR gaps</t>
  </si>
  <si>
    <t>MAy be i was unfair to give 7 .
If i give it again, i may give it high score .
I declared the working theory - 
The drill was not complex enough for Expert mode - Only difference i felt was one person was missing .</t>
  </si>
  <si>
    <t xml:space="preserve">10 _ Its good to retrospective the incidents and check what where did i waste time and analyse to reduce TTD </t>
  </si>
  <si>
    <t xml:space="preserve">10 Because, you have chance to see what are the other paths . the player could choose Do mistakes and learn from it </t>
  </si>
  <si>
    <t xml:space="preserve">Why 9? It was a clear drill, and the Grafana info helped him understand the scope of the issue  </t>
  </si>
  <si>
    <t xml:space="preserve">Different from last one - It makes sense into - Once done before was pretty basic but this is good .
What would take it to 10 :
We need to reword it since he didn't understand the question and hence he gave 7  - I wouldn't give any drill a 10.
He made a valid point, we need to rephrase how we ask about GOUT.
@Mildred Ranquehis cadence is monthly
</t>
  </si>
  <si>
    <t>Drill was good and i can't think of anything that would take it to 10</t>
  </si>
  <si>
    <t>She liked the detailed discussion on where she could have done better and reasoning behind each step taken. She understood the need of being very specific in business comms next time onwards and monitor the situation before confirming. Got to know the scope of saving time(5 mins)  by not going for restart.</t>
  </si>
  <si>
    <t xml:space="preserve">This is really great session and thought provoking - There are multiple things i will take from this PIR on grounding and let know the working thoeries to all the players so we can resolve issue faster </t>
  </si>
  <si>
    <t xml:space="preserve">It was a good drill; he liked the response from the players.
The narrative was interesting and flowed well.
Log rotate is a common problem - Sometimes ,  quick workaround gives some space and time to resolve - So that we can bring the platform up and running  .
Gave opportunity to take multiple decisions like add space , log rotate </t>
  </si>
  <si>
    <t>Pretty good - Generally when he ask for act - Safe to remove ? he forgot to ask and went into trouble  .
Great drill - One thing great is , he had chance to make few permanent mistake - Second time , he will never forget the learning and will make sure to ask if its safe to take certain actions</t>
  </si>
  <si>
    <t xml:space="preserve">please make sure he is joining for Oops
</t>
  </si>
  <si>
    <t>Architecture diagrams are very helpful to break down the issue step by step and explain what the cause was, even for those who are not that technical</t>
  </si>
  <si>
    <t xml:space="preserve">Enjoyed the drill . Knew this cannot be resolved quickly after a restart.
Could think of multiple instances on what caused like certificates .
Like the fact that character talk to each other - Something that i appreciate and we could waste a lot of time discussing possible solutions .
When we get complicated issue - this gives us a lot of learning, keep you up and keeps brain engaged .
Provided few insights on logs make it real </t>
  </si>
  <si>
    <t xml:space="preserve">I had never given 10 long time - This is the first drill with 10 
She was so much happy with this drill and mentioned that it was really great. She clicked the idea of log rotate even before any idea given by characters. This response came with her past experience in similar issue. 
She liked the part where restart didn't do good - just a temporary fix. She confirmed the business that issue resolved, but few mins later came back as an apology to bez because issue reappeared. 
Has she gone for delete log files ? 
At first she asked for it as an option. later on she understood it belongs to audit containing historical prices. Hence, didn't go with the route of deleting log file. </t>
  </si>
  <si>
    <t>Intro Page Misled the Direction:
-The opening narrative gave him an unusual sense of direction.
-It made him suspect malicious traffic or a security issue, which wasn’t aligned with the actual drill focus.
-He felt the clue in the intro was misleading and wasted his time.
Felt Out of Sync Compared to Other Drills:
-The scenario didn’t flow as smoothly as others he’d experienced.
-There were too many parallel threads, making it feel disjointed and overwhelming.
Confusion Due to Multiple Threads:
-Found it hard to decide which path to follow during the investigation.
-The numerous simultaneous conversations made it easy to lose track of the core issue.
Missed Key Detail on Infra Migration:
-He completely missed the part where Tanya mentioned the currency service was migrated.
-The communication lacked specificity—"currency service" should have been explicitly highlighted.
Coaching notes...
Just sharing my coaching tips for future sessions with Jamie from Trainline (based on the drill - memory lane on Friday)
I shared Hamed's talk on incident groundhog day
covering the 2 points - solo vs band player approach + therapeutic action that can turn into a diagnostic (rollback, restart etc)
These concepts would be good to run over with him in next set of drills - whereby we can practice these skills
https://uptimelabsio.slack.com/archives/D02NLS8K3M3/p1750020896637659</t>
  </si>
  <si>
    <t>Joe</t>
  </si>
  <si>
    <t>Naz to confirm his session plan</t>
  </si>
  <si>
    <t>Interview</t>
  </si>
  <si>
    <t>Enjoyed the drill, liked the different challenges in both channels of this drill</t>
  </si>
  <si>
    <t xml:space="preserve">Without Dan's help it would have been difficult to solve the issue - Input from Dan was help full .
What would make it 10 ?
Nothing </t>
  </si>
  <si>
    <t>Got Great Feedback that they never seen graphs involved in a PIR documents but it made so much more sense to them and pushed the document to their team to improve how they run PIRS</t>
  </si>
  <si>
    <t>Dependency on releases - 
What would take it to 10 ?
Asking Hamed is the only option to Escalate - have better options .
Narrative was good - but to understand better, it would be good to have All changes listed (She forgot IM dashboard , reminded her of the IM dashboard</t>
  </si>
  <si>
    <t xml:space="preserve"> Coaching for this next sessio - Feedback from Calum - I have updated his stars and added some feedback
I think he can put more focus on using SEV when declaring and communicating the incidents
Incident Number INC100037: Ongoing incident - drop in sales volumes
no mention of SEV in any of his coms...
i have reviewed and added a few additional stars (will leave for review) and submitted the feedback on his report</t>
  </si>
  <si>
    <t>He gave us a 4 in his last session that's why I added Joe</t>
  </si>
  <si>
    <t>Product UX Test</t>
  </si>
  <si>
    <t xml:space="preserve">Not exciting as other ones 
Why 7 : Couldn't see details of change done by Tanya or Hamed .
No options to check changes from 2 weeks .
Would be great if we can replicate the issue - Person running drill should have version with Bug </t>
  </si>
  <si>
    <t>Shall we play a drill?</t>
  </si>
  <si>
    <t>Found the PIR session useful although he never really has to create them himself</t>
  </si>
  <si>
    <t>PIR on Switch</t>
  </si>
  <si>
    <t>Like the drill found that the metrics don't accuratey represent the outage</t>
  </si>
  <si>
    <t xml:space="preserve">It was confused with priority assignment . AWS giving 60 minutes ETA was a surprise </t>
  </si>
  <si>
    <t>That was good - Kind of suspected the problem, Enjoyed the drill , maximum twist when back up didn't work .
Second twist 60 minutes ETA .
Felt, he could delegate a lot in the drill since scope of problem was narrowed quickly .
Surprising that backup email didn't work .</t>
  </si>
  <si>
    <t xml:space="preserve">The drill doesn't depict the realism of a compromised switch - 
Either a host is compromised or network of hosts are compromised .
The drill needs some visual representation in terms of graphical images or atleast an option to replicate issue - else, most of the time will be spent just of size up the issue
He thought this may be a ransom ware attack .
As a part of resolution - we would prefer isolation of traffic and from the network diagram , a 50M pound company have interliked Prod and Non prod environment is highly unlikely .
If the servers are hosted in AWS, this Ddos attack cannot be impacted since the AWS already hosts the protection .
As a security Incident manager , i would be more concerned about RCA and RCA to be done right after the incident - When nd how was the traffic switch compromised and understand the complete Ntegrity of incident attack . </t>
  </si>
  <si>
    <t>Liked where I sat in the call with him and was able to refine what he is putting into the document. The last time he did this on his own, then went over it with the LO after, he feels that he understands PIR's a lot more now after this session.</t>
  </si>
  <si>
    <t xml:space="preserve">Found involving other teams was useful, </t>
  </si>
  <si>
    <t>Clara</t>
  </si>
  <si>
    <t xml:space="preserve">LIke this unpexpected things - See's potential for someone new who don't have experience on network and firewalls the value the drill can bring </t>
  </si>
  <si>
    <t>The operator console stopped loading - just see a blank screen. Launched it through the teleport (operator console), it works, but the drill timed out by then.</t>
  </si>
  <si>
    <t>INC-212 Operator consoles links fail to work as expected</t>
  </si>
  <si>
    <t xml:space="preserve">Great drill - Micro service has a lot of dependency - Realistic where a developer says his change is not the issue </t>
  </si>
  <si>
    <t>Bez Beatles Day +</t>
  </si>
  <si>
    <t>Found the drill a little frustrating because took a while to recover</t>
  </si>
  <si>
    <t>Talked about the new security drill</t>
  </si>
  <si>
    <t>Multiple dimension : Financial  impact and Customer impact - 
He forgot to escalate when required - that's a surprise for him and changing priority based on sequence is quite interesting</t>
  </si>
  <si>
    <t xml:space="preserve">Found the drill usefull, talked how it was realisitic </t>
  </si>
  <si>
    <t xml:space="preserve">Surprised to see the cartservice change would have issue in Front end - The inter  dependencies on the services is well executed .
and people unavailable is realistic </t>
  </si>
  <si>
    <t xml:space="preserve">Good one and enjoying - Fun and feel pressure to put on spot </t>
  </si>
  <si>
    <t>Really liked the drill, definitely felt it was an expert level</t>
  </si>
  <si>
    <t xml:space="preserve">This is close to reality where a low priority incident will not take precedence over high priority .
Developers have laid back attitude toward low priority incidents </t>
  </si>
  <si>
    <t xml:space="preserve">Reason for 9 - the flow of the drill was good, and he liked the narrative. 
Why he liked the drill - Likes the </t>
  </si>
  <si>
    <t>Brandon</t>
  </si>
  <si>
    <t>It was interesting drill that encaurages thinking outside the box</t>
  </si>
  <si>
    <t>Sina</t>
  </si>
  <si>
    <t>We had an issue during the drill where the Checkout service refused to come back up.</t>
  </si>
  <si>
    <t xml:space="preserve">We had an issue during the drill where the Checkout service refused to come back up.
Continued the drill until timeout, and he didn't like too many issues in one drill </t>
  </si>
  <si>
    <t xml:space="preserve">Profile reports gives complete insight about how the player is performing and do home work before starting the drill </t>
  </si>
  <si>
    <t>Good learning on Sizing up the issue</t>
  </si>
  <si>
    <t>The PIR is really useful since it will help to understand issue and perform better in next drill - More frequent PIR would be better</t>
  </si>
  <si>
    <t>PIR on Challenge Drill</t>
  </si>
  <si>
    <t>he came into a session with a mindset of " this is not useful and most likely will give 4-5" it turns out it was a very useful session</t>
  </si>
  <si>
    <t>8 for GUOT but thought since she doesn't be involved in PIR is why she didnt give it a 10</t>
  </si>
  <si>
    <t>Finds these PIR's very usefull 
Didn't do Profile report, we started late and was 5 mins overtime on meeting already</t>
  </si>
  <si>
    <t xml:space="preserve">Very realistic, </t>
  </si>
  <si>
    <t>@Leon Leonard make sure she's sizing up</t>
  </si>
  <si>
    <t>Challenge Drill - Discount Disaster</t>
  </si>
  <si>
    <t xml:space="preserve">"It was a great breakdown of the drill, this helped to identify gaps and i will take away a few things myself from this" </t>
  </si>
  <si>
    <t>Discuss how CRF can be used during the incident</t>
  </si>
  <si>
    <t>feedback is on the recording</t>
  </si>
  <si>
    <t xml:space="preserve">Liked dealing with DDoS attack
</t>
  </si>
  <si>
    <t>Notes for Mildred</t>
  </si>
  <si>
    <t>Technical Issue Reason</t>
  </si>
  <si>
    <t>Technical Issues</t>
  </si>
  <si>
    <t>INC #</t>
  </si>
  <si>
    <t>Attendance Reason</t>
  </si>
  <si>
    <t>Attendance</t>
  </si>
  <si>
    <t>Feedback Notes</t>
  </si>
  <si>
    <t>Feedback Quality Score</t>
  </si>
  <si>
    <t>Session ID</t>
  </si>
  <si>
    <t>Score Notes</t>
  </si>
  <si>
    <t>GUOT</t>
  </si>
  <si>
    <t>Session Notes</t>
  </si>
  <si>
    <t>Star Guru</t>
  </si>
  <si>
    <t>Lead</t>
  </si>
  <si>
    <t>AI</t>
  </si>
  <si>
    <t>Session Plan</t>
  </si>
  <si>
    <t>Sessions Done</t>
  </si>
  <si>
    <t>Company</t>
  </si>
  <si>
    <t>Name</t>
  </si>
  <si>
    <t>Time</t>
  </si>
  <si>
    <t>Date</t>
  </si>
  <si>
    <t>Average of GUOT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</si>
</sst>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1" fontId="0" fillId="0" borderId="0" xfId="0" applyNumberFormat="1"/>
    <xf numFmtId="0" fontId="0" fillId="0" borderId="0" xfId="0" quotePrefix="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0" xfId="0" applyAlignment="1">
      <alignment wrapText="1"/>
    </xf>
    <xf numFmtId="1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[trainlineusage_april26.xlsx]GUOT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GUOT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pivot'!$A$4:$A$18</c:f>
              <c:strCache>
                <c:ptCount val="14"/>
                <c:pt idx="0">
                  <c:v>01/03/2025</c:v>
                </c:pt>
                <c:pt idx="1">
                  <c:v>01/04/2025</c:v>
                </c:pt>
                <c:pt idx="2">
                  <c:v>01/05/2025</c:v>
                </c:pt>
                <c:pt idx="3">
                  <c:v>01/06/2025</c:v>
                </c:pt>
                <c:pt idx="4">
                  <c:v>01/07/2025</c:v>
                </c:pt>
                <c:pt idx="5">
                  <c:v>01/08/2025</c:v>
                </c:pt>
                <c:pt idx="6">
                  <c:v>01/09/2025</c:v>
                </c:pt>
                <c:pt idx="7">
                  <c:v>01/10/2025</c:v>
                </c:pt>
                <c:pt idx="8">
                  <c:v>01/11/2025</c:v>
                </c:pt>
                <c:pt idx="9">
                  <c:v>01/12/2025</c:v>
                </c:pt>
                <c:pt idx="10">
                  <c:v>01/01/2026</c:v>
                </c:pt>
                <c:pt idx="11">
                  <c:v>01/02/2026</c:v>
                </c:pt>
                <c:pt idx="12">
                  <c:v>01/03/2026</c:v>
                </c:pt>
                <c:pt idx="13">
                  <c:v>01/04/2026</c:v>
                </c:pt>
              </c:strCache>
            </c:strRef>
          </c:cat>
          <c:val>
            <c:numRef>
              <c:f>'GUOT pivot'!$B$4:$B$18</c:f>
              <c:numCache>
                <c:formatCode>General</c:formatCode>
                <c:ptCount val="14"/>
                <c:pt idx="0">
                  <c:v>9.454545454545455</c:v>
                </c:pt>
                <c:pt idx="1">
                  <c:v>9.1</c:v>
                </c:pt>
                <c:pt idx="2">
                  <c:v>8.545454545454545</c:v>
                </c:pt>
                <c:pt idx="3">
                  <c:v>9.25</c:v>
                </c:pt>
                <c:pt idx="4">
                  <c:v>8.545454545454545</c:v>
                </c:pt>
                <c:pt idx="5">
                  <c:v>8.5833333333333339</c:v>
                </c:pt>
                <c:pt idx="6">
                  <c:v>9.0833333333333339</c:v>
                </c:pt>
                <c:pt idx="7">
                  <c:v>9.2222222222222214</c:v>
                </c:pt>
                <c:pt idx="8">
                  <c:v>8.5</c:v>
                </c:pt>
                <c:pt idx="9">
                  <c:v>9.5</c:v>
                </c:pt>
                <c:pt idx="10">
                  <c:v>8.9090909090909083</c:v>
                </c:pt>
                <c:pt idx="11">
                  <c:v>8.5</c:v>
                </c:pt>
                <c:pt idx="12">
                  <c:v>8.875</c:v>
                </c:pt>
                <c:pt idx="13">
                  <c:v>8.3333333333333339</c:v>
                </c:pt>
              </c:numCache>
            </c:numRef>
          </c:val>
          <c:smooth val="1"/>
          <c:extLst>
            <c:ext xmlns:c16="http://schemas.microsoft.com/office/drawing/2014/chart" uri="{C3380CC4-5D6E-409C-BE32-E72D297353CC}">
              <c16:uniqueId val="{00000000-2972-1B46-BEC0-A0063A51422E}"/>
            </c:ext>
          </c:extLst>
        </c:ser>
        <c:dLbls>
          <c:showLegendKey val="0"/>
          <c:showVal val="0"/>
          <c:showCatName val="0"/>
          <c:showSerName val="0"/>
          <c:showPercent val="0"/>
          <c:showBubbleSize val="0"/>
        </c:dLbls>
        <c:smooth val="0"/>
        <c:axId val="724699328"/>
        <c:axId val="724707840"/>
      </c:lineChart>
      <c:catAx>
        <c:axId val="72469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07840"/>
        <c:crosses val="autoZero"/>
        <c:auto val="1"/>
        <c:lblAlgn val="ctr"/>
        <c:lblOffset val="100"/>
        <c:noMultiLvlLbl val="0"/>
      </c:catAx>
      <c:valAx>
        <c:axId val="7247078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6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[trainlineusage_april26.xlsx]GUOT 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GUOT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pivot'!$A$4:$A$18</c:f>
              <c:strCache>
                <c:ptCount val="14"/>
                <c:pt idx="0">
                  <c:v>01/03/2025</c:v>
                </c:pt>
                <c:pt idx="1">
                  <c:v>01/04/2025</c:v>
                </c:pt>
                <c:pt idx="2">
                  <c:v>01/05/2025</c:v>
                </c:pt>
                <c:pt idx="3">
                  <c:v>01/06/2025</c:v>
                </c:pt>
                <c:pt idx="4">
                  <c:v>01/07/2025</c:v>
                </c:pt>
                <c:pt idx="5">
                  <c:v>01/08/2025</c:v>
                </c:pt>
                <c:pt idx="6">
                  <c:v>01/09/2025</c:v>
                </c:pt>
                <c:pt idx="7">
                  <c:v>01/10/2025</c:v>
                </c:pt>
                <c:pt idx="8">
                  <c:v>01/11/2025</c:v>
                </c:pt>
                <c:pt idx="9">
                  <c:v>01/12/2025</c:v>
                </c:pt>
                <c:pt idx="10">
                  <c:v>01/01/2026</c:v>
                </c:pt>
                <c:pt idx="11">
                  <c:v>01/02/2026</c:v>
                </c:pt>
                <c:pt idx="12">
                  <c:v>01/03/2026</c:v>
                </c:pt>
                <c:pt idx="13">
                  <c:v>01/04/2026</c:v>
                </c:pt>
              </c:strCache>
            </c:strRef>
          </c:cat>
          <c:val>
            <c:numRef>
              <c:f>'GUOT pivot'!$B$4:$B$18</c:f>
              <c:numCache>
                <c:formatCode>General</c:formatCode>
                <c:ptCount val="14"/>
                <c:pt idx="0">
                  <c:v>9.454545454545455</c:v>
                </c:pt>
                <c:pt idx="1">
                  <c:v>9.1</c:v>
                </c:pt>
                <c:pt idx="2">
                  <c:v>8.545454545454545</c:v>
                </c:pt>
                <c:pt idx="3">
                  <c:v>9.25</c:v>
                </c:pt>
                <c:pt idx="4">
                  <c:v>8.545454545454545</c:v>
                </c:pt>
                <c:pt idx="5">
                  <c:v>8.5833333333333339</c:v>
                </c:pt>
                <c:pt idx="6">
                  <c:v>9.0833333333333339</c:v>
                </c:pt>
                <c:pt idx="7">
                  <c:v>9.2222222222222214</c:v>
                </c:pt>
                <c:pt idx="8">
                  <c:v>8.5</c:v>
                </c:pt>
                <c:pt idx="9">
                  <c:v>9.5</c:v>
                </c:pt>
                <c:pt idx="10">
                  <c:v>8.9090909090909083</c:v>
                </c:pt>
                <c:pt idx="11">
                  <c:v>8.5</c:v>
                </c:pt>
                <c:pt idx="12">
                  <c:v>8.875</c:v>
                </c:pt>
                <c:pt idx="13">
                  <c:v>8.3333333333333339</c:v>
                </c:pt>
              </c:numCache>
            </c:numRef>
          </c:val>
          <c:smooth val="1"/>
          <c:extLst>
            <c:ext xmlns:c16="http://schemas.microsoft.com/office/drawing/2014/chart" uri="{C3380CC4-5D6E-409C-BE32-E72D297353CC}">
              <c16:uniqueId val="{00000000-FC06-8D4E-A380-BE0C3E12F638}"/>
            </c:ext>
          </c:extLst>
        </c:ser>
        <c:dLbls>
          <c:showLegendKey val="0"/>
          <c:showVal val="0"/>
          <c:showCatName val="0"/>
          <c:showSerName val="0"/>
          <c:showPercent val="0"/>
          <c:showBubbleSize val="0"/>
        </c:dLbls>
        <c:smooth val="0"/>
        <c:axId val="724699328"/>
        <c:axId val="724707840"/>
      </c:lineChart>
      <c:catAx>
        <c:axId val="72469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07840"/>
        <c:crosses val="autoZero"/>
        <c:auto val="1"/>
        <c:lblAlgn val="ctr"/>
        <c:lblOffset val="100"/>
        <c:noMultiLvlLbl val="0"/>
      </c:catAx>
      <c:valAx>
        <c:axId val="7247078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6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[trainlineusage_april26.xlsx]usage 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Sessions (since Nov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 pivot'!$B$3</c:f>
              <c:strCache>
                <c:ptCount val="1"/>
                <c:pt idx="0">
                  <c:v>Total</c:v>
                </c:pt>
              </c:strCache>
            </c:strRef>
          </c:tx>
          <c:spPr>
            <a:solidFill>
              <a:schemeClr val="accent1"/>
            </a:solidFill>
            <a:ln>
              <a:noFill/>
            </a:ln>
            <a:effectLst/>
          </c:spPr>
          <c:invertIfNegative val="0"/>
          <c:cat>
            <c:strRef>
              <c:f>'usage pivot'!$A$4:$A$16</c:f>
              <c:strCache>
                <c:ptCount val="12"/>
                <c:pt idx="0">
                  <c:v>fraser.gillies</c:v>
                </c:pt>
                <c:pt idx="1">
                  <c:v>ashfaq.hussain</c:v>
                </c:pt>
                <c:pt idx="2">
                  <c:v>soumya.jk</c:v>
                </c:pt>
                <c:pt idx="3">
                  <c:v>sangeetha.niranjan</c:v>
                </c:pt>
                <c:pt idx="4">
                  <c:v>shivanand.hebballi</c:v>
                </c:pt>
                <c:pt idx="5">
                  <c:v>hamsa.iman</c:v>
                </c:pt>
                <c:pt idx="6">
                  <c:v>venkat.raopotala</c:v>
                </c:pt>
                <c:pt idx="7">
                  <c:v>roberta.roccia</c:v>
                </c:pt>
                <c:pt idx="8">
                  <c:v>sankalp.bartariya</c:v>
                </c:pt>
                <c:pt idx="9">
                  <c:v>jamie.buchanan</c:v>
                </c:pt>
                <c:pt idx="10">
                  <c:v>calum.mcdowell</c:v>
                </c:pt>
                <c:pt idx="11">
                  <c:v>reza.imany</c:v>
                </c:pt>
              </c:strCache>
            </c:strRef>
          </c:cat>
          <c:val>
            <c:numRef>
              <c:f>'usage pivot'!$B$4:$B$16</c:f>
              <c:numCache>
                <c:formatCode>General</c:formatCode>
                <c:ptCount val="12"/>
                <c:pt idx="0">
                  <c:v>7</c:v>
                </c:pt>
                <c:pt idx="1">
                  <c:v>5</c:v>
                </c:pt>
                <c:pt idx="2">
                  <c:v>3</c:v>
                </c:pt>
                <c:pt idx="3">
                  <c:v>2</c:v>
                </c:pt>
                <c:pt idx="4">
                  <c:v>2</c:v>
                </c:pt>
                <c:pt idx="5">
                  <c:v>2</c:v>
                </c:pt>
                <c:pt idx="6">
                  <c:v>2</c:v>
                </c:pt>
                <c:pt idx="7">
                  <c:v>2</c:v>
                </c:pt>
                <c:pt idx="8">
                  <c:v>1</c:v>
                </c:pt>
                <c:pt idx="9">
                  <c:v>1</c:v>
                </c:pt>
                <c:pt idx="10">
                  <c:v>1</c:v>
                </c:pt>
                <c:pt idx="11">
                  <c:v>1</c:v>
                </c:pt>
              </c:numCache>
            </c:numRef>
          </c:val>
          <c:extLst>
            <c:ext xmlns:c16="http://schemas.microsoft.com/office/drawing/2014/chart" uri="{C3380CC4-5D6E-409C-BE32-E72D297353CC}">
              <c16:uniqueId val="{00000000-7F65-6640-9B5A-5B5DBEE5D98B}"/>
            </c:ext>
          </c:extLst>
        </c:ser>
        <c:dLbls>
          <c:showLegendKey val="0"/>
          <c:showVal val="0"/>
          <c:showCatName val="0"/>
          <c:showSerName val="0"/>
          <c:showPercent val="0"/>
          <c:showBubbleSize val="0"/>
        </c:dLbls>
        <c:gapWidth val="219"/>
        <c:overlap val="-27"/>
        <c:axId val="546617344"/>
        <c:axId val="546609728"/>
      </c:barChart>
      <c:catAx>
        <c:axId val="5466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09728"/>
        <c:crosses val="autoZero"/>
        <c:auto val="1"/>
        <c:lblAlgn val="ctr"/>
        <c:lblOffset val="100"/>
        <c:noMultiLvlLbl val="0"/>
      </c:catAx>
      <c:valAx>
        <c:axId val="54660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1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[trainlineusage_april26.xlsx]usage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Sessions (since Nov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 pivot'!$B$3</c:f>
              <c:strCache>
                <c:ptCount val="1"/>
                <c:pt idx="0">
                  <c:v>Total</c:v>
                </c:pt>
              </c:strCache>
            </c:strRef>
          </c:tx>
          <c:spPr>
            <a:solidFill>
              <a:schemeClr val="accent1"/>
            </a:solidFill>
            <a:ln>
              <a:noFill/>
            </a:ln>
            <a:effectLst/>
          </c:spPr>
          <c:invertIfNegative val="0"/>
          <c:cat>
            <c:strRef>
              <c:f>'usage pivot'!$A$4:$A$16</c:f>
              <c:strCache>
                <c:ptCount val="12"/>
                <c:pt idx="0">
                  <c:v>fraser.gillies</c:v>
                </c:pt>
                <c:pt idx="1">
                  <c:v>ashfaq.hussain</c:v>
                </c:pt>
                <c:pt idx="2">
                  <c:v>soumya.jk</c:v>
                </c:pt>
                <c:pt idx="3">
                  <c:v>sangeetha.niranjan</c:v>
                </c:pt>
                <c:pt idx="4">
                  <c:v>shivanand.hebballi</c:v>
                </c:pt>
                <c:pt idx="5">
                  <c:v>hamsa.iman</c:v>
                </c:pt>
                <c:pt idx="6">
                  <c:v>venkat.raopotala</c:v>
                </c:pt>
                <c:pt idx="7">
                  <c:v>roberta.roccia</c:v>
                </c:pt>
                <c:pt idx="8">
                  <c:v>sankalp.bartariya</c:v>
                </c:pt>
                <c:pt idx="9">
                  <c:v>jamie.buchanan</c:v>
                </c:pt>
                <c:pt idx="10">
                  <c:v>calum.mcdowell</c:v>
                </c:pt>
                <c:pt idx="11">
                  <c:v>reza.imany</c:v>
                </c:pt>
              </c:strCache>
            </c:strRef>
          </c:cat>
          <c:val>
            <c:numRef>
              <c:f>'usage pivot'!$B$4:$B$16</c:f>
              <c:numCache>
                <c:formatCode>General</c:formatCode>
                <c:ptCount val="12"/>
                <c:pt idx="0">
                  <c:v>7</c:v>
                </c:pt>
                <c:pt idx="1">
                  <c:v>5</c:v>
                </c:pt>
                <c:pt idx="2">
                  <c:v>3</c:v>
                </c:pt>
                <c:pt idx="3">
                  <c:v>2</c:v>
                </c:pt>
                <c:pt idx="4">
                  <c:v>2</c:v>
                </c:pt>
                <c:pt idx="5">
                  <c:v>2</c:v>
                </c:pt>
                <c:pt idx="6">
                  <c:v>2</c:v>
                </c:pt>
                <c:pt idx="7">
                  <c:v>2</c:v>
                </c:pt>
                <c:pt idx="8">
                  <c:v>1</c:v>
                </c:pt>
                <c:pt idx="9">
                  <c:v>1</c:v>
                </c:pt>
                <c:pt idx="10">
                  <c:v>1</c:v>
                </c:pt>
                <c:pt idx="11">
                  <c:v>1</c:v>
                </c:pt>
              </c:numCache>
            </c:numRef>
          </c:val>
          <c:extLst>
            <c:ext xmlns:c16="http://schemas.microsoft.com/office/drawing/2014/chart" uri="{C3380CC4-5D6E-409C-BE32-E72D297353CC}">
              <c16:uniqueId val="{00000000-19CF-CD41-AC88-83243D596FAC}"/>
            </c:ext>
          </c:extLst>
        </c:ser>
        <c:dLbls>
          <c:showLegendKey val="0"/>
          <c:showVal val="0"/>
          <c:showCatName val="0"/>
          <c:showSerName val="0"/>
          <c:showPercent val="0"/>
          <c:showBubbleSize val="0"/>
        </c:dLbls>
        <c:gapWidth val="219"/>
        <c:overlap val="-27"/>
        <c:axId val="546617344"/>
        <c:axId val="546609728"/>
      </c:barChart>
      <c:catAx>
        <c:axId val="5466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09728"/>
        <c:crosses val="autoZero"/>
        <c:auto val="1"/>
        <c:lblAlgn val="ctr"/>
        <c:lblOffset val="100"/>
        <c:noMultiLvlLbl val="0"/>
      </c:catAx>
      <c:valAx>
        <c:axId val="54660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1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800100</xdr:colOff>
      <xdr:row>2</xdr:row>
      <xdr:rowOff>114300</xdr:rowOff>
    </xdr:from>
    <xdr:to>
      <xdr:col>8</xdr:col>
      <xdr:colOff>419100</xdr:colOff>
      <xdr:row>16</xdr:row>
      <xdr:rowOff>12700</xdr:rowOff>
    </xdr:to>
    <xdr:graphicFrame macro="">
      <xdr:nvGraphicFramePr>
        <xdr:cNvPr id="2" name="Chart 1">
          <a:extLst>
            <a:ext uri="{FF2B5EF4-FFF2-40B4-BE49-F238E27FC236}">
              <a16:creationId xmlns:a16="http://schemas.microsoft.com/office/drawing/2014/main" id="{5430FBE0-AEF9-5D6A-73F2-735CE995E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444500</xdr:colOff>
      <xdr:row>13</xdr:row>
      <xdr:rowOff>101600</xdr:rowOff>
    </xdr:to>
    <xdr:graphicFrame macro="">
      <xdr:nvGraphicFramePr>
        <xdr:cNvPr id="2" name="Chart 1">
          <a:extLst>
            <a:ext uri="{FF2B5EF4-FFF2-40B4-BE49-F238E27FC236}">
              <a16:creationId xmlns:a16="http://schemas.microsoft.com/office/drawing/2014/main" id="{9F7C13EC-921B-374F-A420-AC5932573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812800</xdr:colOff>
      <xdr:row>0</xdr:row>
      <xdr:rowOff>0</xdr:rowOff>
    </xdr:from>
    <xdr:to>
      <xdr:col>11</xdr:col>
      <xdr:colOff>431800</xdr:colOff>
      <xdr:row>13</xdr:row>
      <xdr:rowOff>101600</xdr:rowOff>
    </xdr:to>
    <xdr:graphicFrame macro="">
      <xdr:nvGraphicFramePr>
        <xdr:cNvPr id="3" name="Chart 2">
          <a:extLst>
            <a:ext uri="{FF2B5EF4-FFF2-40B4-BE49-F238E27FC236}">
              <a16:creationId xmlns:a16="http://schemas.microsoft.com/office/drawing/2014/main" id="{B2ECC891-634A-CA46-8CA9-827507CCD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330200</xdr:colOff>
      <xdr:row>2</xdr:row>
      <xdr:rowOff>171450</xdr:rowOff>
    </xdr:from>
    <xdr:to>
      <xdr:col>7</xdr:col>
      <xdr:colOff>774700</xdr:colOff>
      <xdr:row>16</xdr:row>
      <xdr:rowOff>69850</xdr:rowOff>
    </xdr:to>
    <xdr:graphicFrame macro="">
      <xdr:nvGraphicFramePr>
        <xdr:cNvPr id="2" name="Chart 1">
          <a:extLst>
            <a:ext uri="{FF2B5EF4-FFF2-40B4-BE49-F238E27FC236}">
              <a16:creationId xmlns:a16="http://schemas.microsoft.com/office/drawing/2014/main" id="{48E09E95-D8BA-BB39-5DB8-7ED7211F6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126.545281018516" createdVersion="8" refreshedVersion="8" minRefreshableVersion="3" recordCount="114" xr:uid="{892AB2AD-80F7-8E47-BEBA-E719F57B58DA}">
  <cacheSource type="worksheet">
    <worksheetSource ref="A1:AS1048576" sheet="trainline_april26_csv_fordraggi"/>
  </cacheSource>
  <cacheFields count="45">
    <cacheField name="session_start" numFmtId="0">
      <sharedItems containsBlank="1"/>
    </cacheField>
    <cacheField name="month" numFmtId="0">
      <sharedItems containsNonDate="0" containsDate="1" containsString="0" containsBlank="1" minDate="2025-01-01T00:00:00" maxDate="2026-04-02T00:00:00" count="17">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m/>
      </sharedItems>
    </cacheField>
    <cacheField name="day_of_week" numFmtId="0">
      <sharedItems containsBlank="1"/>
    </cacheField>
    <cacheField name="duration" numFmtId="0">
      <sharedItems containsNonDate="0" containsDate="1" containsString="0" containsBlank="1" minDate="1899-12-30T00:11:34" maxDate="1899-12-30T00:39:16"/>
    </cacheField>
    <cacheField name="level" numFmtId="0">
      <sharedItems containsString="0" containsBlank="1" containsNumber="1" containsInteger="1" minValue="4" maxValue="33"/>
    </cacheField>
    <cacheField name="name" numFmtId="0">
      <sharedItems containsBlank="1"/>
    </cacheField>
    <cacheField name="player" numFmtId="0">
      <sharedItems containsBlank="1" count="13">
        <s v="sangeetha.niranjan"/>
        <s v="calum.mcdowell"/>
        <s v="shivanand.hebballi"/>
        <s v="reza.imany"/>
        <s v="jamie.buchanan"/>
        <s v="sankalp.bartariya"/>
        <s v="venkat.raopotala"/>
        <s v="roberta.roccia"/>
        <s v="hamsa.iman"/>
        <s v="soumya.jk"/>
        <s v="fraser.gillies"/>
        <s v="ashfaq.hussain"/>
        <m/>
      </sharedItems>
    </cacheField>
    <cacheField name="completion_status" numFmtId="0">
      <sharedItems containsBlank="1"/>
    </cacheField>
    <cacheField name="identify_scope" numFmtId="0">
      <sharedItems containsBlank="1" containsMixedTypes="1" containsNumber="1" containsInteger="1" minValue="0" maxValue="0"/>
    </cacheField>
    <cacheField name="incident_mechanics" numFmtId="0">
      <sharedItems containsBlank="1"/>
    </cacheField>
    <cacheField name="external_comms" numFmtId="0">
      <sharedItems containsBlank="1"/>
    </cacheField>
    <cacheField name="internal_comms" numFmtId="0">
      <sharedItems containsBlank="1"/>
    </cacheField>
    <cacheField name="commanding_the_incident" numFmtId="0">
      <sharedItems containsBlank="1" containsMixedTypes="1" containsNumber="1" containsInteger="1" minValue="0" maxValue="0"/>
    </cacheField>
    <cacheField name="Complexity: Ambiguous cues (multiple alternatives)" numFmtId="0">
      <sharedItems containsString="0" containsBlank="1" containsNumber="1" containsInteger="1" minValue="0" maxValue="1"/>
    </cacheField>
    <cacheField name="Complexity: Attention Demands" numFmtId="0">
      <sharedItems containsString="0" containsBlank="1" containsNumber="1" containsInteger="1" minValue="0" maxValue="1"/>
    </cacheField>
    <cacheField name="Complexity: Conflicting Advice" numFmtId="0">
      <sharedItems containsString="0" containsBlank="1" containsNumber="1" containsInteger="1" minValue="0" maxValue="1"/>
    </cacheField>
    <cacheField name="Complexity: Decreased access to team members" numFmtId="0">
      <sharedItems containsString="0" containsBlank="1" containsNumber="1" containsInteger="1" minValue="0" maxValue="1"/>
    </cacheField>
    <cacheField name="Complexity: Distributed information across individuals/organiza" numFmtId="0">
      <sharedItems containsString="0" containsBlank="1" containsNumber="1" containsInteger="1" minValue="0" maxValue="1"/>
    </cacheField>
    <cacheField name="Complexity: Doublebind situations (dilemmas)" numFmtId="0">
      <sharedItems containsString="0" containsBlank="1" containsNumber="1" containsInteger="1" minValue="0" maxValue="1"/>
    </cacheField>
    <cacheField name="Complexity: False prime explanations (garden path)" numFmtId="0">
      <sharedItems containsString="0" containsBlank="1" containsNumber="1" containsInteger="1" minValue="0" maxValue="1"/>
    </cacheField>
    <cacheField name="Complexity: Hidden coupling (effects at a distance; cascading e" numFmtId="0">
      <sharedItems containsString="0" containsBlank="1" containsNumber="1" containsInteger="1" minValue="0" maxValue="1"/>
    </cacheField>
    <cacheField name="Complexity: Implied relationship (red herring)" numFmtId="0">
      <sharedItems containsString="0" containsBlank="1" containsNumber="1" containsInteger="1" minValue="0" maxValue="1"/>
    </cacheField>
    <cacheField name="Complexity: Interdependencies amongst roles (someone needs some" numFmtId="0">
      <sharedItems containsString="0" containsBlank="1" containsNumber="1" containsInteger="1" minValue="0" maxValue="1"/>
    </cacheField>
    <cacheField name="Complexity: Lack of predefined plan" numFmtId="0">
      <sharedItems containsString="0" containsBlank="1" containsNumber="1" containsInteger="1" minValue="0" maxValue="1"/>
    </cacheField>
    <cacheField name="Complexity: Misleading indicators (low predictive value)" numFmtId="0">
      <sharedItems containsString="0" containsBlank="1" containsNumber="1" containsInteger="1" minValue="0" maxValue="1"/>
    </cacheField>
    <cacheField name="Complexity: Mismatch between prede fined plans or procedures an" numFmtId="0">
      <sharedItems containsString="0" containsBlank="1" containsNumber="1" containsInteger="1" minValue="0" maxValue="1"/>
    </cacheField>
    <cacheField name="Complexity: Missing Information" numFmtId="0">
      <sharedItems containsString="0" containsBlank="1" containsNumber="1" containsInteger="1" minValue="0" maxValue="1"/>
    </cacheField>
    <cacheField name="Complexity: Multi Party Dilema" numFmtId="0">
      <sharedItems containsString="0" containsBlank="1" containsNumber="1" containsInteger="1" minValue="0" maxValue="1"/>
    </cacheField>
    <cacheField name="Complexity: Multiple simultaneous influences (more than one exp" numFmtId="0">
      <sharedItems containsString="0" containsBlank="1" containsNumber="1" containsInteger="1" minValue="0" maxValue="1"/>
    </cacheField>
    <cacheField name="Complexity: Multiple simultaneous influences (multiple explanat" numFmtId="0">
      <sharedItems containsString="0" containsBlank="1" containsNumber="1" containsInteger="1" minValue="0" maxValue="1"/>
    </cacheField>
    <cacheField name="Complexity: Saturation" numFmtId="0">
      <sharedItems containsString="0" containsBlank="1" containsNumber="1" containsInteger="1" minValue="0" maxValue="1"/>
    </cacheField>
    <cacheField name="Complexity: Simultaneous seperate issues" numFmtId="0">
      <sharedItems containsString="0" containsBlank="1" containsNumber="1" containsInteger="1" minValue="0" maxValue="1"/>
    </cacheField>
    <cacheField name="Complexity: Stakeholder Interference" numFmtId="0">
      <sharedItems containsString="0" containsBlank="1" containsNumber="1" containsInteger="1" minValue="0" maxValue="1"/>
    </cacheField>
    <cacheField name="Complexity: Stereotype violations (not the usual suspect)" numFmtId="0">
      <sharedItems containsString="0" containsBlank="1" containsNumber="1" containsInteger="1" minValue="0" maxValue="1"/>
    </cacheField>
    <cacheField name="Complexity: Stress or fatigue" numFmtId="0">
      <sharedItems containsString="0" containsBlank="1" containsNumber="1" containsInteger="1" minValue="0" maxValue="1"/>
    </cacheField>
    <cacheField name="Complexity: Uncertain information (unreliable data)" numFmtId="0">
      <sharedItems containsString="0" containsBlank="1" containsNumber="1" containsInteger="1" minValue="0" maxValue="1"/>
    </cacheField>
    <cacheField name="Complexity: Unintended effects (managing side effects)" numFmtId="0">
      <sharedItems containsString="0" containsBlank="1" containsNumber="1" containsInteger="1" minValue="0" maxValue="1"/>
    </cacheField>
    <cacheField name="Complexity: Absence of strong signals (no alarms, no threshold" numFmtId="0">
      <sharedItems containsString="0" containsBlank="1" containsNumber="1" containsInteger="1" minValue="0" maxValue="1"/>
    </cacheField>
    <cacheField name="max" numFmtId="0">
      <sharedItems containsBlank="1"/>
    </cacheField>
    <cacheField name="Category: Detecting" numFmtId="0">
      <sharedItems containsString="0" containsBlank="1" containsNumber="1" containsInteger="1" minValue="0" maxValue="1"/>
    </cacheField>
    <cacheField name="Category: Sensemaking" numFmtId="0">
      <sharedItems containsString="0" containsBlank="1" containsNumber="1" containsInteger="1" minValue="0" maxValue="4"/>
    </cacheField>
    <cacheField name="Category: Planning" numFmtId="0">
      <sharedItems containsString="0" containsBlank="1" containsNumber="1" containsInteger="1" minValue="0" maxValue="2"/>
    </cacheField>
    <cacheField name="Category: Deciding" numFmtId="0">
      <sharedItems containsString="0" containsBlank="1" containsNumber="1" containsInteger="1" minValue="0" maxValue="2"/>
    </cacheField>
    <cacheField name="Category: Coordination" numFmtId="0">
      <sharedItems containsString="0" containsBlank="1" containsNumber="1" containsInteger="1" minValue="0" maxValue="3"/>
    </cacheField>
    <cacheField name="Category: Executin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126.547771527781" createdVersion="8" refreshedVersion="8" minRefreshableVersion="3" recordCount="138" xr:uid="{A59B5FD0-C254-AF43-9AD2-12C28E12AF10}">
  <cacheSource type="worksheet">
    <worksheetSource ref="A1:V1048576" sheet="GUOT"/>
  </cacheSource>
  <cacheFields count="22">
    <cacheField name="Date" numFmtId="0">
      <sharedItems containsNonDate="0" containsDate="1" containsString="0" containsBlank="1" minDate="2025-03-05T00:00:00" maxDate="2026-04-10T00:00:00"/>
    </cacheField>
    <cacheField name="month" numFmtId="0">
      <sharedItems containsNonDate="0" containsDate="1" containsString="0" containsBlank="1" minDate="2025-03-01T00:00:00" maxDate="2026-04-02T00:00:00" count="15">
        <d v="2025-03-01T00:00:00"/>
        <d v="2025-04-01T00:00:00"/>
        <d v="2025-05-01T00:00:00"/>
        <d v="2025-06-01T00:00:00"/>
        <d v="2025-07-01T00:00:00"/>
        <d v="2025-08-01T00:00:00"/>
        <d v="2025-09-01T00:00:00"/>
        <d v="2025-10-01T00:00:00"/>
        <d v="2025-11-01T00:00:00"/>
        <d v="2025-12-01T00:00:00"/>
        <d v="2026-01-01T00:00:00"/>
        <d v="2026-02-01T00:00:00"/>
        <d v="2026-03-01T00:00:00"/>
        <d v="2026-04-01T00:00:00"/>
        <m/>
      </sharedItems>
    </cacheField>
    <cacheField name="Time" numFmtId="0">
      <sharedItems containsNonDate="0" containsDate="1" containsString="0" containsBlank="1" minDate="1899-12-30T10:30:00" maxDate="1899-12-30T16:00:00"/>
    </cacheField>
    <cacheField name="Name" numFmtId="0">
      <sharedItems containsBlank="1"/>
    </cacheField>
    <cacheField name="Company" numFmtId="0">
      <sharedItems containsBlank="1"/>
    </cacheField>
    <cacheField name="Sessions Done" numFmtId="0">
      <sharedItems containsBlank="1" containsMixedTypes="1" containsNumber="1" containsInteger="1" minValue="7" maxValue="32"/>
    </cacheField>
    <cacheField name="Session Plan" numFmtId="0">
      <sharedItems containsBlank="1"/>
    </cacheField>
    <cacheField name="AI" numFmtId="0">
      <sharedItems containsBlank="1"/>
    </cacheField>
    <cacheField name="Lead" numFmtId="0">
      <sharedItems containsBlank="1"/>
    </cacheField>
    <cacheField name="Star Guru" numFmtId="0">
      <sharedItems containsBlank="1"/>
    </cacheField>
    <cacheField name="Session Notes" numFmtId="0">
      <sharedItems containsBlank="1"/>
    </cacheField>
    <cacheField name="GUOT" numFmtId="0">
      <sharedItems containsBlank="1" containsMixedTypes="1" containsNumber="1" containsInteger="1" minValue="4" maxValue="10"/>
    </cacheField>
    <cacheField name="Score Notes" numFmtId="0">
      <sharedItems containsBlank="1" longText="1"/>
    </cacheField>
    <cacheField name="Session ID" numFmtId="0">
      <sharedItems containsString="0" containsBlank="1" containsNumber="1" containsInteger="1" minValue="3597" maxValue="8370"/>
    </cacheField>
    <cacheField name="Feedback Quality Score" numFmtId="0">
      <sharedItems containsBlank="1"/>
    </cacheField>
    <cacheField name="Feedback Notes" numFmtId="0">
      <sharedItems containsNonDate="0" containsString="0" containsBlank="1"/>
    </cacheField>
    <cacheField name="Attendance" numFmtId="0">
      <sharedItems containsBlank="1"/>
    </cacheField>
    <cacheField name="Attendance Reason" numFmtId="0">
      <sharedItems containsNonDate="0" containsString="0" containsBlank="1"/>
    </cacheField>
    <cacheField name="INC #" numFmtId="0">
      <sharedItems containsBlank="1"/>
    </cacheField>
    <cacheField name="Technical Issues" numFmtId="0">
      <sharedItems containsBlank="1"/>
    </cacheField>
    <cacheField name="Technical Issue Reason" numFmtId="0">
      <sharedItems containsBlank="1"/>
    </cacheField>
    <cacheField name="Notes for Mildr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s v="2025-01-09 00:00:00.000 +0000"/>
    <x v="0"/>
    <s v="Thursday "/>
    <d v="1899-12-30T00:20:01"/>
    <n v="4"/>
    <s v="Roblox"/>
    <x v="0"/>
    <s v="OUT_OF_TIME"/>
    <s v="0.66666666666666666667"/>
    <s v="1.00000000000000000000"/>
    <s v="0.66666666666666666667"/>
    <s v="0.60000000000000000000"/>
    <s v="0.36363636363636363636"/>
    <n v="1"/>
    <n v="0"/>
    <n v="0"/>
    <n v="0"/>
    <n v="0"/>
    <n v="0"/>
    <n v="0"/>
    <n v="0"/>
    <n v="0"/>
    <n v="0"/>
    <n v="0"/>
    <n v="0"/>
    <n v="0"/>
    <n v="0"/>
    <n v="1"/>
    <n v="0"/>
    <n v="1"/>
    <n v="0"/>
    <n v="1"/>
    <n v="0"/>
    <n v="0"/>
    <n v="0"/>
    <n v="0"/>
    <n v="0"/>
    <n v="0"/>
    <s v="-"/>
    <n v="1"/>
    <n v="4"/>
    <n v="1"/>
    <n v="1"/>
    <n v="1"/>
    <n v="1"/>
  </r>
  <r>
    <s v="2025-01-10 00:00:00.000 +0000"/>
    <x v="0"/>
    <s v="Friday   "/>
    <d v="1899-12-30T00:20:02"/>
    <n v="6"/>
    <s v="The Big Investor"/>
    <x v="1"/>
    <s v="OUT_OF_TIME"/>
    <s v="0.22222222222222222222"/>
    <s v="0.50000000000000000000"/>
    <s v="0.50000000000000000000"/>
    <s v="0.53333333333333333333"/>
    <s v="0.27272727272727272727"/>
    <n v="0"/>
    <n v="0"/>
    <n v="0"/>
    <n v="0"/>
    <n v="0"/>
    <n v="0"/>
    <n v="0"/>
    <n v="0"/>
    <n v="1"/>
    <n v="0"/>
    <n v="0"/>
    <n v="0"/>
    <n v="0"/>
    <n v="0"/>
    <n v="0"/>
    <n v="0"/>
    <n v="0"/>
    <n v="0"/>
    <n v="0"/>
    <n v="1"/>
    <n v="1"/>
    <n v="1"/>
    <n v="0"/>
    <n v="0"/>
    <n v="0"/>
    <s v="-"/>
    <n v="0"/>
    <n v="2"/>
    <n v="0"/>
    <n v="2"/>
    <n v="0"/>
    <n v="0"/>
  </r>
  <r>
    <s v="2025-01-10 00:00:00.000 +0000"/>
    <x v="0"/>
    <s v="Friday   "/>
    <d v="1899-12-30T00:23:56"/>
    <n v="18"/>
    <s v="The Switch"/>
    <x v="2"/>
    <s v="COMPLETED"/>
    <s v="0.44444444444444444444"/>
    <s v="1.00000000000000000000"/>
    <s v="0.66666666666666666667"/>
    <s v="0.46666666666666666667"/>
    <s v="0.36363636363636363636"/>
    <n v="0"/>
    <n v="0"/>
    <n v="0"/>
    <n v="0"/>
    <n v="1"/>
    <n v="0"/>
    <n v="1"/>
    <n v="1"/>
    <n v="0"/>
    <n v="0"/>
    <n v="0"/>
    <n v="1"/>
    <n v="0"/>
    <n v="0"/>
    <n v="0"/>
    <n v="0"/>
    <n v="0"/>
    <n v="0"/>
    <n v="0"/>
    <n v="0"/>
    <n v="0"/>
    <n v="0"/>
    <n v="0"/>
    <n v="1"/>
    <n v="0"/>
    <s v="-"/>
    <n v="0"/>
    <n v="3"/>
    <n v="1"/>
    <n v="0"/>
    <n v="1"/>
    <n v="1"/>
  </r>
  <r>
    <s v="2025-01-13 00:00:00.000 +0000"/>
    <x v="0"/>
    <s v="Monday   "/>
    <d v="1899-12-30T00:25:02"/>
    <n v="8"/>
    <s v="The Chain"/>
    <x v="3"/>
    <s v="OUT_OF_TIME"/>
    <s v="0.44444444444444444444"/>
    <s v="1.00000000000000000000"/>
    <s v="0.83333333333333333333"/>
    <s v="0.60000000000000000000"/>
    <s v="0.36363636363636363636"/>
    <n v="0"/>
    <n v="0"/>
    <n v="0"/>
    <n v="0"/>
    <n v="0"/>
    <n v="0"/>
    <n v="0"/>
    <n v="1"/>
    <n v="0"/>
    <n v="0"/>
    <n v="0"/>
    <n v="0"/>
    <n v="1"/>
    <n v="0"/>
    <n v="0"/>
    <n v="0"/>
    <n v="0"/>
    <n v="0"/>
    <n v="0"/>
    <n v="0"/>
    <n v="0"/>
    <n v="0"/>
    <n v="0"/>
    <n v="1"/>
    <n v="0"/>
    <s v="-"/>
    <n v="0"/>
    <n v="1"/>
    <n v="2"/>
    <n v="0"/>
    <n v="0"/>
    <n v="1"/>
  </r>
  <r>
    <s v="2025-01-17 00:00:00.000 +0000"/>
    <x v="0"/>
    <s v="Friday   "/>
    <d v="1899-12-30T00:20:02"/>
    <n v="16"/>
    <s v="Radio Silence"/>
    <x v="4"/>
    <s v="OUT_OF_TIME"/>
    <s v="0.55555555555555555556"/>
    <s v="1.00000000000000000000"/>
    <s v="0.33333333333333333333"/>
    <s v="0.40000000000000000000"/>
    <s v="0.45454545454545454545"/>
    <n v="0"/>
    <n v="0"/>
    <n v="0"/>
    <n v="1"/>
    <n v="0"/>
    <n v="0"/>
    <n v="0"/>
    <n v="0"/>
    <n v="0"/>
    <n v="0"/>
    <n v="0"/>
    <n v="0"/>
    <n v="0"/>
    <n v="1"/>
    <n v="0"/>
    <n v="0"/>
    <n v="0"/>
    <n v="0"/>
    <n v="0"/>
    <n v="0"/>
    <n v="0"/>
    <n v="0"/>
    <n v="0"/>
    <n v="0"/>
    <n v="0"/>
    <s v="-"/>
    <n v="0"/>
    <n v="1"/>
    <n v="0"/>
    <n v="0"/>
    <n v="1"/>
    <n v="0"/>
  </r>
  <r>
    <s v="2025-01-22 00:00:00.000 +0000"/>
    <x v="0"/>
    <s v="Wednesday"/>
    <d v="1899-12-30T00:25:12"/>
    <n v="18"/>
    <s v="The Switch"/>
    <x v="5"/>
    <s v="COMPLETED"/>
    <s v="0.33333333333333333333"/>
    <s v="1.00000000000000000000"/>
    <s v="0.83333333333333333333"/>
    <s v="0.40000000000000000000"/>
    <s v="0.36363636363636363636"/>
    <n v="0"/>
    <n v="0"/>
    <n v="0"/>
    <n v="0"/>
    <n v="1"/>
    <n v="0"/>
    <n v="1"/>
    <n v="1"/>
    <n v="0"/>
    <n v="0"/>
    <n v="0"/>
    <n v="1"/>
    <n v="0"/>
    <n v="0"/>
    <n v="0"/>
    <n v="0"/>
    <n v="0"/>
    <n v="0"/>
    <n v="0"/>
    <n v="0"/>
    <n v="0"/>
    <n v="0"/>
    <n v="0"/>
    <n v="1"/>
    <n v="0"/>
    <s v="-"/>
    <n v="0"/>
    <n v="3"/>
    <n v="1"/>
    <n v="0"/>
    <n v="1"/>
    <n v="1"/>
  </r>
  <r>
    <s v="2025-01-24 00:00:00.000 +0000"/>
    <x v="0"/>
    <s v="Friday   "/>
    <d v="1899-12-30T00:19:10"/>
    <n v="4"/>
    <s v="Roblox"/>
    <x v="1"/>
    <s v="COMPLETED"/>
    <s v="0.55555555555555555556"/>
    <s v="1.00000000000000000000"/>
    <s v="0.50000000000000000000"/>
    <s v="0.53333333333333333333"/>
    <s v="0.36363636363636363636"/>
    <n v="1"/>
    <n v="0"/>
    <n v="0"/>
    <n v="0"/>
    <n v="0"/>
    <n v="0"/>
    <n v="0"/>
    <n v="0"/>
    <n v="0"/>
    <n v="0"/>
    <n v="0"/>
    <n v="0"/>
    <n v="0"/>
    <n v="0"/>
    <n v="1"/>
    <n v="0"/>
    <n v="1"/>
    <n v="0"/>
    <n v="1"/>
    <n v="0"/>
    <n v="0"/>
    <n v="0"/>
    <n v="0"/>
    <n v="0"/>
    <n v="0"/>
    <s v="-"/>
    <n v="1"/>
    <n v="4"/>
    <n v="1"/>
    <n v="1"/>
    <n v="1"/>
    <n v="1"/>
  </r>
  <r>
    <s v="2025-01-27 00:00:00.000 +0000"/>
    <x v="0"/>
    <s v="Monday   "/>
    <d v="1899-12-30T00:21:52"/>
    <n v="18"/>
    <s v="The Switch"/>
    <x v="3"/>
    <s v="COMPLETED"/>
    <s v="0.33333333333333333333"/>
    <s v="1.00000000000000000000"/>
    <s v="0.83333333333333333333"/>
    <s v="0.60000000000000000000"/>
    <s v="0.36363636363636363636"/>
    <n v="0"/>
    <n v="0"/>
    <n v="0"/>
    <n v="0"/>
    <n v="1"/>
    <n v="0"/>
    <n v="1"/>
    <n v="1"/>
    <n v="0"/>
    <n v="0"/>
    <n v="0"/>
    <n v="1"/>
    <n v="0"/>
    <n v="0"/>
    <n v="0"/>
    <n v="0"/>
    <n v="0"/>
    <n v="0"/>
    <n v="0"/>
    <n v="0"/>
    <n v="0"/>
    <n v="0"/>
    <n v="0"/>
    <n v="1"/>
    <n v="0"/>
    <s v="-"/>
    <n v="0"/>
    <n v="3"/>
    <n v="1"/>
    <n v="0"/>
    <n v="1"/>
    <n v="1"/>
  </r>
  <r>
    <s v="2025-01-31 00:00:00.000 +0000"/>
    <x v="0"/>
    <s v="Friday   "/>
    <d v="1899-12-30T00:20:07"/>
    <n v="4"/>
    <s v="Roblox"/>
    <x v="4"/>
    <s v="COMPLETED"/>
    <s v="0.55555555555555555556"/>
    <s v="1.00000000000000000000"/>
    <s v="0.66666666666666666667"/>
    <s v="0.33333333333333333333"/>
    <s v="0.45454545454545454545"/>
    <n v="1"/>
    <n v="0"/>
    <n v="0"/>
    <n v="0"/>
    <n v="0"/>
    <n v="0"/>
    <n v="0"/>
    <n v="0"/>
    <n v="0"/>
    <n v="0"/>
    <n v="0"/>
    <n v="0"/>
    <n v="0"/>
    <n v="0"/>
    <n v="1"/>
    <n v="0"/>
    <n v="1"/>
    <n v="0"/>
    <n v="1"/>
    <n v="0"/>
    <n v="0"/>
    <n v="0"/>
    <n v="0"/>
    <n v="0"/>
    <n v="0"/>
    <s v="-"/>
    <n v="1"/>
    <n v="4"/>
    <n v="1"/>
    <n v="1"/>
    <n v="1"/>
    <n v="1"/>
  </r>
  <r>
    <s v="2025-01-31 00:00:00.000 +0000"/>
    <x v="0"/>
    <s v="Friday   "/>
    <d v="1899-12-30T00:25:01"/>
    <n v="8"/>
    <s v="The Chain"/>
    <x v="6"/>
    <s v="OUT_OF_TIME"/>
    <s v="0.44444444444444444444"/>
    <s v="1.00000000000000000000"/>
    <s v="0.66666666666666666667"/>
    <s v="0.46666666666666666667"/>
    <s v="0.36363636363636363636"/>
    <n v="0"/>
    <n v="0"/>
    <n v="0"/>
    <n v="0"/>
    <n v="0"/>
    <n v="0"/>
    <n v="0"/>
    <n v="1"/>
    <n v="0"/>
    <n v="0"/>
    <n v="0"/>
    <n v="0"/>
    <n v="1"/>
    <n v="0"/>
    <n v="0"/>
    <n v="0"/>
    <n v="0"/>
    <n v="0"/>
    <n v="0"/>
    <n v="0"/>
    <n v="0"/>
    <n v="0"/>
    <n v="0"/>
    <n v="1"/>
    <n v="0"/>
    <s v="-"/>
    <n v="0"/>
    <n v="1"/>
    <n v="2"/>
    <n v="0"/>
    <n v="0"/>
    <n v="1"/>
  </r>
  <r>
    <s v="2025-02-06 00:00:00.000 +0000"/>
    <x v="1"/>
    <s v="Thursday "/>
    <d v="1899-12-30T00:17:41"/>
    <n v="16"/>
    <s v="Radio Silence"/>
    <x v="0"/>
    <s v="COMPLETED"/>
    <s v="0.55555555555555555556"/>
    <s v="1.00000000000000000000"/>
    <s v="0.66666666666666666667"/>
    <s v="0.53333333333333333333"/>
    <s v="0.45454545454545454545"/>
    <n v="0"/>
    <n v="0"/>
    <n v="0"/>
    <n v="1"/>
    <n v="0"/>
    <n v="0"/>
    <n v="0"/>
    <n v="0"/>
    <n v="0"/>
    <n v="0"/>
    <n v="0"/>
    <n v="0"/>
    <n v="0"/>
    <n v="1"/>
    <n v="0"/>
    <n v="0"/>
    <n v="0"/>
    <n v="0"/>
    <n v="0"/>
    <n v="0"/>
    <n v="0"/>
    <n v="0"/>
    <n v="0"/>
    <n v="0"/>
    <n v="0"/>
    <s v="-"/>
    <n v="0"/>
    <n v="1"/>
    <n v="0"/>
    <n v="0"/>
    <n v="1"/>
    <n v="0"/>
  </r>
  <r>
    <s v="2025-02-11 00:00:00.000 +0000"/>
    <x v="1"/>
    <s v="Tuesday  "/>
    <d v="1899-12-30T00:25:01"/>
    <n v="17"/>
    <s v="Version confusion"/>
    <x v="2"/>
    <s v="OUT_OF_TIME"/>
    <s v="0.44444444444444444444"/>
    <s v="1.00000000000000000000"/>
    <s v="0.50000000000000000000"/>
    <s v="0.26666666666666666667"/>
    <s v="0.27272727272727272727"/>
    <n v="0"/>
    <n v="0"/>
    <n v="0"/>
    <n v="0"/>
    <n v="1"/>
    <n v="0"/>
    <n v="1"/>
    <n v="0"/>
    <n v="0"/>
    <n v="0"/>
    <n v="0"/>
    <n v="1"/>
    <n v="0"/>
    <n v="0"/>
    <n v="0"/>
    <n v="0"/>
    <n v="0"/>
    <n v="0"/>
    <n v="0"/>
    <n v="0"/>
    <n v="0"/>
    <n v="0"/>
    <n v="0"/>
    <n v="0"/>
    <n v="0"/>
    <s v="-"/>
    <n v="0"/>
    <n v="2"/>
    <n v="0"/>
    <n v="0"/>
    <n v="1"/>
    <n v="0"/>
  </r>
  <r>
    <s v="2025-02-13 00:00:00.000 +0000"/>
    <x v="1"/>
    <s v="Thursday "/>
    <d v="1899-12-30T00:20:09"/>
    <n v="26"/>
    <s v="Discount Disaster"/>
    <x v="1"/>
    <s v="COMPLETED"/>
    <s v="0.66666666666666666667"/>
    <s v="1.00000000000000000000"/>
    <s v="0.83333333333333333333"/>
    <s v="0.46666666666666666667"/>
    <s v="0.27272727272727272727"/>
    <n v="0"/>
    <n v="0"/>
    <n v="0"/>
    <n v="0"/>
    <n v="0"/>
    <n v="0"/>
    <n v="1"/>
    <n v="0"/>
    <n v="0"/>
    <n v="0"/>
    <n v="0"/>
    <n v="1"/>
    <n v="0"/>
    <n v="0"/>
    <n v="0"/>
    <n v="1"/>
    <n v="0"/>
    <n v="0"/>
    <n v="0"/>
    <n v="0"/>
    <n v="0"/>
    <n v="0"/>
    <n v="0"/>
    <n v="0"/>
    <n v="0"/>
    <s v="-"/>
    <n v="0"/>
    <n v="2"/>
    <n v="0"/>
    <n v="0"/>
    <n v="0"/>
    <n v="0"/>
  </r>
  <r>
    <s v="2025-02-14 00:00:00.000 +0000"/>
    <x v="1"/>
    <s v="Friday   "/>
    <d v="1899-12-30T00:25:01"/>
    <n v="8"/>
    <s v="The Chain"/>
    <x v="4"/>
    <s v="OUT_OF_TIME"/>
    <s v="0.44444444444444444444"/>
    <s v="1.00000000000000000000"/>
    <s v="0.66666666666666666667"/>
    <s v="0.13333333333333333333"/>
    <s v="0.09090909090909090909"/>
    <n v="0"/>
    <n v="0"/>
    <n v="0"/>
    <n v="0"/>
    <n v="0"/>
    <n v="0"/>
    <n v="0"/>
    <n v="1"/>
    <n v="0"/>
    <n v="0"/>
    <n v="0"/>
    <n v="0"/>
    <n v="1"/>
    <n v="0"/>
    <n v="0"/>
    <n v="0"/>
    <n v="0"/>
    <n v="0"/>
    <n v="0"/>
    <n v="0"/>
    <n v="0"/>
    <n v="0"/>
    <n v="0"/>
    <n v="1"/>
    <n v="0"/>
    <s v="-"/>
    <n v="0"/>
    <n v="1"/>
    <n v="2"/>
    <n v="0"/>
    <n v="0"/>
    <n v="1"/>
  </r>
  <r>
    <s v="2025-02-20 00:00:00.000 +0000"/>
    <x v="1"/>
    <s v="Thursday "/>
    <d v="1899-12-30T00:19:06"/>
    <n v="26"/>
    <s v="Discount Disaster"/>
    <x v="0"/>
    <s v="COMPLETED"/>
    <s v="0.77777777777777777778"/>
    <s v="1.00000000000000000000"/>
    <s v="0.83333333333333333333"/>
    <s v="0.60000000000000000000"/>
    <s v="0.45454545454545454545"/>
    <n v="0"/>
    <n v="0"/>
    <n v="0"/>
    <n v="0"/>
    <n v="0"/>
    <n v="0"/>
    <n v="1"/>
    <n v="0"/>
    <n v="0"/>
    <n v="0"/>
    <n v="0"/>
    <n v="1"/>
    <n v="0"/>
    <n v="0"/>
    <n v="0"/>
    <n v="1"/>
    <n v="0"/>
    <n v="0"/>
    <n v="0"/>
    <n v="0"/>
    <n v="0"/>
    <n v="0"/>
    <n v="0"/>
    <n v="0"/>
    <n v="0"/>
    <s v="-"/>
    <n v="0"/>
    <n v="2"/>
    <n v="0"/>
    <n v="0"/>
    <n v="0"/>
    <n v="0"/>
  </r>
  <r>
    <s v="2025-02-24 00:00:00.000 +0000"/>
    <x v="1"/>
    <s v="Monday   "/>
    <d v="1899-12-30T00:25:51"/>
    <n v="26"/>
    <s v="Discount Disaster"/>
    <x v="3"/>
    <s v="COMPLETED"/>
    <s v="0.66666666666666666667"/>
    <s v="1.00000000000000000000"/>
    <s v="0.66666666666666666667"/>
    <s v="0.20000000000000000000"/>
    <s v="0.36363636363636363636"/>
    <n v="0"/>
    <n v="0"/>
    <n v="0"/>
    <n v="0"/>
    <n v="0"/>
    <n v="0"/>
    <n v="1"/>
    <n v="0"/>
    <n v="0"/>
    <n v="0"/>
    <n v="0"/>
    <n v="1"/>
    <n v="0"/>
    <n v="0"/>
    <n v="0"/>
    <n v="1"/>
    <n v="0"/>
    <n v="0"/>
    <n v="0"/>
    <n v="0"/>
    <n v="0"/>
    <n v="0"/>
    <n v="0"/>
    <n v="0"/>
    <n v="0"/>
    <s v="-"/>
    <n v="0"/>
    <n v="2"/>
    <n v="0"/>
    <n v="0"/>
    <n v="0"/>
    <n v="0"/>
  </r>
  <r>
    <s v="2025-02-25 00:00:00.000 +0000"/>
    <x v="1"/>
    <s v="Tuesday  "/>
    <d v="1899-12-30T00:30:21"/>
    <n v="26"/>
    <s v="Discount Disaster"/>
    <x v="2"/>
    <s v="COMPLETED"/>
    <s v="0.77777777777777777778"/>
    <s v="1.00000000000000000000"/>
    <s v="0.66666666666666666667"/>
    <s v="0.53333333333333333333"/>
    <s v="0.36363636363636363636"/>
    <n v="0"/>
    <n v="0"/>
    <n v="0"/>
    <n v="0"/>
    <n v="0"/>
    <n v="0"/>
    <n v="1"/>
    <n v="0"/>
    <n v="0"/>
    <n v="0"/>
    <n v="0"/>
    <n v="1"/>
    <n v="0"/>
    <n v="0"/>
    <n v="0"/>
    <n v="1"/>
    <n v="0"/>
    <n v="0"/>
    <n v="0"/>
    <n v="0"/>
    <n v="0"/>
    <n v="0"/>
    <n v="0"/>
    <n v="0"/>
    <n v="0"/>
    <s v="-"/>
    <n v="0"/>
    <n v="2"/>
    <n v="0"/>
    <n v="0"/>
    <n v="0"/>
    <n v="0"/>
  </r>
  <r>
    <s v="2025-03-05 00:00:00.000 +0000"/>
    <x v="2"/>
    <s v="Wednesday"/>
    <d v="1899-12-30T00:21:33"/>
    <n v="26"/>
    <s v="Discount Disaster"/>
    <x v="5"/>
    <s v="COMPLETED"/>
    <s v="0.77777777777777777778"/>
    <s v="1.00000000000000000000"/>
    <s v="0.66666666666666666667"/>
    <s v="0.66666666666666666667"/>
    <s v="0.54545454545454545455"/>
    <n v="0"/>
    <n v="0"/>
    <n v="0"/>
    <n v="0"/>
    <n v="0"/>
    <n v="0"/>
    <n v="1"/>
    <n v="0"/>
    <n v="0"/>
    <n v="0"/>
    <n v="0"/>
    <n v="1"/>
    <n v="0"/>
    <n v="0"/>
    <n v="0"/>
    <n v="1"/>
    <n v="0"/>
    <n v="0"/>
    <n v="0"/>
    <n v="0"/>
    <n v="0"/>
    <n v="0"/>
    <n v="0"/>
    <n v="0"/>
    <n v="0"/>
    <s v="-"/>
    <n v="0"/>
    <n v="2"/>
    <n v="0"/>
    <n v="0"/>
    <n v="0"/>
    <n v="0"/>
  </r>
  <r>
    <s v="2025-03-07 00:00:00.000 +0000"/>
    <x v="2"/>
    <s v="Friday   "/>
    <d v="1899-12-30T00:28:58"/>
    <n v="26"/>
    <s v="Discount Disaster"/>
    <x v="6"/>
    <s v="COMPLETED"/>
    <s v="0.55555555555555555556"/>
    <s v="1.00000000000000000000"/>
    <s v="0.83333333333333333333"/>
    <s v="0.46666666666666666667"/>
    <s v="0.36363636363636363636"/>
    <n v="0"/>
    <n v="0"/>
    <n v="0"/>
    <n v="0"/>
    <n v="0"/>
    <n v="0"/>
    <n v="1"/>
    <n v="0"/>
    <n v="0"/>
    <n v="0"/>
    <n v="0"/>
    <n v="1"/>
    <n v="0"/>
    <n v="0"/>
    <n v="0"/>
    <n v="1"/>
    <n v="0"/>
    <n v="0"/>
    <n v="0"/>
    <n v="0"/>
    <n v="0"/>
    <n v="0"/>
    <n v="0"/>
    <n v="0"/>
    <n v="0"/>
    <s v="-"/>
    <n v="0"/>
    <n v="2"/>
    <n v="0"/>
    <n v="0"/>
    <n v="0"/>
    <n v="0"/>
  </r>
  <r>
    <s v="2025-03-07 00:00:00.000 +0000"/>
    <x v="2"/>
    <s v="Friday   "/>
    <d v="1899-12-30T00:22:55"/>
    <n v="26"/>
    <s v="Discount Disaster"/>
    <x v="4"/>
    <s v="COMPLETED"/>
    <s v="0.66666666666666666667"/>
    <s v="1.00000000000000000000"/>
    <s v="0.66666666666666666667"/>
    <s v="0.40000000000000000000"/>
    <s v="0.36363636363636363636"/>
    <n v="0"/>
    <n v="0"/>
    <n v="0"/>
    <n v="0"/>
    <n v="0"/>
    <n v="0"/>
    <n v="1"/>
    <n v="0"/>
    <n v="0"/>
    <n v="0"/>
    <n v="0"/>
    <n v="1"/>
    <n v="0"/>
    <n v="0"/>
    <n v="0"/>
    <n v="1"/>
    <n v="0"/>
    <n v="0"/>
    <n v="0"/>
    <n v="0"/>
    <n v="0"/>
    <n v="0"/>
    <n v="0"/>
    <n v="0"/>
    <n v="0"/>
    <s v="-"/>
    <n v="0"/>
    <n v="2"/>
    <n v="0"/>
    <n v="0"/>
    <n v="0"/>
    <n v="0"/>
  </r>
  <r>
    <s v="2025-03-12 00:00:00.000 +0000"/>
    <x v="2"/>
    <s v="Wednesday"/>
    <d v="1899-12-30T00:22:51"/>
    <n v="26"/>
    <s v="Discount Disaster"/>
    <x v="7"/>
    <s v="COMPLETED"/>
    <s v="0.44444444444444444444"/>
    <s v="1.00000000000000000000"/>
    <s v="0.66666666666666666667"/>
    <s v="0.46666666666666666667"/>
    <s v="0.27272727272727272727"/>
    <n v="0"/>
    <n v="0"/>
    <n v="0"/>
    <n v="0"/>
    <n v="0"/>
    <n v="0"/>
    <n v="1"/>
    <n v="0"/>
    <n v="0"/>
    <n v="0"/>
    <n v="0"/>
    <n v="1"/>
    <n v="0"/>
    <n v="0"/>
    <n v="0"/>
    <n v="1"/>
    <n v="0"/>
    <n v="0"/>
    <n v="0"/>
    <n v="0"/>
    <n v="0"/>
    <n v="0"/>
    <n v="0"/>
    <n v="0"/>
    <n v="0"/>
    <s v="-"/>
    <n v="0"/>
    <n v="2"/>
    <n v="0"/>
    <n v="0"/>
    <n v="0"/>
    <n v="0"/>
  </r>
  <r>
    <s v="2025-03-31 01:00:00.000 +0100"/>
    <x v="2"/>
    <s v="Monday   "/>
    <d v="1899-12-30T00:16:38"/>
    <n v="17"/>
    <s v="Version confusion"/>
    <x v="3"/>
    <s v="COMPLETED"/>
    <s v="0.44444444444444444444"/>
    <s v="1.00000000000000000000"/>
    <s v="0.66666666666666666667"/>
    <s v="0.60000000000000000000"/>
    <s v="0.36363636363636363636"/>
    <n v="0"/>
    <n v="0"/>
    <n v="0"/>
    <n v="0"/>
    <n v="1"/>
    <n v="0"/>
    <n v="1"/>
    <n v="0"/>
    <n v="0"/>
    <n v="0"/>
    <n v="0"/>
    <n v="1"/>
    <n v="0"/>
    <n v="0"/>
    <n v="0"/>
    <n v="0"/>
    <n v="0"/>
    <n v="0"/>
    <n v="0"/>
    <n v="0"/>
    <n v="0"/>
    <n v="0"/>
    <n v="0"/>
    <n v="0"/>
    <n v="0"/>
    <s v="-"/>
    <n v="0"/>
    <n v="2"/>
    <n v="0"/>
    <n v="0"/>
    <n v="1"/>
    <n v="0"/>
  </r>
  <r>
    <s v="2025-04-04 01:00:00.000 +0100"/>
    <x v="3"/>
    <s v="Friday   "/>
    <d v="1899-12-30T00:25:01"/>
    <n v="8"/>
    <s v="The Chain"/>
    <x v="1"/>
    <s v="OUT_OF_TIME"/>
    <s v="0.66666666666666666667"/>
    <s v="1.00000000000000000000"/>
    <s v="0.50000000000000000000"/>
    <s v="0.26666666666666666667"/>
    <s v="0.27272727272727272727"/>
    <n v="0"/>
    <n v="0"/>
    <n v="0"/>
    <n v="0"/>
    <n v="0"/>
    <n v="0"/>
    <n v="0"/>
    <n v="1"/>
    <n v="0"/>
    <n v="0"/>
    <n v="0"/>
    <n v="0"/>
    <n v="1"/>
    <n v="0"/>
    <n v="0"/>
    <n v="0"/>
    <n v="0"/>
    <n v="0"/>
    <n v="0"/>
    <n v="0"/>
    <n v="0"/>
    <n v="0"/>
    <n v="0"/>
    <n v="1"/>
    <n v="0"/>
    <s v="-"/>
    <n v="0"/>
    <n v="1"/>
    <n v="2"/>
    <n v="0"/>
    <n v="0"/>
    <n v="1"/>
  </r>
  <r>
    <s v="2025-04-04 01:00:00.000 +0100"/>
    <x v="3"/>
    <s v="Friday   "/>
    <d v="1899-12-30T00:25:09"/>
    <n v="17"/>
    <s v="Version confusion"/>
    <x v="4"/>
    <s v="COMPLETED"/>
    <s v="0.33333333333333333333"/>
    <s v="1.00000000000000000000"/>
    <s v="0.50000000000000000000"/>
    <s v="0.40000000000000000000"/>
    <s v="0.18181818181818181818"/>
    <n v="0"/>
    <n v="0"/>
    <n v="0"/>
    <n v="0"/>
    <n v="1"/>
    <n v="0"/>
    <n v="1"/>
    <n v="0"/>
    <n v="0"/>
    <n v="0"/>
    <n v="0"/>
    <n v="1"/>
    <n v="0"/>
    <n v="0"/>
    <n v="0"/>
    <n v="0"/>
    <n v="0"/>
    <n v="0"/>
    <n v="0"/>
    <n v="0"/>
    <n v="0"/>
    <n v="0"/>
    <n v="0"/>
    <n v="0"/>
    <n v="0"/>
    <s v="-"/>
    <n v="0"/>
    <n v="2"/>
    <n v="0"/>
    <n v="0"/>
    <n v="1"/>
    <n v="0"/>
  </r>
  <r>
    <s v="2025-04-08 01:00:00.000 +0100"/>
    <x v="3"/>
    <s v="Tuesday  "/>
    <d v="1899-12-30T00:19:46"/>
    <n v="9"/>
    <s v="Cart-astrophe"/>
    <x v="2"/>
    <s v="COMPLETED"/>
    <s v="0.44444444444444444444"/>
    <s v="1.00000000000000000000"/>
    <s v="0.66666666666666666667"/>
    <s v="0.53333333333333333333"/>
    <s v="0.27272727272727272727"/>
    <n v="0"/>
    <n v="0"/>
    <n v="0"/>
    <n v="0"/>
    <n v="0"/>
    <n v="0"/>
    <n v="0"/>
    <n v="0"/>
    <n v="0"/>
    <n v="0"/>
    <n v="0"/>
    <n v="0"/>
    <n v="0"/>
    <n v="0"/>
    <n v="0"/>
    <n v="0"/>
    <n v="0"/>
    <n v="0"/>
    <n v="0"/>
    <n v="0"/>
    <n v="0"/>
    <n v="0"/>
    <n v="0"/>
    <n v="0"/>
    <n v="0"/>
    <s v="-"/>
    <n v="0"/>
    <n v="0"/>
    <n v="0"/>
    <n v="0"/>
    <n v="0"/>
    <n v="0"/>
  </r>
  <r>
    <s v="2025-04-11 01:00:00.000 +0100"/>
    <x v="3"/>
    <s v="Friday   "/>
    <d v="1899-12-30T00:22:19"/>
    <n v="17"/>
    <s v="Version confusion"/>
    <x v="6"/>
    <s v="COMPLETED"/>
    <s v="0.66666666666666666667"/>
    <s v="1.00000000000000000000"/>
    <s v="0.83333333333333333333"/>
    <s v="0.53333333333333333333"/>
    <s v="0.36363636363636363636"/>
    <n v="0"/>
    <n v="0"/>
    <n v="0"/>
    <n v="0"/>
    <n v="1"/>
    <n v="0"/>
    <n v="1"/>
    <n v="0"/>
    <n v="0"/>
    <n v="0"/>
    <n v="0"/>
    <n v="1"/>
    <n v="0"/>
    <n v="0"/>
    <n v="0"/>
    <n v="0"/>
    <n v="0"/>
    <n v="0"/>
    <n v="0"/>
    <n v="0"/>
    <n v="0"/>
    <n v="0"/>
    <n v="0"/>
    <n v="0"/>
    <n v="0"/>
    <s v="-"/>
    <n v="0"/>
    <n v="2"/>
    <n v="0"/>
    <n v="0"/>
    <n v="1"/>
    <n v="0"/>
  </r>
  <r>
    <s v="2025-04-14 01:00:00.000 +0100"/>
    <x v="3"/>
    <s v="Monday   "/>
    <d v="1899-12-30T00:20:01"/>
    <n v="9"/>
    <s v="Cart-astrophe"/>
    <x v="3"/>
    <s v="OUT_OF_TIME"/>
    <s v="0.55555555555555555556"/>
    <s v="1.00000000000000000000"/>
    <s v="0.50000000000000000000"/>
    <s v="0.40000000000000000000"/>
    <s v="0.18181818181818181818"/>
    <n v="0"/>
    <n v="0"/>
    <n v="0"/>
    <n v="0"/>
    <n v="0"/>
    <n v="0"/>
    <n v="0"/>
    <n v="0"/>
    <n v="0"/>
    <n v="0"/>
    <n v="0"/>
    <n v="0"/>
    <n v="0"/>
    <n v="0"/>
    <n v="0"/>
    <n v="0"/>
    <n v="0"/>
    <n v="0"/>
    <n v="0"/>
    <n v="0"/>
    <n v="0"/>
    <n v="0"/>
    <n v="0"/>
    <n v="0"/>
    <n v="0"/>
    <s v="-"/>
    <n v="0"/>
    <n v="0"/>
    <n v="0"/>
    <n v="0"/>
    <n v="0"/>
    <n v="0"/>
  </r>
  <r>
    <s v="2025-04-16 01:00:00.000 +0100"/>
    <x v="3"/>
    <s v="Wednesday"/>
    <d v="1899-12-30T00:14:19"/>
    <n v="14"/>
    <s v="Missing Delivery"/>
    <x v="7"/>
    <s v="COMPLETED"/>
    <s v="0.66666666666666666667"/>
    <s v="1.00000000000000000000"/>
    <s v="0.66666666666666666667"/>
    <s v="0.66666666666666666667"/>
    <s v="0.45454545454545454545"/>
    <n v="0"/>
    <n v="0"/>
    <n v="0"/>
    <n v="0"/>
    <n v="0"/>
    <n v="0"/>
    <n v="0"/>
    <n v="0"/>
    <n v="1"/>
    <n v="1"/>
    <n v="0"/>
    <n v="0"/>
    <n v="0"/>
    <n v="0"/>
    <n v="1"/>
    <n v="0"/>
    <n v="0"/>
    <n v="0"/>
    <n v="0"/>
    <n v="0"/>
    <n v="0"/>
    <n v="0"/>
    <n v="0"/>
    <n v="0"/>
    <n v="0"/>
    <s v="-"/>
    <n v="1"/>
    <n v="2"/>
    <n v="1"/>
    <n v="1"/>
    <n v="2"/>
    <n v="1"/>
  </r>
  <r>
    <s v="2025-04-25 01:00:00.000 +0100"/>
    <x v="3"/>
    <s v="Friday   "/>
    <d v="1899-12-30T00:18:31"/>
    <n v="9"/>
    <s v="Cart-astrophe"/>
    <x v="6"/>
    <s v="COMPLETED"/>
    <s v="0.88888888888888888889"/>
    <s v="1.00000000000000000000"/>
    <s v="0.66666666666666666667"/>
    <s v="0.60000000000000000000"/>
    <s v="0.45454545454545454545"/>
    <n v="0"/>
    <n v="0"/>
    <n v="0"/>
    <n v="0"/>
    <n v="0"/>
    <n v="0"/>
    <n v="0"/>
    <n v="0"/>
    <n v="0"/>
    <n v="0"/>
    <n v="0"/>
    <n v="0"/>
    <n v="0"/>
    <n v="0"/>
    <n v="0"/>
    <n v="0"/>
    <n v="0"/>
    <n v="0"/>
    <n v="0"/>
    <n v="0"/>
    <n v="0"/>
    <n v="0"/>
    <n v="0"/>
    <n v="0"/>
    <n v="0"/>
    <s v="-"/>
    <n v="0"/>
    <n v="0"/>
    <n v="0"/>
    <n v="0"/>
    <n v="0"/>
    <n v="0"/>
  </r>
  <r>
    <s v="2025-04-28 01:00:00.000 +0100"/>
    <x v="3"/>
    <s v="Monday   "/>
    <d v="1899-12-30T00:26:12"/>
    <n v="19"/>
    <s v="Details Matter"/>
    <x v="3"/>
    <s v="COMPLETED"/>
    <s v="0.66666666666666666667"/>
    <s v="1.00000000000000000000"/>
    <s v="0.83333333333333333333"/>
    <s v="0.60000000000000000000"/>
    <s v="0.27272727272727272727"/>
    <n v="0"/>
    <n v="0"/>
    <n v="0"/>
    <n v="0"/>
    <n v="0"/>
    <n v="0"/>
    <n v="1"/>
    <n v="1"/>
    <n v="0"/>
    <n v="0"/>
    <n v="0"/>
    <n v="0"/>
    <n v="0"/>
    <n v="0"/>
    <n v="1"/>
    <n v="0"/>
    <n v="0"/>
    <n v="0"/>
    <n v="0"/>
    <n v="0"/>
    <n v="0"/>
    <n v="0"/>
    <n v="0"/>
    <n v="0"/>
    <n v="0"/>
    <s v="-"/>
    <n v="1"/>
    <n v="3"/>
    <n v="1"/>
    <n v="1"/>
    <n v="1"/>
    <n v="1"/>
  </r>
  <r>
    <s v="2025-04-30 01:00:00.000 +0100"/>
    <x v="3"/>
    <s v="Wednesday"/>
    <d v="1899-12-30T00:16:06"/>
    <n v="17"/>
    <s v="Version confusion"/>
    <x v="5"/>
    <s v="COMPLETED"/>
    <s v="0.55555555555555555556"/>
    <s v="1.00000000000000000000"/>
    <s v="0.83333333333333333333"/>
    <s v="0.73333333333333333333"/>
    <s v="0.54545454545454545455"/>
    <n v="0"/>
    <n v="0"/>
    <n v="0"/>
    <n v="0"/>
    <n v="1"/>
    <n v="0"/>
    <n v="1"/>
    <n v="0"/>
    <n v="0"/>
    <n v="0"/>
    <n v="0"/>
    <n v="1"/>
    <n v="0"/>
    <n v="0"/>
    <n v="0"/>
    <n v="0"/>
    <n v="0"/>
    <n v="0"/>
    <n v="0"/>
    <n v="0"/>
    <n v="0"/>
    <n v="0"/>
    <n v="0"/>
    <n v="0"/>
    <n v="0"/>
    <s v="-"/>
    <n v="0"/>
    <n v="2"/>
    <n v="0"/>
    <n v="0"/>
    <n v="1"/>
    <n v="0"/>
  </r>
  <r>
    <s v="2025-05-02 01:00:00.000 +0100"/>
    <x v="4"/>
    <s v="Friday   "/>
    <d v="1899-12-30T00:25:01"/>
    <n v="18"/>
    <s v="The Switch"/>
    <x v="4"/>
    <s v="OUT_OF_TIME"/>
    <n v="0"/>
    <s v="0.50000000000000000000"/>
    <s v="0.33333333333333333333"/>
    <s v="0.06666666666666666667"/>
    <n v="0"/>
    <n v="0"/>
    <n v="0"/>
    <n v="0"/>
    <n v="0"/>
    <n v="1"/>
    <n v="0"/>
    <n v="1"/>
    <n v="1"/>
    <n v="0"/>
    <n v="0"/>
    <n v="0"/>
    <n v="1"/>
    <n v="0"/>
    <n v="0"/>
    <n v="0"/>
    <n v="0"/>
    <n v="0"/>
    <n v="0"/>
    <n v="0"/>
    <n v="0"/>
    <n v="0"/>
    <n v="0"/>
    <n v="0"/>
    <n v="1"/>
    <n v="0"/>
    <s v="-"/>
    <n v="0"/>
    <n v="3"/>
    <n v="1"/>
    <n v="0"/>
    <n v="1"/>
    <n v="1"/>
  </r>
  <r>
    <s v="2025-05-06 01:00:00.000 +0100"/>
    <x v="4"/>
    <s v="Tuesday  "/>
    <d v="1899-12-30T00:20:02"/>
    <n v="5"/>
    <s v="Bezs Beatles Day!"/>
    <x v="2"/>
    <s v="OUT_OF_TIME"/>
    <s v="0.66666666666666666667"/>
    <s v="1.00000000000000000000"/>
    <s v="1.00000000000000000000"/>
    <s v="0.46666666666666666667"/>
    <s v="0.36363636363636363636"/>
    <n v="0"/>
    <n v="0"/>
    <n v="1"/>
    <n v="0"/>
    <n v="0"/>
    <n v="0"/>
    <n v="0"/>
    <n v="0"/>
    <n v="0"/>
    <n v="0"/>
    <n v="0"/>
    <n v="1"/>
    <n v="0"/>
    <n v="0"/>
    <n v="0"/>
    <n v="0"/>
    <n v="0"/>
    <n v="0"/>
    <n v="0"/>
    <n v="0"/>
    <n v="0"/>
    <n v="0"/>
    <n v="0"/>
    <n v="0"/>
    <n v="0"/>
    <s v="-"/>
    <n v="0"/>
    <n v="1"/>
    <n v="1"/>
    <n v="0"/>
    <n v="0"/>
    <n v="0"/>
  </r>
  <r>
    <s v="2025-05-07 01:00:00.000 +0100"/>
    <x v="4"/>
    <s v="Wednesday"/>
    <d v="1899-12-30T00:20:24"/>
    <n v="18"/>
    <s v="The Switch"/>
    <x v="7"/>
    <s v="COMPLETED"/>
    <s v="0.88888888888888888889"/>
    <s v="1.00000000000000000000"/>
    <s v="0.83333333333333333333"/>
    <s v="0.53333333333333333333"/>
    <s v="0.63636363636363636364"/>
    <n v="0"/>
    <n v="0"/>
    <n v="0"/>
    <n v="0"/>
    <n v="1"/>
    <n v="0"/>
    <n v="1"/>
    <n v="1"/>
    <n v="0"/>
    <n v="0"/>
    <n v="0"/>
    <n v="1"/>
    <n v="0"/>
    <n v="0"/>
    <n v="0"/>
    <n v="0"/>
    <n v="0"/>
    <n v="0"/>
    <n v="0"/>
    <n v="0"/>
    <n v="0"/>
    <n v="0"/>
    <n v="0"/>
    <n v="1"/>
    <n v="0"/>
    <s v="-"/>
    <n v="0"/>
    <n v="3"/>
    <n v="1"/>
    <n v="0"/>
    <n v="1"/>
    <n v="1"/>
  </r>
  <r>
    <s v="2025-05-09 01:00:00.000 +0100"/>
    <x v="4"/>
    <s v="Friday   "/>
    <d v="1899-12-30T00:25:02"/>
    <n v="18"/>
    <s v="The Switch"/>
    <x v="6"/>
    <s v="OUT_OF_TIME"/>
    <s v="0.22222222222222222222"/>
    <s v="1.00000000000000000000"/>
    <s v="0.83333333333333333333"/>
    <s v="0.46666666666666666667"/>
    <s v="0.27272727272727272727"/>
    <n v="0"/>
    <n v="0"/>
    <n v="0"/>
    <n v="0"/>
    <n v="1"/>
    <n v="0"/>
    <n v="1"/>
    <n v="1"/>
    <n v="0"/>
    <n v="0"/>
    <n v="0"/>
    <n v="1"/>
    <n v="0"/>
    <n v="0"/>
    <n v="0"/>
    <n v="0"/>
    <n v="0"/>
    <n v="0"/>
    <n v="0"/>
    <n v="0"/>
    <n v="0"/>
    <n v="0"/>
    <n v="0"/>
    <n v="1"/>
    <n v="0"/>
    <s v="-"/>
    <n v="0"/>
    <n v="3"/>
    <n v="1"/>
    <n v="0"/>
    <n v="1"/>
    <n v="1"/>
  </r>
  <r>
    <s v="2025-05-16 01:00:00.000 +0100"/>
    <x v="4"/>
    <s v="Friday   "/>
    <d v="1899-12-30T00:21:43"/>
    <n v="18"/>
    <s v="The Switch"/>
    <x v="1"/>
    <s v="COMPLETED"/>
    <s v="0.55555555555555555556"/>
    <s v="1.00000000000000000000"/>
    <s v="0.66666666666666666667"/>
    <s v="0.53333333333333333333"/>
    <s v="0.63636363636363636364"/>
    <n v="0"/>
    <n v="0"/>
    <n v="0"/>
    <n v="0"/>
    <n v="1"/>
    <n v="0"/>
    <n v="1"/>
    <n v="1"/>
    <n v="0"/>
    <n v="0"/>
    <n v="0"/>
    <n v="1"/>
    <n v="0"/>
    <n v="0"/>
    <n v="0"/>
    <n v="0"/>
    <n v="0"/>
    <n v="0"/>
    <n v="0"/>
    <n v="0"/>
    <n v="0"/>
    <n v="0"/>
    <n v="0"/>
    <n v="1"/>
    <n v="0"/>
    <s v="-"/>
    <n v="0"/>
    <n v="3"/>
    <n v="1"/>
    <n v="0"/>
    <n v="1"/>
    <n v="1"/>
  </r>
  <r>
    <s v="2025-05-16 01:00:00.000 +0100"/>
    <x v="4"/>
    <s v="Friday   "/>
    <d v="1899-12-30T00:19:46"/>
    <n v="14"/>
    <s v="Missing Delivery"/>
    <x v="4"/>
    <s v="COMPLETED"/>
    <s v="0.77777777777777777778"/>
    <s v="1.00000000000000000000"/>
    <s v="0.66666666666666666667"/>
    <s v="0.60000000000000000000"/>
    <s v="0.54545454545454545455"/>
    <n v="0"/>
    <n v="0"/>
    <n v="0"/>
    <n v="0"/>
    <n v="0"/>
    <n v="0"/>
    <n v="0"/>
    <n v="0"/>
    <n v="1"/>
    <n v="1"/>
    <n v="0"/>
    <n v="0"/>
    <n v="0"/>
    <n v="0"/>
    <n v="1"/>
    <n v="0"/>
    <n v="0"/>
    <n v="0"/>
    <n v="0"/>
    <n v="0"/>
    <n v="0"/>
    <n v="0"/>
    <n v="0"/>
    <n v="0"/>
    <n v="0"/>
    <s v="-"/>
    <n v="1"/>
    <n v="2"/>
    <n v="1"/>
    <n v="1"/>
    <n v="2"/>
    <n v="1"/>
  </r>
  <r>
    <s v="2025-05-19 01:00:00.000 +0100"/>
    <x v="4"/>
    <s v="Monday   "/>
    <d v="1899-12-30T00:16:45"/>
    <n v="14"/>
    <s v="Missing Delivery"/>
    <x v="0"/>
    <s v="COMPLETED"/>
    <s v="0.66666666666666666667"/>
    <s v="1.00000000000000000000"/>
    <s v="0.66666666666666666667"/>
    <s v="0.46666666666666666667"/>
    <s v="0.36363636363636363636"/>
    <n v="0"/>
    <n v="0"/>
    <n v="0"/>
    <n v="0"/>
    <n v="0"/>
    <n v="0"/>
    <n v="0"/>
    <n v="0"/>
    <n v="1"/>
    <n v="1"/>
    <n v="0"/>
    <n v="0"/>
    <n v="0"/>
    <n v="0"/>
    <n v="1"/>
    <n v="0"/>
    <n v="0"/>
    <n v="0"/>
    <n v="0"/>
    <n v="0"/>
    <n v="0"/>
    <n v="0"/>
    <n v="0"/>
    <n v="0"/>
    <n v="0"/>
    <s v="-"/>
    <n v="1"/>
    <n v="2"/>
    <n v="1"/>
    <n v="1"/>
    <n v="2"/>
    <n v="1"/>
  </r>
  <r>
    <s v="2025-05-20 01:00:00.000 +0100"/>
    <x v="4"/>
    <s v="Tuesday  "/>
    <d v="1899-12-30T00:24:45"/>
    <n v="19"/>
    <s v="Details Matter"/>
    <x v="2"/>
    <s v="COMPLETED"/>
    <s v="0.55555555555555555556"/>
    <s v="1.00000000000000000000"/>
    <s v="0.83333333333333333333"/>
    <s v="0.53333333333333333333"/>
    <s v="0.27272727272727272727"/>
    <n v="0"/>
    <n v="0"/>
    <n v="0"/>
    <n v="0"/>
    <n v="0"/>
    <n v="0"/>
    <n v="1"/>
    <n v="1"/>
    <n v="0"/>
    <n v="0"/>
    <n v="0"/>
    <n v="0"/>
    <n v="0"/>
    <n v="0"/>
    <n v="1"/>
    <n v="0"/>
    <n v="0"/>
    <n v="0"/>
    <n v="0"/>
    <n v="0"/>
    <n v="0"/>
    <n v="0"/>
    <n v="0"/>
    <n v="0"/>
    <n v="0"/>
    <s v="-"/>
    <n v="1"/>
    <n v="3"/>
    <n v="1"/>
    <n v="1"/>
    <n v="1"/>
    <n v="1"/>
  </r>
  <r>
    <s v="2025-05-28 01:00:00.000 +0100"/>
    <x v="4"/>
    <s v="Wednesday"/>
    <d v="1899-12-30T00:15:28"/>
    <n v="17"/>
    <s v="Version confusion"/>
    <x v="7"/>
    <s v="COMPLETED"/>
    <s v="0.44444444444444444444"/>
    <s v="1.00000000000000000000"/>
    <s v="0.50000000000000000000"/>
    <s v="0.33333333333333333333"/>
    <s v="0.27272727272727272727"/>
    <n v="0"/>
    <n v="0"/>
    <n v="0"/>
    <n v="0"/>
    <n v="1"/>
    <n v="0"/>
    <n v="1"/>
    <n v="0"/>
    <n v="0"/>
    <n v="0"/>
    <n v="0"/>
    <n v="1"/>
    <n v="0"/>
    <n v="0"/>
    <n v="0"/>
    <n v="0"/>
    <n v="0"/>
    <n v="0"/>
    <n v="0"/>
    <n v="0"/>
    <n v="0"/>
    <n v="0"/>
    <n v="0"/>
    <n v="0"/>
    <n v="0"/>
    <s v="-"/>
    <n v="0"/>
    <n v="2"/>
    <n v="0"/>
    <n v="0"/>
    <n v="1"/>
    <n v="0"/>
  </r>
  <r>
    <s v="2025-05-30 01:00:00.000 +0100"/>
    <x v="4"/>
    <s v="Friday   "/>
    <d v="1899-12-30T00:16:18"/>
    <n v="28"/>
    <s v="Memory Lane"/>
    <x v="1"/>
    <s v="COMPLETED"/>
    <s v="0.33333333333333333333"/>
    <s v="0.50000000000000000000"/>
    <s v="0.83333333333333333333"/>
    <s v="0.46666666666666666667"/>
    <s v="0.45454545454545454545"/>
    <n v="0"/>
    <n v="0"/>
    <n v="0"/>
    <n v="0"/>
    <n v="0"/>
    <n v="1"/>
    <n v="1"/>
    <n v="0"/>
    <n v="0"/>
    <n v="0"/>
    <n v="0"/>
    <n v="0"/>
    <n v="0"/>
    <n v="0"/>
    <n v="0"/>
    <n v="0"/>
    <n v="0"/>
    <n v="0"/>
    <n v="0"/>
    <n v="0"/>
    <n v="0"/>
    <n v="0"/>
    <n v="0"/>
    <n v="1"/>
    <n v="0"/>
    <s v="-"/>
    <n v="0"/>
    <n v="1"/>
    <n v="1"/>
    <n v="1"/>
    <n v="0"/>
    <n v="1"/>
  </r>
  <r>
    <s v="2025-06-02 01:00:00.000 +0100"/>
    <x v="5"/>
    <s v="Monday   "/>
    <d v="1899-12-30T00:17:15"/>
    <n v="9"/>
    <s v="Cart-astrophe"/>
    <x v="0"/>
    <s v="COMPLETED"/>
    <s v="0.66666666666666666667"/>
    <s v="1.00000000000000000000"/>
    <s v="0.66666666666666666667"/>
    <s v="0.60000000000000000000"/>
    <s v="0.36363636363636363636"/>
    <n v="0"/>
    <n v="0"/>
    <n v="0"/>
    <n v="0"/>
    <n v="0"/>
    <n v="0"/>
    <n v="0"/>
    <n v="0"/>
    <n v="0"/>
    <n v="0"/>
    <n v="0"/>
    <n v="0"/>
    <n v="0"/>
    <n v="0"/>
    <n v="0"/>
    <n v="0"/>
    <n v="0"/>
    <n v="0"/>
    <n v="0"/>
    <n v="0"/>
    <n v="0"/>
    <n v="0"/>
    <n v="0"/>
    <n v="0"/>
    <n v="0"/>
    <s v="-"/>
    <n v="0"/>
    <n v="0"/>
    <n v="0"/>
    <n v="0"/>
    <n v="0"/>
    <n v="0"/>
  </r>
  <r>
    <s v="2025-06-06 01:00:00.000 +0100"/>
    <x v="5"/>
    <s v="Friday   "/>
    <d v="1899-12-30T00:27:29"/>
    <n v="19"/>
    <s v="Details Matter"/>
    <x v="6"/>
    <s v="COMPLETED"/>
    <s v="0.66666666666666666667"/>
    <s v="1.00000000000000000000"/>
    <s v="1.00000000000000000000"/>
    <s v="0.60000000000000000000"/>
    <s v="0.45454545454545454545"/>
    <n v="0"/>
    <n v="0"/>
    <n v="0"/>
    <n v="0"/>
    <n v="0"/>
    <n v="0"/>
    <n v="1"/>
    <n v="1"/>
    <n v="0"/>
    <n v="0"/>
    <n v="0"/>
    <n v="0"/>
    <n v="0"/>
    <n v="0"/>
    <n v="1"/>
    <n v="0"/>
    <n v="0"/>
    <n v="0"/>
    <n v="0"/>
    <n v="0"/>
    <n v="0"/>
    <n v="0"/>
    <n v="0"/>
    <n v="0"/>
    <n v="0"/>
    <s v="-"/>
    <n v="1"/>
    <n v="3"/>
    <n v="1"/>
    <n v="1"/>
    <n v="1"/>
    <n v="1"/>
  </r>
  <r>
    <s v="2025-06-11 01:00:00.000 +0100"/>
    <x v="5"/>
    <s v="Wednesday"/>
    <d v="1899-12-30T00:19:45"/>
    <n v="9"/>
    <s v="Cart-astrophe"/>
    <x v="5"/>
    <s v="COMPLETED"/>
    <s v="0.55555555555555555556"/>
    <s v="1.00000000000000000000"/>
    <s v="0.83333333333333333333"/>
    <s v="0.66666666666666666667"/>
    <s v="0.36363636363636363636"/>
    <n v="0"/>
    <n v="0"/>
    <n v="0"/>
    <n v="0"/>
    <n v="0"/>
    <n v="0"/>
    <n v="0"/>
    <n v="0"/>
    <n v="0"/>
    <n v="0"/>
    <n v="0"/>
    <n v="0"/>
    <n v="0"/>
    <n v="0"/>
    <n v="0"/>
    <n v="0"/>
    <n v="0"/>
    <n v="0"/>
    <n v="0"/>
    <n v="0"/>
    <n v="0"/>
    <n v="0"/>
    <n v="0"/>
    <n v="0"/>
    <n v="0"/>
    <s v="-"/>
    <n v="0"/>
    <n v="0"/>
    <n v="0"/>
    <n v="0"/>
    <n v="0"/>
    <n v="0"/>
  </r>
  <r>
    <s v="2025-06-13 01:00:00.000 +0100"/>
    <x v="5"/>
    <s v="Friday   "/>
    <d v="1899-12-30T00:30:01"/>
    <n v="28"/>
    <s v="Memory Lane"/>
    <x v="4"/>
    <s v="OUT_OF_TIME"/>
    <s v="0.44444444444444444444"/>
    <s v="1.00000000000000000000"/>
    <s v="0.66666666666666666667"/>
    <s v="0.46666666666666666667"/>
    <s v="0.36363636363636363636"/>
    <n v="0"/>
    <n v="0"/>
    <n v="0"/>
    <n v="0"/>
    <n v="0"/>
    <n v="1"/>
    <n v="1"/>
    <n v="0"/>
    <n v="0"/>
    <n v="0"/>
    <n v="0"/>
    <n v="0"/>
    <n v="0"/>
    <n v="0"/>
    <n v="0"/>
    <n v="0"/>
    <n v="0"/>
    <n v="0"/>
    <n v="0"/>
    <n v="0"/>
    <n v="0"/>
    <n v="0"/>
    <n v="0"/>
    <n v="1"/>
    <n v="0"/>
    <s v="-"/>
    <n v="0"/>
    <n v="1"/>
    <n v="1"/>
    <n v="1"/>
    <n v="0"/>
    <n v="1"/>
  </r>
  <r>
    <s v="2025-06-17 01:00:00.000 +0100"/>
    <x v="5"/>
    <s v="Tuesday  "/>
    <d v="1899-12-30T00:24:55"/>
    <n v="28"/>
    <s v="Memory Lane"/>
    <x v="0"/>
    <s v="COMPLETED"/>
    <s v="1.00000000000000000000"/>
    <s v="1.00000000000000000000"/>
    <s v="1.00000000000000000000"/>
    <s v="0.80000000000000000000"/>
    <s v="0.72727272727272727273"/>
    <n v="0"/>
    <n v="0"/>
    <n v="0"/>
    <n v="0"/>
    <n v="0"/>
    <n v="1"/>
    <n v="1"/>
    <n v="0"/>
    <n v="0"/>
    <n v="0"/>
    <n v="0"/>
    <n v="0"/>
    <n v="0"/>
    <n v="0"/>
    <n v="0"/>
    <n v="0"/>
    <n v="0"/>
    <n v="0"/>
    <n v="0"/>
    <n v="0"/>
    <n v="0"/>
    <n v="0"/>
    <n v="0"/>
    <n v="1"/>
    <n v="0"/>
    <s v="-"/>
    <n v="0"/>
    <n v="1"/>
    <n v="1"/>
    <n v="1"/>
    <n v="0"/>
    <n v="1"/>
  </r>
  <r>
    <s v="2025-06-18 01:00:00.000 +0100"/>
    <x v="5"/>
    <s v="Wednesday"/>
    <d v="1899-12-30T00:28:09"/>
    <n v="28"/>
    <s v="Memory Lane"/>
    <x v="7"/>
    <s v="COMPLETED"/>
    <s v="0.88888888888888888889"/>
    <s v="1.00000000000000000000"/>
    <s v="0.83333333333333333333"/>
    <s v="0.66666666666666666667"/>
    <s v="0.54545454545454545455"/>
    <n v="0"/>
    <n v="0"/>
    <n v="0"/>
    <n v="0"/>
    <n v="0"/>
    <n v="1"/>
    <n v="1"/>
    <n v="0"/>
    <n v="0"/>
    <n v="0"/>
    <n v="0"/>
    <n v="0"/>
    <n v="0"/>
    <n v="0"/>
    <n v="0"/>
    <n v="0"/>
    <n v="0"/>
    <n v="0"/>
    <n v="0"/>
    <n v="0"/>
    <n v="0"/>
    <n v="0"/>
    <n v="0"/>
    <n v="1"/>
    <n v="0"/>
    <s v="-"/>
    <n v="0"/>
    <n v="1"/>
    <n v="1"/>
    <n v="1"/>
    <n v="0"/>
    <n v="1"/>
  </r>
  <r>
    <s v="2025-06-23 01:00:00.000 +0100"/>
    <x v="5"/>
    <s v="Monday   "/>
    <d v="1899-12-30T00:27:41"/>
    <n v="28"/>
    <s v="Memory Lane"/>
    <x v="3"/>
    <s v="COMPLETED"/>
    <s v="0.66666666666666666667"/>
    <s v="1.00000000000000000000"/>
    <s v="0.83333333333333333333"/>
    <s v="0.66666666666666666667"/>
    <s v="0.27272727272727272727"/>
    <n v="0"/>
    <n v="0"/>
    <n v="0"/>
    <n v="0"/>
    <n v="0"/>
    <n v="1"/>
    <n v="1"/>
    <n v="0"/>
    <n v="0"/>
    <n v="0"/>
    <n v="0"/>
    <n v="0"/>
    <n v="0"/>
    <n v="0"/>
    <n v="0"/>
    <n v="0"/>
    <n v="0"/>
    <n v="0"/>
    <n v="0"/>
    <n v="0"/>
    <n v="0"/>
    <n v="0"/>
    <n v="0"/>
    <n v="1"/>
    <n v="0"/>
    <s v="-"/>
    <n v="0"/>
    <n v="1"/>
    <n v="1"/>
    <n v="1"/>
    <n v="0"/>
    <n v="1"/>
  </r>
  <r>
    <s v="2025-06-25 01:00:00.000 +0100"/>
    <x v="5"/>
    <s v="Wednesday"/>
    <d v="1899-12-30T00:21:20"/>
    <n v="28"/>
    <s v="Memory Lane"/>
    <x v="5"/>
    <s v="COMPLETED"/>
    <s v="1.00000000000000000000"/>
    <s v="1.00000000000000000000"/>
    <s v="0.66666666666666666667"/>
    <s v="0.80000000000000000000"/>
    <s v="0.72727272727272727273"/>
    <n v="0"/>
    <n v="0"/>
    <n v="0"/>
    <n v="0"/>
    <n v="0"/>
    <n v="1"/>
    <n v="1"/>
    <n v="0"/>
    <n v="0"/>
    <n v="0"/>
    <n v="0"/>
    <n v="0"/>
    <n v="0"/>
    <n v="0"/>
    <n v="0"/>
    <n v="0"/>
    <n v="0"/>
    <n v="0"/>
    <n v="0"/>
    <n v="0"/>
    <n v="0"/>
    <n v="0"/>
    <n v="0"/>
    <n v="1"/>
    <n v="0"/>
    <s v="-"/>
    <n v="0"/>
    <n v="1"/>
    <n v="1"/>
    <n v="1"/>
    <n v="0"/>
    <n v="1"/>
  </r>
  <r>
    <s v="2025-07-01 01:00:00.000 +0100"/>
    <x v="6"/>
    <s v="Tuesday  "/>
    <d v="1899-12-30T00:25:02"/>
    <n v="28"/>
    <s v="Memory Lane"/>
    <x v="2"/>
    <s v="COMPLETED"/>
    <s v="0.77777777777777777778"/>
    <s v="1.00000000000000000000"/>
    <s v="0.83333333333333333333"/>
    <s v="0.66666666666666666667"/>
    <s v="0.54545454545454545455"/>
    <n v="0"/>
    <n v="0"/>
    <n v="0"/>
    <n v="0"/>
    <n v="0"/>
    <n v="1"/>
    <n v="1"/>
    <n v="0"/>
    <n v="0"/>
    <n v="0"/>
    <n v="0"/>
    <n v="0"/>
    <n v="0"/>
    <n v="0"/>
    <n v="0"/>
    <n v="0"/>
    <n v="0"/>
    <n v="0"/>
    <n v="0"/>
    <n v="0"/>
    <n v="0"/>
    <n v="0"/>
    <n v="0"/>
    <n v="1"/>
    <n v="0"/>
    <s v="-"/>
    <n v="0"/>
    <n v="1"/>
    <n v="1"/>
    <n v="1"/>
    <n v="0"/>
    <n v="1"/>
  </r>
  <r>
    <s v="2025-07-02 01:00:00.000 +0100"/>
    <x v="6"/>
    <s v="Wednesday"/>
    <d v="1899-12-30T00:22:09"/>
    <n v="28"/>
    <s v="Memory Lane"/>
    <x v="8"/>
    <s v="COMPLETED"/>
    <s v="1.00000000000000000000"/>
    <s v="1.00000000000000000000"/>
    <s v="0.83333333333333333333"/>
    <s v="0.80000000000000000000"/>
    <s v="0.72727272727272727273"/>
    <n v="0"/>
    <n v="0"/>
    <n v="0"/>
    <n v="0"/>
    <n v="0"/>
    <n v="1"/>
    <n v="1"/>
    <n v="0"/>
    <n v="0"/>
    <n v="0"/>
    <n v="0"/>
    <n v="0"/>
    <n v="0"/>
    <n v="0"/>
    <n v="0"/>
    <n v="0"/>
    <n v="0"/>
    <n v="0"/>
    <n v="0"/>
    <n v="0"/>
    <n v="0"/>
    <n v="0"/>
    <n v="0"/>
    <n v="1"/>
    <n v="0"/>
    <s v="-"/>
    <n v="0"/>
    <n v="1"/>
    <n v="1"/>
    <n v="1"/>
    <n v="0"/>
    <n v="1"/>
  </r>
  <r>
    <s v="2025-07-04 01:00:00.000 +0100"/>
    <x v="6"/>
    <s v="Friday   "/>
    <d v="1899-12-30T00:25:15"/>
    <n v="28"/>
    <s v="Memory Lane"/>
    <x v="6"/>
    <s v="COMPLETED"/>
    <s v="0.55555555555555555556"/>
    <s v="1.00000000000000000000"/>
    <s v="0.50000000000000000000"/>
    <s v="0.53333333333333333333"/>
    <s v="0.45454545454545454545"/>
    <n v="0"/>
    <n v="0"/>
    <n v="0"/>
    <n v="0"/>
    <n v="0"/>
    <n v="1"/>
    <n v="1"/>
    <n v="0"/>
    <n v="0"/>
    <n v="0"/>
    <n v="0"/>
    <n v="0"/>
    <n v="0"/>
    <n v="0"/>
    <n v="0"/>
    <n v="0"/>
    <n v="0"/>
    <n v="0"/>
    <n v="0"/>
    <n v="0"/>
    <n v="0"/>
    <n v="0"/>
    <n v="0"/>
    <n v="1"/>
    <n v="0"/>
    <s v="-"/>
    <n v="0"/>
    <n v="1"/>
    <n v="1"/>
    <n v="1"/>
    <n v="0"/>
    <n v="1"/>
  </r>
  <r>
    <s v="2025-07-11 01:00:00.000 +0100"/>
    <x v="6"/>
    <s v="Friday   "/>
    <d v="1899-12-30T00:19:47"/>
    <n v="9"/>
    <s v="Cart-astrophe"/>
    <x v="4"/>
    <s v="COMPLETED"/>
    <s v="0.44444444444444444444"/>
    <s v="1.00000000000000000000"/>
    <s v="0.50000000000000000000"/>
    <s v="0.40000000000000000000"/>
    <s v="0.27272727272727272727"/>
    <n v="0"/>
    <n v="0"/>
    <n v="0"/>
    <n v="0"/>
    <n v="0"/>
    <n v="0"/>
    <n v="0"/>
    <n v="0"/>
    <n v="0"/>
    <n v="0"/>
    <n v="0"/>
    <n v="0"/>
    <n v="0"/>
    <n v="0"/>
    <n v="0"/>
    <n v="0"/>
    <n v="0"/>
    <n v="0"/>
    <n v="0"/>
    <n v="0"/>
    <n v="0"/>
    <n v="0"/>
    <n v="0"/>
    <n v="0"/>
    <n v="0"/>
    <s v="-"/>
    <n v="0"/>
    <n v="0"/>
    <n v="0"/>
    <n v="0"/>
    <n v="0"/>
    <n v="0"/>
  </r>
  <r>
    <s v="2025-07-21 01:00:00.000 +0100"/>
    <x v="6"/>
    <s v="Monday   "/>
    <d v="1899-12-30T00:20:01"/>
    <n v="14"/>
    <s v="Missing Delivery"/>
    <x v="3"/>
    <s v="OUT_OF_TIME"/>
    <s v="0.22222222222222222222"/>
    <s v="1.00000000000000000000"/>
    <s v="0.50000000000000000000"/>
    <s v="0.53333333333333333333"/>
    <s v="0.45454545454545454545"/>
    <n v="0"/>
    <n v="0"/>
    <n v="0"/>
    <n v="0"/>
    <n v="0"/>
    <n v="0"/>
    <n v="0"/>
    <n v="0"/>
    <n v="1"/>
    <n v="1"/>
    <n v="0"/>
    <n v="0"/>
    <n v="0"/>
    <n v="0"/>
    <n v="1"/>
    <n v="0"/>
    <n v="0"/>
    <n v="0"/>
    <n v="0"/>
    <n v="0"/>
    <n v="0"/>
    <n v="0"/>
    <n v="0"/>
    <n v="0"/>
    <n v="0"/>
    <s v="-"/>
    <n v="1"/>
    <n v="2"/>
    <n v="1"/>
    <n v="1"/>
    <n v="2"/>
    <n v="1"/>
  </r>
  <r>
    <s v="2025-07-25 01:00:00.000 +0100"/>
    <x v="6"/>
    <s v="Friday   "/>
    <d v="1899-12-30T00:20:34"/>
    <n v="28"/>
    <s v="Memory Lane"/>
    <x v="1"/>
    <s v="COMPLETED"/>
    <s v="0.33333333333333333333"/>
    <s v="0.50000000000000000000"/>
    <s v="0.50000000000000000000"/>
    <s v="0.40000000000000000000"/>
    <s v="0.18181818181818181818"/>
    <n v="0"/>
    <n v="0"/>
    <n v="0"/>
    <n v="0"/>
    <n v="0"/>
    <n v="1"/>
    <n v="1"/>
    <n v="0"/>
    <n v="0"/>
    <n v="0"/>
    <n v="0"/>
    <n v="0"/>
    <n v="0"/>
    <n v="0"/>
    <n v="0"/>
    <n v="0"/>
    <n v="0"/>
    <n v="0"/>
    <n v="0"/>
    <n v="0"/>
    <n v="0"/>
    <n v="0"/>
    <n v="0"/>
    <n v="1"/>
    <n v="0"/>
    <s v="-"/>
    <n v="0"/>
    <n v="1"/>
    <n v="1"/>
    <n v="1"/>
    <n v="0"/>
    <n v="1"/>
  </r>
  <r>
    <s v="2025-07-28 01:00:00.000 +0100"/>
    <x v="6"/>
    <s v="Monday   "/>
    <d v="1899-12-30T00:17:22"/>
    <n v="17"/>
    <s v="Version confusion"/>
    <x v="0"/>
    <s v="COMPLETED"/>
    <s v="0.66666666666666666667"/>
    <s v="1.00000000000000000000"/>
    <s v="0.50000000000000000000"/>
    <s v="0.60000000000000000000"/>
    <s v="0.36363636363636363636"/>
    <n v="0"/>
    <n v="0"/>
    <n v="0"/>
    <n v="0"/>
    <n v="1"/>
    <n v="0"/>
    <n v="1"/>
    <n v="0"/>
    <n v="0"/>
    <n v="0"/>
    <n v="0"/>
    <n v="1"/>
    <n v="0"/>
    <n v="0"/>
    <n v="0"/>
    <n v="0"/>
    <n v="0"/>
    <n v="0"/>
    <n v="0"/>
    <n v="0"/>
    <n v="0"/>
    <n v="0"/>
    <n v="0"/>
    <n v="0"/>
    <n v="0"/>
    <s v="-"/>
    <n v="0"/>
    <n v="2"/>
    <n v="0"/>
    <n v="0"/>
    <n v="1"/>
    <n v="0"/>
  </r>
  <r>
    <s v="2025-07-30 01:00:00.000 +0100"/>
    <x v="6"/>
    <s v="Wednesday"/>
    <d v="1899-12-30T00:16:48"/>
    <n v="9"/>
    <s v="Cart-astrophe"/>
    <x v="7"/>
    <s v="COMPLETED"/>
    <s v="0.55555555555555555556"/>
    <s v="1.00000000000000000000"/>
    <s v="0.50000000000000000000"/>
    <s v="0.60000000000000000000"/>
    <s v="0.45454545454545454545"/>
    <n v="0"/>
    <n v="0"/>
    <n v="0"/>
    <n v="0"/>
    <n v="0"/>
    <n v="0"/>
    <n v="0"/>
    <n v="0"/>
    <n v="0"/>
    <n v="0"/>
    <n v="0"/>
    <n v="0"/>
    <n v="0"/>
    <n v="0"/>
    <n v="0"/>
    <n v="0"/>
    <n v="0"/>
    <n v="0"/>
    <n v="0"/>
    <n v="0"/>
    <n v="0"/>
    <n v="0"/>
    <n v="0"/>
    <n v="0"/>
    <n v="0"/>
    <s v="-"/>
    <n v="0"/>
    <n v="0"/>
    <n v="0"/>
    <n v="0"/>
    <n v="0"/>
    <n v="0"/>
  </r>
  <r>
    <s v="2025-08-01 01:00:00.000 +0100"/>
    <x v="7"/>
    <s v="Friday   "/>
    <d v="1899-12-30T00:28:22"/>
    <n v="19"/>
    <s v="Details Matter"/>
    <x v="4"/>
    <s v="COMPLETED"/>
    <s v="0.77777777777777777778"/>
    <s v="1.00000000000000000000"/>
    <s v="0.66666666666666666667"/>
    <s v="0.46666666666666666667"/>
    <s v="0.45454545454545454545"/>
    <n v="0"/>
    <n v="0"/>
    <n v="0"/>
    <n v="0"/>
    <n v="0"/>
    <n v="0"/>
    <n v="1"/>
    <n v="1"/>
    <n v="0"/>
    <n v="0"/>
    <n v="0"/>
    <n v="0"/>
    <n v="0"/>
    <n v="0"/>
    <n v="1"/>
    <n v="0"/>
    <n v="0"/>
    <n v="0"/>
    <n v="0"/>
    <n v="0"/>
    <n v="0"/>
    <n v="0"/>
    <n v="0"/>
    <n v="0"/>
    <n v="0"/>
    <s v="-"/>
    <n v="1"/>
    <n v="3"/>
    <n v="1"/>
    <n v="1"/>
    <n v="1"/>
    <n v="1"/>
  </r>
  <r>
    <s v="2025-08-04 01:00:00.000 +0100"/>
    <x v="7"/>
    <s v="Monday   "/>
    <d v="1899-12-30T00:24:10"/>
    <n v="24"/>
    <s v="Breaking Bez"/>
    <x v="3"/>
    <s v="COMPLETED"/>
    <s v="0.44444444444444444444"/>
    <s v="0.50000000000000000000"/>
    <s v="0.83333333333333333333"/>
    <s v="0.73333333333333333333"/>
    <s v="0.54545454545454545455"/>
    <n v="0"/>
    <n v="0"/>
    <n v="0"/>
    <n v="0"/>
    <n v="0"/>
    <n v="0"/>
    <n v="0"/>
    <n v="0"/>
    <n v="0"/>
    <n v="0"/>
    <n v="0"/>
    <n v="0"/>
    <n v="0"/>
    <n v="0"/>
    <n v="1"/>
    <n v="0"/>
    <n v="0"/>
    <n v="0"/>
    <n v="0"/>
    <n v="0"/>
    <n v="0"/>
    <n v="0"/>
    <n v="0"/>
    <n v="0"/>
    <n v="0"/>
    <s v="-"/>
    <n v="1"/>
    <n v="1"/>
    <n v="1"/>
    <n v="1"/>
    <n v="1"/>
    <n v="1"/>
  </r>
  <r>
    <s v="2025-08-06 01:00:00.000 +0100"/>
    <x v="7"/>
    <s v="Wednesday"/>
    <d v="1899-12-30T00:25:05"/>
    <n v="19"/>
    <s v="Details Matter"/>
    <x v="5"/>
    <s v="COMPLETED"/>
    <s v="0.77777777777777777778"/>
    <s v="1.00000000000000000000"/>
    <s v="0.66666666666666666667"/>
    <s v="0.40000000000000000000"/>
    <s v="0.18181818181818181818"/>
    <n v="0"/>
    <n v="0"/>
    <n v="0"/>
    <n v="0"/>
    <n v="0"/>
    <n v="0"/>
    <n v="1"/>
    <n v="1"/>
    <n v="0"/>
    <n v="0"/>
    <n v="0"/>
    <n v="0"/>
    <n v="0"/>
    <n v="0"/>
    <n v="1"/>
    <n v="0"/>
    <n v="0"/>
    <n v="0"/>
    <n v="0"/>
    <n v="0"/>
    <n v="0"/>
    <n v="0"/>
    <n v="0"/>
    <n v="0"/>
    <n v="0"/>
    <s v="-"/>
    <n v="1"/>
    <n v="3"/>
    <n v="1"/>
    <n v="1"/>
    <n v="1"/>
    <n v="1"/>
  </r>
  <r>
    <s v="2025-08-12 01:00:00.000 +0100"/>
    <x v="7"/>
    <s v="Tuesday  "/>
    <d v="1899-12-30T00:20:01"/>
    <n v="14"/>
    <s v="Missing Delivery"/>
    <x v="2"/>
    <s v="OUT_OF_TIME"/>
    <s v="0.33333333333333333333"/>
    <s v="1.00000000000000000000"/>
    <s v="0.33333333333333333333"/>
    <s v="0.26666666666666666667"/>
    <s v="0.36363636363636363636"/>
    <n v="0"/>
    <n v="0"/>
    <n v="0"/>
    <n v="0"/>
    <n v="0"/>
    <n v="0"/>
    <n v="0"/>
    <n v="0"/>
    <n v="1"/>
    <n v="1"/>
    <n v="0"/>
    <n v="0"/>
    <n v="0"/>
    <n v="0"/>
    <n v="1"/>
    <n v="0"/>
    <n v="0"/>
    <n v="0"/>
    <n v="0"/>
    <n v="0"/>
    <n v="0"/>
    <n v="0"/>
    <n v="0"/>
    <n v="0"/>
    <n v="0"/>
    <s v="-"/>
    <n v="1"/>
    <n v="2"/>
    <n v="1"/>
    <n v="1"/>
    <n v="2"/>
    <n v="1"/>
  </r>
  <r>
    <s v="2025-08-13 01:00:00.000 +0100"/>
    <x v="7"/>
    <s v="Wednesday"/>
    <d v="1899-12-30T00:16:24"/>
    <n v="14"/>
    <s v="Missing Delivery"/>
    <x v="8"/>
    <s v="COMPLETED"/>
    <s v="0.55555555555555555556"/>
    <s v="0.50000000000000000000"/>
    <s v="0.66666666666666666667"/>
    <s v="0.33333333333333333333"/>
    <s v="0.18181818181818181818"/>
    <n v="0"/>
    <n v="0"/>
    <n v="0"/>
    <n v="0"/>
    <n v="0"/>
    <n v="0"/>
    <n v="0"/>
    <n v="0"/>
    <n v="1"/>
    <n v="1"/>
    <n v="0"/>
    <n v="0"/>
    <n v="0"/>
    <n v="0"/>
    <n v="1"/>
    <n v="0"/>
    <n v="0"/>
    <n v="0"/>
    <n v="0"/>
    <n v="0"/>
    <n v="0"/>
    <n v="0"/>
    <n v="0"/>
    <n v="0"/>
    <n v="0"/>
    <s v="-"/>
    <n v="1"/>
    <n v="2"/>
    <n v="1"/>
    <n v="1"/>
    <n v="2"/>
    <n v="1"/>
  </r>
  <r>
    <s v="2025-08-14 01:00:00.000 +0100"/>
    <x v="7"/>
    <s v="Thursday "/>
    <d v="1899-12-30T00:22:56"/>
    <n v="8"/>
    <s v="The Chain"/>
    <x v="0"/>
    <s v="COMPLETED"/>
    <s v="0.44444444444444444444"/>
    <s v="1.00000000000000000000"/>
    <s v="0.66666666666666666667"/>
    <s v="0.53333333333333333333"/>
    <s v="0.36363636363636363636"/>
    <n v="0"/>
    <n v="0"/>
    <n v="0"/>
    <n v="0"/>
    <n v="0"/>
    <n v="0"/>
    <n v="0"/>
    <n v="1"/>
    <n v="0"/>
    <n v="0"/>
    <n v="0"/>
    <n v="0"/>
    <n v="1"/>
    <n v="0"/>
    <n v="0"/>
    <n v="0"/>
    <n v="0"/>
    <n v="0"/>
    <n v="0"/>
    <n v="0"/>
    <n v="0"/>
    <n v="0"/>
    <n v="0"/>
    <n v="1"/>
    <n v="0"/>
    <s v="-"/>
    <n v="0"/>
    <n v="1"/>
    <n v="2"/>
    <n v="0"/>
    <n v="0"/>
    <n v="1"/>
  </r>
  <r>
    <s v="2025-08-20 01:00:00.000 +0100"/>
    <x v="7"/>
    <s v="Wednesday"/>
    <d v="1899-12-30T00:16:41"/>
    <n v="7"/>
    <s v="Rumours"/>
    <x v="7"/>
    <s v="COMPLETED"/>
    <s v="0.55555555555555555556"/>
    <s v="1.00000000000000000000"/>
    <s v="0.33333333333333333333"/>
    <s v="0.06666666666666666667"/>
    <s v="0.09090909090909090909"/>
    <n v="0"/>
    <n v="0"/>
    <n v="0"/>
    <n v="0"/>
    <n v="0"/>
    <n v="0"/>
    <n v="1"/>
    <n v="0"/>
    <n v="1"/>
    <n v="0"/>
    <n v="0"/>
    <n v="0"/>
    <n v="0"/>
    <n v="0"/>
    <n v="0"/>
    <n v="0"/>
    <n v="0"/>
    <n v="0"/>
    <n v="0"/>
    <n v="0"/>
    <n v="0"/>
    <n v="1"/>
    <n v="0"/>
    <n v="0"/>
    <n v="0"/>
    <s v="-"/>
    <n v="0"/>
    <n v="2"/>
    <n v="0"/>
    <n v="1"/>
    <n v="0"/>
    <n v="0"/>
  </r>
  <r>
    <s v="2025-08-22 01:00:00.000 +0100"/>
    <x v="7"/>
    <s v="Friday   "/>
    <d v="1899-12-30T00:18:24"/>
    <n v="14"/>
    <s v="Missing Delivery"/>
    <x v="6"/>
    <s v="COMPLETED"/>
    <s v="0.88888888888888888889"/>
    <s v="1.00000000000000000000"/>
    <s v="0.83333333333333333333"/>
    <s v="0.66666666666666666667"/>
    <s v="0.54545454545454545455"/>
    <n v="0"/>
    <n v="0"/>
    <n v="0"/>
    <n v="0"/>
    <n v="0"/>
    <n v="0"/>
    <n v="0"/>
    <n v="0"/>
    <n v="1"/>
    <n v="1"/>
    <n v="0"/>
    <n v="0"/>
    <n v="0"/>
    <n v="0"/>
    <n v="1"/>
    <n v="0"/>
    <n v="0"/>
    <n v="0"/>
    <n v="0"/>
    <n v="0"/>
    <n v="0"/>
    <n v="0"/>
    <n v="0"/>
    <n v="0"/>
    <n v="0"/>
    <s v="-"/>
    <n v="1"/>
    <n v="2"/>
    <n v="1"/>
    <n v="1"/>
    <n v="2"/>
    <n v="1"/>
  </r>
  <r>
    <s v="2025-09-01 01:00:00.000 +0100"/>
    <x v="8"/>
    <s v="Monday   "/>
    <d v="1899-12-30T00:20:01"/>
    <n v="4"/>
    <s v="Roblox"/>
    <x v="3"/>
    <s v="OUT_OF_TIME"/>
    <s v="0.55555555555555555556"/>
    <s v="1.00000000000000000000"/>
    <s v="0.50000000000000000000"/>
    <s v="0.46666666666666666667"/>
    <s v="0.27272727272727272727"/>
    <n v="1"/>
    <n v="0"/>
    <n v="0"/>
    <n v="0"/>
    <n v="0"/>
    <n v="0"/>
    <n v="0"/>
    <n v="0"/>
    <n v="0"/>
    <n v="0"/>
    <n v="0"/>
    <n v="0"/>
    <n v="0"/>
    <n v="0"/>
    <n v="1"/>
    <n v="0"/>
    <n v="1"/>
    <n v="0"/>
    <n v="1"/>
    <n v="0"/>
    <n v="0"/>
    <n v="0"/>
    <n v="0"/>
    <n v="0"/>
    <n v="0"/>
    <s v="-"/>
    <n v="1"/>
    <n v="4"/>
    <n v="1"/>
    <n v="1"/>
    <n v="1"/>
    <n v="1"/>
  </r>
  <r>
    <s v="2025-09-09 01:00:00.000 +0100"/>
    <x v="8"/>
    <s v="Tuesday  "/>
    <d v="1899-12-30T00:20:01"/>
    <n v="4"/>
    <s v="Roblox"/>
    <x v="2"/>
    <s v="OUT_OF_TIME"/>
    <s v="0.44444444444444444444"/>
    <s v="1.00000000000000000000"/>
    <s v="0.83333333333333333333"/>
    <s v="0.60000000000000000000"/>
    <s v="0.27272727272727272727"/>
    <n v="1"/>
    <n v="0"/>
    <n v="0"/>
    <n v="0"/>
    <n v="0"/>
    <n v="0"/>
    <n v="0"/>
    <n v="0"/>
    <n v="0"/>
    <n v="0"/>
    <n v="0"/>
    <n v="0"/>
    <n v="0"/>
    <n v="0"/>
    <n v="1"/>
    <n v="0"/>
    <n v="1"/>
    <n v="0"/>
    <n v="1"/>
    <n v="0"/>
    <n v="0"/>
    <n v="0"/>
    <n v="0"/>
    <n v="0"/>
    <n v="0"/>
    <s v="-"/>
    <n v="1"/>
    <n v="4"/>
    <n v="1"/>
    <n v="1"/>
    <n v="1"/>
    <n v="1"/>
  </r>
  <r>
    <s v="2025-09-10 01:00:00.000 +0100"/>
    <x v="8"/>
    <s v="Wednesday"/>
    <d v="1899-12-30T00:19:54"/>
    <n v="18"/>
    <s v="The Switch"/>
    <x v="8"/>
    <s v="COMPLETED"/>
    <s v="0.66666666666666666667"/>
    <s v="1.00000000000000000000"/>
    <s v="0.66666666666666666667"/>
    <s v="0.60000000000000000000"/>
    <s v="0.36363636363636363636"/>
    <n v="0"/>
    <n v="0"/>
    <n v="0"/>
    <n v="0"/>
    <n v="1"/>
    <n v="0"/>
    <n v="1"/>
    <n v="1"/>
    <n v="0"/>
    <n v="0"/>
    <n v="0"/>
    <n v="1"/>
    <n v="0"/>
    <n v="0"/>
    <n v="0"/>
    <n v="0"/>
    <n v="0"/>
    <n v="0"/>
    <n v="0"/>
    <n v="0"/>
    <n v="0"/>
    <n v="0"/>
    <n v="0"/>
    <n v="1"/>
    <n v="0"/>
    <s v="-"/>
    <n v="0"/>
    <n v="3"/>
    <n v="1"/>
    <n v="0"/>
    <n v="1"/>
    <n v="1"/>
  </r>
  <r>
    <s v="2025-09-12 01:00:00.000 +0100"/>
    <x v="8"/>
    <s v="Friday   "/>
    <d v="1899-12-30T00:29:36"/>
    <n v="30"/>
    <s v="DEFCON 1"/>
    <x v="1"/>
    <s v="COMPLETED"/>
    <s v="0.77777777777777777778"/>
    <s v="0.50000000000000000000"/>
    <s v="0.50000000000000000000"/>
    <s v="0.66666666666666666667"/>
    <s v="0.63636363636363636364"/>
    <n v="0"/>
    <n v="1"/>
    <n v="0"/>
    <n v="0"/>
    <n v="0"/>
    <n v="1"/>
    <n v="0"/>
    <n v="0"/>
    <n v="0"/>
    <n v="0"/>
    <n v="1"/>
    <n v="0"/>
    <n v="0"/>
    <n v="0"/>
    <n v="0"/>
    <n v="0"/>
    <n v="0"/>
    <n v="1"/>
    <n v="0"/>
    <n v="0"/>
    <n v="0"/>
    <n v="0"/>
    <n v="0"/>
    <n v="0"/>
    <n v="0"/>
    <s v="-"/>
    <n v="1"/>
    <n v="2"/>
    <n v="2"/>
    <n v="2"/>
    <n v="2"/>
    <n v="0"/>
  </r>
  <r>
    <s v="2025-09-12 01:00:00.000 +0100"/>
    <x v="8"/>
    <s v="Friday   "/>
    <d v="1899-12-30T00:30:02"/>
    <n v="24"/>
    <s v="Breaking Bez"/>
    <x v="4"/>
    <s v="OUT_OF_TIME"/>
    <s v="0.66666666666666666667"/>
    <s v="1.00000000000000000000"/>
    <s v="0.33333333333333333333"/>
    <s v="0.33333333333333333333"/>
    <s v="0.27272727272727272727"/>
    <n v="0"/>
    <n v="0"/>
    <n v="0"/>
    <n v="0"/>
    <n v="0"/>
    <n v="0"/>
    <n v="0"/>
    <n v="0"/>
    <n v="0"/>
    <n v="0"/>
    <n v="0"/>
    <n v="0"/>
    <n v="0"/>
    <n v="0"/>
    <n v="1"/>
    <n v="0"/>
    <n v="0"/>
    <n v="0"/>
    <n v="0"/>
    <n v="0"/>
    <n v="0"/>
    <n v="0"/>
    <n v="0"/>
    <n v="0"/>
    <n v="0"/>
    <s v="-"/>
    <n v="1"/>
    <n v="1"/>
    <n v="1"/>
    <n v="1"/>
    <n v="1"/>
    <n v="1"/>
  </r>
  <r>
    <s v="2025-09-15 01:00:00.000 +0100"/>
    <x v="8"/>
    <s v="Monday   "/>
    <d v="1899-12-30T00:19:52"/>
    <n v="20"/>
    <s v="The Disappearing Act"/>
    <x v="3"/>
    <s v="COMPLETED"/>
    <s v="0.66666666666666666667"/>
    <s v="1.00000000000000000000"/>
    <s v="0.66666666666666666667"/>
    <s v="0.60000000000000000000"/>
    <s v="0.27272727272727272727"/>
    <n v="0"/>
    <n v="0"/>
    <n v="0"/>
    <n v="1"/>
    <n v="1"/>
    <n v="0"/>
    <n v="0"/>
    <n v="1"/>
    <n v="0"/>
    <n v="0"/>
    <n v="0"/>
    <n v="0"/>
    <n v="0"/>
    <n v="0"/>
    <n v="1"/>
    <n v="0"/>
    <n v="0"/>
    <n v="0"/>
    <n v="0"/>
    <n v="0"/>
    <n v="0"/>
    <n v="0"/>
    <n v="0"/>
    <n v="0"/>
    <n v="0"/>
    <s v="-"/>
    <n v="1"/>
    <n v="2"/>
    <n v="1"/>
    <n v="1"/>
    <n v="3"/>
    <n v="1"/>
  </r>
  <r>
    <s v="2025-09-17 01:00:00.000 +0100"/>
    <x v="8"/>
    <s v="Wednesday"/>
    <d v="1899-12-30T00:26:20"/>
    <n v="30"/>
    <s v="DEFCON 1"/>
    <x v="7"/>
    <s v="COMPLETED"/>
    <s v="0.55555555555555555556"/>
    <s v="1.00000000000000000000"/>
    <s v="0.66666666666666666667"/>
    <s v="0.40000000000000000000"/>
    <s v="0.36363636363636363636"/>
    <n v="0"/>
    <n v="1"/>
    <n v="0"/>
    <n v="0"/>
    <n v="0"/>
    <n v="1"/>
    <n v="0"/>
    <n v="0"/>
    <n v="0"/>
    <n v="0"/>
    <n v="1"/>
    <n v="0"/>
    <n v="0"/>
    <n v="0"/>
    <n v="0"/>
    <n v="0"/>
    <n v="0"/>
    <n v="1"/>
    <n v="0"/>
    <n v="0"/>
    <n v="0"/>
    <n v="0"/>
    <n v="0"/>
    <n v="0"/>
    <n v="0"/>
    <s v="-"/>
    <n v="1"/>
    <n v="2"/>
    <n v="2"/>
    <n v="2"/>
    <n v="2"/>
    <n v="0"/>
  </r>
  <r>
    <s v="2025-09-17 01:00:00.000 +0100"/>
    <x v="8"/>
    <s v="Wednesday"/>
    <d v="1899-12-30T00:18:46"/>
    <n v="14"/>
    <s v="Missing Delivery"/>
    <x v="5"/>
    <s v="COMPLETED"/>
    <s v="0.88888888888888888889"/>
    <s v="1.00000000000000000000"/>
    <s v="0.83333333333333333333"/>
    <s v="0.86666666666666666667"/>
    <s v="0.72727272727272727273"/>
    <n v="0"/>
    <n v="0"/>
    <n v="0"/>
    <n v="0"/>
    <n v="0"/>
    <n v="0"/>
    <n v="0"/>
    <n v="0"/>
    <n v="1"/>
    <n v="1"/>
    <n v="0"/>
    <n v="0"/>
    <n v="0"/>
    <n v="0"/>
    <n v="1"/>
    <n v="0"/>
    <n v="0"/>
    <n v="0"/>
    <n v="0"/>
    <n v="0"/>
    <n v="0"/>
    <n v="0"/>
    <n v="0"/>
    <n v="0"/>
    <n v="0"/>
    <s v="-"/>
    <n v="1"/>
    <n v="2"/>
    <n v="1"/>
    <n v="1"/>
    <n v="2"/>
    <n v="1"/>
  </r>
  <r>
    <s v="2025-09-22 01:00:00.000 +0100"/>
    <x v="8"/>
    <s v="Monday   "/>
    <d v="1899-12-30T00:18:39"/>
    <n v="14"/>
    <s v="Missing Delivery"/>
    <x v="0"/>
    <s v="COMPLETED"/>
    <s v="0.88888888888888888889"/>
    <s v="1.00000000000000000000"/>
    <s v="0.83333333333333333333"/>
    <s v="0.86666666666666666667"/>
    <s v="0.72727272727272727273"/>
    <n v="0"/>
    <n v="0"/>
    <n v="0"/>
    <n v="0"/>
    <n v="0"/>
    <n v="0"/>
    <n v="0"/>
    <n v="0"/>
    <n v="1"/>
    <n v="1"/>
    <n v="0"/>
    <n v="0"/>
    <n v="0"/>
    <n v="0"/>
    <n v="1"/>
    <n v="0"/>
    <n v="0"/>
    <n v="0"/>
    <n v="0"/>
    <n v="0"/>
    <n v="0"/>
    <n v="0"/>
    <n v="0"/>
    <n v="0"/>
    <n v="0"/>
    <s v="-"/>
    <n v="1"/>
    <n v="2"/>
    <n v="1"/>
    <n v="1"/>
    <n v="2"/>
    <n v="1"/>
  </r>
  <r>
    <s v="2025-09-26 01:00:00.000 +0100"/>
    <x v="8"/>
    <s v="Friday   "/>
    <d v="1899-12-30T00:39:16"/>
    <n v="30"/>
    <s v="DEFCON 1"/>
    <x v="4"/>
    <s v="COMPLETED"/>
    <s v="0.77777777777777777778"/>
    <s v="1.00000000000000000000"/>
    <s v="0.83333333333333333333"/>
    <s v="0.53333333333333333333"/>
    <s v="0.63636363636363636364"/>
    <n v="0"/>
    <n v="1"/>
    <n v="0"/>
    <n v="0"/>
    <n v="0"/>
    <n v="1"/>
    <n v="0"/>
    <n v="0"/>
    <n v="0"/>
    <n v="0"/>
    <n v="1"/>
    <n v="0"/>
    <n v="0"/>
    <n v="0"/>
    <n v="0"/>
    <n v="0"/>
    <n v="0"/>
    <n v="1"/>
    <n v="0"/>
    <n v="0"/>
    <n v="0"/>
    <n v="0"/>
    <n v="0"/>
    <n v="0"/>
    <n v="0"/>
    <s v="-"/>
    <n v="1"/>
    <n v="2"/>
    <n v="2"/>
    <n v="2"/>
    <n v="2"/>
    <n v="0"/>
  </r>
  <r>
    <s v="2025-09-29 01:00:00.000 +0100"/>
    <x v="8"/>
    <s v="Monday   "/>
    <d v="1899-12-30T00:35:20"/>
    <n v="30"/>
    <s v="DEFCON 1"/>
    <x v="3"/>
    <s v="COMPLETED"/>
    <s v="0.77777777777777777778"/>
    <s v="1.00000000000000000000"/>
    <s v="0.83333333333333333333"/>
    <s v="0.66666666666666666667"/>
    <s v="0.63636363636363636364"/>
    <n v="0"/>
    <n v="1"/>
    <n v="0"/>
    <n v="0"/>
    <n v="0"/>
    <n v="1"/>
    <n v="0"/>
    <n v="0"/>
    <n v="0"/>
    <n v="0"/>
    <n v="1"/>
    <n v="0"/>
    <n v="0"/>
    <n v="0"/>
    <n v="0"/>
    <n v="0"/>
    <n v="0"/>
    <n v="1"/>
    <n v="0"/>
    <n v="0"/>
    <n v="0"/>
    <n v="0"/>
    <n v="0"/>
    <n v="0"/>
    <n v="0"/>
    <s v="-"/>
    <n v="1"/>
    <n v="2"/>
    <n v="2"/>
    <n v="2"/>
    <n v="2"/>
    <n v="0"/>
  </r>
  <r>
    <s v="2025-09-30 01:00:00.000 +0100"/>
    <x v="8"/>
    <s v="Tuesday  "/>
    <d v="1899-12-30T00:36:23"/>
    <n v="30"/>
    <s v="DEFCON 1"/>
    <x v="2"/>
    <s v="COMPLETED"/>
    <s v="0.77777777777777777778"/>
    <s v="1.00000000000000000000"/>
    <s v="0.66666666666666666667"/>
    <s v="0.53333333333333333333"/>
    <s v="0.45454545454545454545"/>
    <n v="0"/>
    <n v="1"/>
    <n v="0"/>
    <n v="0"/>
    <n v="0"/>
    <n v="1"/>
    <n v="0"/>
    <n v="0"/>
    <n v="0"/>
    <n v="0"/>
    <n v="1"/>
    <n v="0"/>
    <n v="0"/>
    <n v="0"/>
    <n v="0"/>
    <n v="0"/>
    <n v="0"/>
    <n v="1"/>
    <n v="0"/>
    <n v="0"/>
    <n v="0"/>
    <n v="0"/>
    <n v="0"/>
    <n v="0"/>
    <n v="0"/>
    <s v="-"/>
    <n v="1"/>
    <n v="2"/>
    <n v="2"/>
    <n v="2"/>
    <n v="2"/>
    <n v="0"/>
  </r>
  <r>
    <s v="2025-10-09 01:00:00.000 +0100"/>
    <x v="9"/>
    <s v="Thursday "/>
    <d v="1899-12-30T00:26:19"/>
    <n v="30"/>
    <s v="DEFCON 1"/>
    <x v="8"/>
    <s v="COMPLETED"/>
    <s v="0.66666666666666666667"/>
    <s v="1.00000000000000000000"/>
    <s v="0.66666666666666666667"/>
    <s v="0.66666666666666666667"/>
    <s v="0.54545454545454545455"/>
    <n v="0"/>
    <n v="1"/>
    <n v="0"/>
    <n v="0"/>
    <n v="0"/>
    <n v="1"/>
    <n v="0"/>
    <n v="0"/>
    <n v="0"/>
    <n v="0"/>
    <n v="1"/>
    <n v="0"/>
    <n v="0"/>
    <n v="0"/>
    <n v="0"/>
    <n v="0"/>
    <n v="0"/>
    <n v="1"/>
    <n v="0"/>
    <n v="0"/>
    <n v="0"/>
    <n v="0"/>
    <n v="0"/>
    <n v="0"/>
    <n v="0"/>
    <s v="-"/>
    <n v="1"/>
    <n v="2"/>
    <n v="2"/>
    <n v="2"/>
    <n v="2"/>
    <n v="0"/>
  </r>
  <r>
    <s v="2025-10-10 01:00:00.000 +0100"/>
    <x v="9"/>
    <s v="Friday   "/>
    <d v="1899-12-30T00:37:39"/>
    <n v="30"/>
    <s v="DEFCON 1"/>
    <x v="6"/>
    <s v="COMPLETED"/>
    <s v="0.33333333333333333333"/>
    <s v="1.00000000000000000000"/>
    <s v="0.50000000000000000000"/>
    <s v="0.33333333333333333333"/>
    <s v="0.36363636363636363636"/>
    <n v="0"/>
    <n v="1"/>
    <n v="0"/>
    <n v="0"/>
    <n v="0"/>
    <n v="1"/>
    <n v="0"/>
    <n v="0"/>
    <n v="0"/>
    <n v="0"/>
    <n v="1"/>
    <n v="0"/>
    <n v="0"/>
    <n v="0"/>
    <n v="0"/>
    <n v="0"/>
    <n v="0"/>
    <n v="1"/>
    <n v="0"/>
    <n v="0"/>
    <n v="0"/>
    <n v="0"/>
    <n v="0"/>
    <n v="0"/>
    <n v="0"/>
    <s v="-"/>
    <n v="1"/>
    <n v="2"/>
    <n v="2"/>
    <n v="2"/>
    <n v="2"/>
    <n v="0"/>
  </r>
  <r>
    <s v="2025-10-15 01:00:00.000 +0100"/>
    <x v="9"/>
    <s v="Wednesday"/>
    <d v="1899-12-30T00:32:43"/>
    <n v="30"/>
    <s v="DEFCON 1"/>
    <x v="9"/>
    <s v="COMPLETED"/>
    <s v="0.66666666666666666667"/>
    <s v="1.00000000000000000000"/>
    <s v="0.50000000000000000000"/>
    <s v="0.33333333333333333333"/>
    <s v="0.27272727272727272727"/>
    <n v="0"/>
    <n v="1"/>
    <n v="0"/>
    <n v="0"/>
    <n v="0"/>
    <n v="1"/>
    <n v="0"/>
    <n v="0"/>
    <n v="0"/>
    <n v="0"/>
    <n v="1"/>
    <n v="0"/>
    <n v="0"/>
    <n v="0"/>
    <n v="0"/>
    <n v="0"/>
    <n v="0"/>
    <n v="1"/>
    <n v="0"/>
    <n v="0"/>
    <n v="0"/>
    <n v="0"/>
    <n v="0"/>
    <n v="0"/>
    <n v="0"/>
    <s v="-"/>
    <n v="1"/>
    <n v="2"/>
    <n v="2"/>
    <n v="2"/>
    <n v="2"/>
    <n v="0"/>
  </r>
  <r>
    <s v="2025-10-17 01:00:00.000 +0100"/>
    <x v="9"/>
    <s v="Friday   "/>
    <d v="1899-12-30T00:15:40"/>
    <n v="17"/>
    <s v="Version confusion"/>
    <x v="1"/>
    <s v="COMPLETED"/>
    <s v="0.44444444444444444444"/>
    <s v="1.00000000000000000000"/>
    <s v="0.33333333333333333333"/>
    <s v="0.20000000000000000000"/>
    <s v="0.09090909090909090909"/>
    <n v="0"/>
    <n v="0"/>
    <n v="0"/>
    <n v="0"/>
    <n v="1"/>
    <n v="0"/>
    <n v="1"/>
    <n v="0"/>
    <n v="0"/>
    <n v="0"/>
    <n v="0"/>
    <n v="1"/>
    <n v="0"/>
    <n v="0"/>
    <n v="0"/>
    <n v="0"/>
    <n v="0"/>
    <n v="0"/>
    <n v="0"/>
    <n v="0"/>
    <n v="0"/>
    <n v="0"/>
    <n v="0"/>
    <n v="0"/>
    <n v="0"/>
    <s v="-"/>
    <n v="0"/>
    <n v="2"/>
    <n v="0"/>
    <n v="0"/>
    <n v="1"/>
    <n v="0"/>
  </r>
  <r>
    <s v="2025-10-21 01:00:00.000 +0100"/>
    <x v="9"/>
    <s v="Tuesday  "/>
    <d v="1899-12-30T00:26:05"/>
    <n v="30"/>
    <s v="DEFCON 1"/>
    <x v="0"/>
    <s v="COMPLETED"/>
    <s v="0.44444444444444444444"/>
    <s v="1.00000000000000000000"/>
    <s v="0.66666666666666666667"/>
    <s v="0.26666666666666666667"/>
    <s v="0.27272727272727272727"/>
    <n v="0"/>
    <n v="1"/>
    <n v="0"/>
    <n v="0"/>
    <n v="0"/>
    <n v="1"/>
    <n v="0"/>
    <n v="0"/>
    <n v="0"/>
    <n v="0"/>
    <n v="1"/>
    <n v="0"/>
    <n v="0"/>
    <n v="0"/>
    <n v="0"/>
    <n v="0"/>
    <n v="0"/>
    <n v="1"/>
    <n v="0"/>
    <n v="0"/>
    <n v="0"/>
    <n v="0"/>
    <n v="0"/>
    <n v="0"/>
    <n v="0"/>
    <s v="-"/>
    <n v="1"/>
    <n v="2"/>
    <n v="2"/>
    <n v="2"/>
    <n v="2"/>
    <n v="0"/>
  </r>
  <r>
    <s v="2025-10-27 00:00:00.000 +0000"/>
    <x v="9"/>
    <s v="Monday   "/>
    <d v="1899-12-30T00:18:38"/>
    <n v="31"/>
    <s v="Bezs Beatles Day! V2"/>
    <x v="3"/>
    <s v="COMPLETED"/>
    <s v="0.77777777777777777778"/>
    <s v="1.00000000000000000000"/>
    <s v="0.33333333333333333333"/>
    <s v="0.66666666666666666667"/>
    <s v="0.63636363636363636364"/>
    <n v="0"/>
    <n v="0"/>
    <n v="1"/>
    <n v="0"/>
    <n v="0"/>
    <n v="0"/>
    <n v="0"/>
    <n v="0"/>
    <n v="0"/>
    <n v="0"/>
    <n v="0"/>
    <n v="1"/>
    <n v="0"/>
    <n v="0"/>
    <n v="0"/>
    <n v="0"/>
    <n v="0"/>
    <n v="0"/>
    <n v="0"/>
    <n v="0"/>
    <n v="0"/>
    <n v="0"/>
    <n v="0"/>
    <n v="0"/>
    <n v="0"/>
    <s v="-"/>
    <n v="0"/>
    <n v="1"/>
    <n v="1"/>
    <n v="0"/>
    <n v="0"/>
    <n v="0"/>
  </r>
  <r>
    <s v="2025-10-29 00:00:00.000 +0000"/>
    <x v="9"/>
    <s v="Wednesday"/>
    <d v="1899-12-30T00:30:28"/>
    <n v="30"/>
    <s v="DEFCON 1"/>
    <x v="5"/>
    <s v="COMPLETED"/>
    <s v="0.55555555555555555556"/>
    <s v="1.00000000000000000000"/>
    <s v="0.50000000000000000000"/>
    <s v="0.40000000000000000000"/>
    <s v="0.36363636363636363636"/>
    <n v="0"/>
    <n v="1"/>
    <n v="0"/>
    <n v="0"/>
    <n v="0"/>
    <n v="1"/>
    <n v="0"/>
    <n v="0"/>
    <n v="0"/>
    <n v="0"/>
    <n v="1"/>
    <n v="0"/>
    <n v="0"/>
    <n v="0"/>
    <n v="0"/>
    <n v="0"/>
    <n v="0"/>
    <n v="1"/>
    <n v="0"/>
    <n v="0"/>
    <n v="0"/>
    <n v="0"/>
    <n v="0"/>
    <n v="0"/>
    <n v="0"/>
    <s v="-"/>
    <n v="1"/>
    <n v="2"/>
    <n v="2"/>
    <n v="2"/>
    <n v="2"/>
    <n v="0"/>
  </r>
  <r>
    <s v="2025-11-04 00:00:00.000 +0000"/>
    <x v="10"/>
    <s v="Tuesday  "/>
    <d v="1899-12-30T00:20:01"/>
    <n v="16"/>
    <s v="Radio Silence"/>
    <x v="2"/>
    <s v="OUT_OF_TIME"/>
    <s v="0.77777777777777777778"/>
    <s v="0.50000000000000000000"/>
    <s v="0.66666666666666666667"/>
    <s v="0.46666666666666666667"/>
    <s v="0.27272727272727272727"/>
    <n v="0"/>
    <n v="0"/>
    <n v="0"/>
    <n v="1"/>
    <n v="0"/>
    <n v="0"/>
    <n v="0"/>
    <n v="0"/>
    <n v="0"/>
    <n v="0"/>
    <n v="0"/>
    <n v="0"/>
    <n v="0"/>
    <n v="1"/>
    <n v="0"/>
    <n v="0"/>
    <n v="0"/>
    <n v="0"/>
    <n v="0"/>
    <n v="0"/>
    <n v="0"/>
    <n v="0"/>
    <n v="0"/>
    <n v="0"/>
    <n v="0"/>
    <s v="-"/>
    <n v="0"/>
    <n v="1"/>
    <n v="0"/>
    <n v="0"/>
    <n v="1"/>
    <n v="0"/>
  </r>
  <r>
    <s v="2025-11-14 00:00:00.000 +0000"/>
    <x v="10"/>
    <s v="Friday   "/>
    <d v="1899-12-30T00:25:53"/>
    <n v="24"/>
    <s v="Breaking Bez"/>
    <x v="1"/>
    <s v="COMPLETED"/>
    <s v="0.77777777777777777778"/>
    <s v="0.50000000000000000000"/>
    <s v="0.66666666666666666667"/>
    <s v="0.73333333333333333333"/>
    <s v="0.45454545454545454545"/>
    <n v="0"/>
    <n v="0"/>
    <n v="0"/>
    <n v="0"/>
    <n v="0"/>
    <n v="0"/>
    <n v="0"/>
    <n v="0"/>
    <n v="0"/>
    <n v="0"/>
    <n v="0"/>
    <n v="0"/>
    <n v="0"/>
    <n v="0"/>
    <n v="1"/>
    <n v="0"/>
    <n v="0"/>
    <n v="0"/>
    <n v="0"/>
    <n v="0"/>
    <n v="0"/>
    <n v="0"/>
    <n v="0"/>
    <n v="0"/>
    <n v="0"/>
    <s v="-"/>
    <n v="1"/>
    <n v="1"/>
    <n v="1"/>
    <n v="1"/>
    <n v="1"/>
    <n v="1"/>
  </r>
  <r>
    <s v="2025-11-21 00:00:00.000 +0000"/>
    <x v="10"/>
    <s v="Friday   "/>
    <d v="1899-12-30T00:30:02"/>
    <n v="33"/>
    <s v="The Unknown Unknown"/>
    <x v="4"/>
    <s v="OUT_OF_TIME"/>
    <s v="0.66666666666666666667"/>
    <s v="1.00000000000000000000"/>
    <s v="0.33333333333333333333"/>
    <s v="0.26666666666666666667"/>
    <s v="0.18181818181818181818"/>
    <n v="0"/>
    <n v="0"/>
    <n v="1"/>
    <n v="0"/>
    <n v="0"/>
    <n v="1"/>
    <n v="0"/>
    <n v="0"/>
    <n v="0"/>
    <n v="0"/>
    <n v="0"/>
    <n v="0"/>
    <n v="0"/>
    <n v="0"/>
    <n v="0"/>
    <n v="0"/>
    <n v="0"/>
    <n v="0"/>
    <n v="0"/>
    <n v="0"/>
    <n v="0"/>
    <n v="0"/>
    <n v="0"/>
    <n v="0"/>
    <n v="1"/>
    <s v="-"/>
    <n v="1"/>
    <n v="0"/>
    <n v="1"/>
    <n v="1"/>
    <n v="0"/>
    <n v="0"/>
  </r>
  <r>
    <s v="2025-11-24 00:00:00.000 +0000"/>
    <x v="10"/>
    <s v="Monday   "/>
    <d v="1899-12-30T00:22:59"/>
    <n v="33"/>
    <s v="The Unknown Unknown"/>
    <x v="3"/>
    <s v="COMPLETED"/>
    <s v="0.44444444444444444444"/>
    <s v="0.50000000000000000000"/>
    <s v="0.66666666666666666667"/>
    <s v="0.60000000000000000000"/>
    <s v="0.45454545454545454545"/>
    <n v="0"/>
    <n v="0"/>
    <n v="1"/>
    <n v="0"/>
    <n v="0"/>
    <n v="1"/>
    <n v="0"/>
    <n v="0"/>
    <n v="0"/>
    <n v="0"/>
    <n v="0"/>
    <n v="0"/>
    <n v="0"/>
    <n v="0"/>
    <n v="0"/>
    <n v="0"/>
    <n v="0"/>
    <n v="0"/>
    <n v="0"/>
    <n v="0"/>
    <n v="0"/>
    <n v="0"/>
    <n v="0"/>
    <n v="0"/>
    <n v="1"/>
    <s v="-"/>
    <n v="1"/>
    <n v="0"/>
    <n v="1"/>
    <n v="1"/>
    <n v="0"/>
    <n v="0"/>
  </r>
  <r>
    <s v="2025-11-25 00:00:00.000 +0000"/>
    <x v="10"/>
    <s v="Tuesday  "/>
    <d v="1899-12-30T00:21:01"/>
    <n v="26"/>
    <s v="Discount Disaster"/>
    <x v="8"/>
    <s v="COMPLETED"/>
    <s v="1.00000000000000000000"/>
    <s v="1.00000000000000000000"/>
    <s v="0.66666666666666666667"/>
    <s v="0.80000000000000000000"/>
    <s v="0.63636363636363636364"/>
    <n v="0"/>
    <n v="0"/>
    <n v="0"/>
    <n v="0"/>
    <n v="0"/>
    <n v="0"/>
    <n v="1"/>
    <n v="0"/>
    <n v="0"/>
    <n v="0"/>
    <n v="0"/>
    <n v="1"/>
    <n v="0"/>
    <n v="0"/>
    <n v="0"/>
    <n v="1"/>
    <n v="0"/>
    <n v="0"/>
    <n v="0"/>
    <n v="0"/>
    <n v="0"/>
    <n v="0"/>
    <n v="0"/>
    <n v="0"/>
    <n v="0"/>
    <s v="-"/>
    <n v="0"/>
    <n v="2"/>
    <n v="0"/>
    <n v="0"/>
    <n v="0"/>
    <n v="0"/>
  </r>
  <r>
    <s v="2025-11-26 00:00:00.000 +0000"/>
    <x v="10"/>
    <s v="Wednesday"/>
    <d v="1899-12-30T00:23:12"/>
    <n v="33"/>
    <s v="The Unknown Unknown"/>
    <x v="7"/>
    <s v="COMPLETED"/>
    <s v="0.44444444444444444444"/>
    <s v="1.00000000000000000000"/>
    <s v="0.66666666666666666667"/>
    <s v="0.53333333333333333333"/>
    <s v="0.36363636363636363636"/>
    <n v="0"/>
    <n v="0"/>
    <n v="1"/>
    <n v="0"/>
    <n v="0"/>
    <n v="1"/>
    <n v="0"/>
    <n v="0"/>
    <n v="0"/>
    <n v="0"/>
    <n v="0"/>
    <n v="0"/>
    <n v="0"/>
    <n v="0"/>
    <n v="0"/>
    <n v="0"/>
    <n v="0"/>
    <n v="0"/>
    <n v="0"/>
    <n v="0"/>
    <n v="0"/>
    <n v="0"/>
    <n v="0"/>
    <n v="0"/>
    <n v="1"/>
    <s v="-"/>
    <n v="1"/>
    <n v="0"/>
    <n v="1"/>
    <n v="1"/>
    <n v="0"/>
    <n v="0"/>
  </r>
  <r>
    <s v="2025-12-12 00:00:00.000 +0000"/>
    <x v="11"/>
    <s v="Friday   "/>
    <d v="1899-12-30T00:20:02"/>
    <n v="4"/>
    <s v="Roblox"/>
    <x v="6"/>
    <s v="OUT_OF_TIME"/>
    <s v="0.55555555555555555556"/>
    <s v="1.00000000000000000000"/>
    <s v="0.33333333333333333333"/>
    <s v="0.40000000000000000000"/>
    <s v="0.18181818181818181818"/>
    <n v="1"/>
    <n v="0"/>
    <n v="0"/>
    <n v="0"/>
    <n v="0"/>
    <n v="0"/>
    <n v="0"/>
    <n v="0"/>
    <n v="0"/>
    <n v="0"/>
    <n v="0"/>
    <n v="0"/>
    <n v="0"/>
    <n v="0"/>
    <n v="1"/>
    <n v="0"/>
    <n v="1"/>
    <n v="0"/>
    <n v="1"/>
    <n v="0"/>
    <n v="0"/>
    <n v="0"/>
    <n v="0"/>
    <n v="0"/>
    <n v="0"/>
    <s v="-"/>
    <n v="1"/>
    <n v="4"/>
    <n v="1"/>
    <n v="1"/>
    <n v="1"/>
    <n v="1"/>
  </r>
  <r>
    <s v="2025-12-17 00:00:00.000 +0000"/>
    <x v="11"/>
    <s v="Wednesday"/>
    <d v="1899-12-30T00:24:09"/>
    <n v="28"/>
    <s v="Memory Lane"/>
    <x v="9"/>
    <s v="COMPLETED"/>
    <s v="0.44444444444444444444"/>
    <s v="1.00000000000000000000"/>
    <s v="0.50000000000000000000"/>
    <s v="0.40000000000000000000"/>
    <s v="0.18181818181818181818"/>
    <n v="0"/>
    <n v="0"/>
    <n v="0"/>
    <n v="0"/>
    <n v="0"/>
    <n v="1"/>
    <n v="1"/>
    <n v="0"/>
    <n v="0"/>
    <n v="0"/>
    <n v="0"/>
    <n v="0"/>
    <n v="0"/>
    <n v="0"/>
    <n v="0"/>
    <n v="0"/>
    <n v="0"/>
    <n v="0"/>
    <n v="0"/>
    <n v="0"/>
    <n v="0"/>
    <n v="0"/>
    <n v="0"/>
    <n v="1"/>
    <n v="0"/>
    <s v="-"/>
    <n v="0"/>
    <n v="1"/>
    <n v="1"/>
    <n v="1"/>
    <n v="0"/>
    <n v="1"/>
  </r>
  <r>
    <s v="2026-01-09 00:00:00.000 +0000"/>
    <x v="12"/>
    <s v="Friday   "/>
    <d v="1899-12-30T00:33:32"/>
    <n v="33"/>
    <s v="The Unknown Unknown"/>
    <x v="6"/>
    <s v="COMPLETED"/>
    <s v="0.55555555555555555556"/>
    <s v="1.00000000000000000000"/>
    <s v="0.50000000000000000000"/>
    <s v="0.46666666666666666667"/>
    <s v="0.18181818181818181818"/>
    <n v="0"/>
    <n v="0"/>
    <n v="1"/>
    <n v="0"/>
    <n v="0"/>
    <n v="1"/>
    <n v="0"/>
    <n v="0"/>
    <n v="0"/>
    <n v="0"/>
    <n v="0"/>
    <n v="0"/>
    <n v="0"/>
    <n v="0"/>
    <n v="0"/>
    <n v="0"/>
    <n v="0"/>
    <n v="0"/>
    <n v="0"/>
    <n v="0"/>
    <n v="0"/>
    <n v="0"/>
    <n v="0"/>
    <n v="0"/>
    <n v="1"/>
    <s v="-"/>
    <n v="1"/>
    <n v="0"/>
    <n v="1"/>
    <n v="1"/>
    <n v="0"/>
    <n v="0"/>
  </r>
  <r>
    <s v="2026-01-13 00:00:00.000 +0000"/>
    <x v="12"/>
    <s v="Tuesday  "/>
    <d v="1899-12-30T00:30:57"/>
    <n v="33"/>
    <s v="The Unknown Unknown"/>
    <x v="2"/>
    <s v="COMPLETED"/>
    <s v="0.66666666666666666667"/>
    <s v="1.00000000000000000000"/>
    <s v="0.66666666666666666667"/>
    <s v="0.53333333333333333333"/>
    <s v="0.45454545454545454545"/>
    <n v="0"/>
    <n v="0"/>
    <n v="1"/>
    <n v="0"/>
    <n v="0"/>
    <n v="1"/>
    <n v="0"/>
    <n v="0"/>
    <n v="0"/>
    <n v="0"/>
    <n v="0"/>
    <n v="0"/>
    <n v="0"/>
    <n v="0"/>
    <n v="0"/>
    <n v="0"/>
    <n v="0"/>
    <n v="0"/>
    <n v="0"/>
    <n v="0"/>
    <n v="0"/>
    <n v="0"/>
    <n v="0"/>
    <n v="0"/>
    <n v="1"/>
    <s v="-"/>
    <n v="1"/>
    <n v="0"/>
    <n v="1"/>
    <n v="1"/>
    <n v="0"/>
    <n v="0"/>
  </r>
  <r>
    <s v="2026-01-14 00:00:00.000 +0000"/>
    <x v="12"/>
    <s v="Wednesday"/>
    <d v="1899-12-30T00:22:30"/>
    <n v="33"/>
    <s v="The Unknown Unknown"/>
    <x v="9"/>
    <s v="COMPLETED"/>
    <s v="0.33333333333333333333"/>
    <s v="0.50000000000000000000"/>
    <s v="0.50000000000000000000"/>
    <s v="0.33333333333333333333"/>
    <s v="0.09090909090909090909"/>
    <n v="0"/>
    <n v="0"/>
    <n v="1"/>
    <n v="0"/>
    <n v="0"/>
    <n v="1"/>
    <n v="0"/>
    <n v="0"/>
    <n v="0"/>
    <n v="0"/>
    <n v="0"/>
    <n v="0"/>
    <n v="0"/>
    <n v="0"/>
    <n v="0"/>
    <n v="0"/>
    <n v="0"/>
    <n v="0"/>
    <n v="0"/>
    <n v="0"/>
    <n v="0"/>
    <n v="0"/>
    <n v="0"/>
    <n v="0"/>
    <n v="1"/>
    <s v="-"/>
    <n v="1"/>
    <n v="0"/>
    <n v="1"/>
    <n v="1"/>
    <n v="0"/>
    <n v="0"/>
  </r>
  <r>
    <s v="2026-01-16 00:00:00.000 +0000"/>
    <x v="12"/>
    <s v="Friday   "/>
    <d v="1899-12-30T00:12:12"/>
    <n v="29"/>
    <s v="Too Good To Be True"/>
    <x v="10"/>
    <s v="COMPLETED"/>
    <s v="0.66666666666666666667"/>
    <s v="1.00000000000000000000"/>
    <s v="0.66666666666666666667"/>
    <s v="0.26666666666666666667"/>
    <s v="0.18181818181818181818"/>
    <n v="0"/>
    <n v="0"/>
    <n v="1"/>
    <n v="0"/>
    <n v="0"/>
    <n v="0"/>
    <n v="0"/>
    <n v="0"/>
    <n v="0"/>
    <n v="0"/>
    <n v="0"/>
    <n v="0"/>
    <n v="0"/>
    <n v="0"/>
    <n v="0"/>
    <n v="0"/>
    <n v="0"/>
    <n v="0"/>
    <n v="0"/>
    <n v="0"/>
    <n v="0"/>
    <n v="0"/>
    <n v="1"/>
    <n v="0"/>
    <n v="0"/>
    <s v="-"/>
    <n v="0"/>
    <n v="1"/>
    <n v="2"/>
    <n v="0"/>
    <n v="0"/>
    <n v="0"/>
  </r>
  <r>
    <s v="2026-01-21 00:00:00.000 +0000"/>
    <x v="12"/>
    <s v="Wednesday"/>
    <d v="1899-12-30T00:20:22"/>
    <n v="33"/>
    <s v="The Unknown Unknown"/>
    <x v="8"/>
    <s v="COMPLETED"/>
    <s v="0.55555555555555555556"/>
    <s v="0.50000000000000000000"/>
    <s v="0.33333333333333333333"/>
    <s v="0.33333333333333333333"/>
    <s v="0.18181818181818181818"/>
    <n v="0"/>
    <n v="0"/>
    <n v="1"/>
    <n v="0"/>
    <n v="0"/>
    <n v="1"/>
    <n v="0"/>
    <n v="0"/>
    <n v="0"/>
    <n v="0"/>
    <n v="0"/>
    <n v="0"/>
    <n v="0"/>
    <n v="0"/>
    <n v="0"/>
    <n v="0"/>
    <n v="0"/>
    <n v="0"/>
    <n v="0"/>
    <n v="0"/>
    <n v="0"/>
    <n v="0"/>
    <n v="0"/>
    <n v="0"/>
    <n v="1"/>
    <s v="-"/>
    <n v="1"/>
    <n v="0"/>
    <n v="1"/>
    <n v="1"/>
    <n v="0"/>
    <n v="0"/>
  </r>
  <r>
    <s v="2026-01-21 00:00:00.000 +0000"/>
    <x v="12"/>
    <s v="Wednesday"/>
    <d v="1899-12-30T00:20:02"/>
    <n v="33"/>
    <s v="The Unknown Unknown"/>
    <x v="5"/>
    <s v="COMPLETED"/>
    <s v="0.88888888888888888889"/>
    <s v="1.00000000000000000000"/>
    <s v="0.83333333333333333333"/>
    <s v="0.93333333333333333333"/>
    <s v="0.72727272727272727273"/>
    <n v="0"/>
    <n v="0"/>
    <n v="1"/>
    <n v="0"/>
    <n v="0"/>
    <n v="1"/>
    <n v="0"/>
    <n v="0"/>
    <n v="0"/>
    <n v="0"/>
    <n v="0"/>
    <n v="0"/>
    <n v="0"/>
    <n v="0"/>
    <n v="0"/>
    <n v="0"/>
    <n v="0"/>
    <n v="0"/>
    <n v="0"/>
    <n v="0"/>
    <n v="0"/>
    <n v="0"/>
    <n v="0"/>
    <n v="0"/>
    <n v="1"/>
    <s v="-"/>
    <n v="1"/>
    <n v="0"/>
    <n v="1"/>
    <n v="1"/>
    <n v="0"/>
    <n v="0"/>
  </r>
  <r>
    <s v="2026-01-22 00:00:00.000 +0000"/>
    <x v="12"/>
    <s v="Thursday "/>
    <d v="1899-12-30T00:20:01"/>
    <n v="5"/>
    <s v="Bezs Beatles Day! V2"/>
    <x v="10"/>
    <s v="OUT_OF_TIME"/>
    <s v="0.66666666666666666667"/>
    <s v="1.00000000000000000000"/>
    <s v="0.50000000000000000000"/>
    <s v="0.66666666666666666667"/>
    <s v="0.63636363636363636364"/>
    <n v="0"/>
    <n v="0"/>
    <n v="1"/>
    <n v="0"/>
    <n v="0"/>
    <n v="0"/>
    <n v="0"/>
    <n v="0"/>
    <n v="0"/>
    <n v="0"/>
    <n v="0"/>
    <n v="1"/>
    <n v="0"/>
    <n v="0"/>
    <n v="0"/>
    <n v="0"/>
    <n v="0"/>
    <n v="0"/>
    <n v="0"/>
    <n v="0"/>
    <n v="0"/>
    <n v="0"/>
    <n v="0"/>
    <n v="0"/>
    <n v="0"/>
    <s v="-"/>
    <n v="0"/>
    <n v="1"/>
    <n v="1"/>
    <n v="0"/>
    <n v="0"/>
    <n v="0"/>
  </r>
  <r>
    <s v="2026-01-23 00:00:00.000 +0000"/>
    <x v="12"/>
    <s v="Friday   "/>
    <d v="1899-12-30T00:24:38"/>
    <n v="33"/>
    <s v="The Unknown Unknown"/>
    <x v="0"/>
    <s v="COMPLETED"/>
    <s v="0.66666666666666666667"/>
    <s v="1.00000000000000000000"/>
    <s v="0.33333333333333333333"/>
    <s v="0.40000000000000000000"/>
    <s v="0.09090909090909090909"/>
    <n v="0"/>
    <n v="0"/>
    <n v="1"/>
    <n v="0"/>
    <n v="0"/>
    <n v="1"/>
    <n v="0"/>
    <n v="0"/>
    <n v="0"/>
    <n v="0"/>
    <n v="0"/>
    <n v="0"/>
    <n v="0"/>
    <n v="0"/>
    <n v="0"/>
    <n v="0"/>
    <n v="0"/>
    <n v="0"/>
    <n v="0"/>
    <n v="0"/>
    <n v="0"/>
    <n v="0"/>
    <n v="0"/>
    <n v="0"/>
    <n v="1"/>
    <s v="-"/>
    <n v="1"/>
    <n v="0"/>
    <n v="1"/>
    <n v="1"/>
    <n v="0"/>
    <n v="0"/>
  </r>
  <r>
    <s v="2026-01-28 00:00:00.000 +0000"/>
    <x v="12"/>
    <s v="Wednesday"/>
    <d v="1899-12-30T00:22:21"/>
    <n v="19"/>
    <s v="Details Matter"/>
    <x v="7"/>
    <s v="COMPLETED"/>
    <s v="0.66666666666666666667"/>
    <s v="1.00000000000000000000"/>
    <s v="0.66666666666666666667"/>
    <s v="0.53333333333333333333"/>
    <s v="0.36363636363636363636"/>
    <n v="0"/>
    <n v="0"/>
    <n v="0"/>
    <n v="0"/>
    <n v="0"/>
    <n v="0"/>
    <n v="1"/>
    <n v="1"/>
    <n v="0"/>
    <n v="0"/>
    <n v="0"/>
    <n v="0"/>
    <n v="0"/>
    <n v="0"/>
    <n v="1"/>
    <n v="0"/>
    <n v="0"/>
    <n v="0"/>
    <n v="0"/>
    <n v="0"/>
    <n v="0"/>
    <n v="0"/>
    <n v="0"/>
    <n v="0"/>
    <n v="0"/>
    <s v="-"/>
    <n v="1"/>
    <n v="3"/>
    <n v="1"/>
    <n v="1"/>
    <n v="1"/>
    <n v="1"/>
  </r>
  <r>
    <s v="2026-01-29 00:00:00.000 +0000"/>
    <x v="12"/>
    <s v="Thursday "/>
    <d v="1899-12-30T00:17:31"/>
    <n v="32"/>
    <s v="The Big Investor V2"/>
    <x v="10"/>
    <s v="COMPLETED"/>
    <s v="0.33333333333333333333"/>
    <s v="0.50000000000000000000"/>
    <s v="0.66666666666666666667"/>
    <s v="0.60000000000000000000"/>
    <s v="0.36363636363636363636"/>
    <n v="0"/>
    <n v="0"/>
    <n v="0"/>
    <n v="0"/>
    <n v="0"/>
    <n v="0"/>
    <n v="1"/>
    <n v="1"/>
    <n v="0"/>
    <n v="0"/>
    <n v="0"/>
    <n v="0"/>
    <n v="0"/>
    <n v="0"/>
    <n v="0"/>
    <n v="0"/>
    <n v="0"/>
    <n v="0"/>
    <n v="0"/>
    <n v="0"/>
    <n v="0"/>
    <n v="0"/>
    <n v="0"/>
    <n v="0"/>
    <n v="0"/>
    <s v="-"/>
    <n v="0"/>
    <n v="2"/>
    <n v="0"/>
    <n v="0"/>
    <n v="0"/>
    <n v="0"/>
  </r>
  <r>
    <s v="2026-01-30 00:00:00.000 +0000"/>
    <x v="12"/>
    <s v="Friday   "/>
    <d v="1899-12-30T00:15:22"/>
    <n v="29"/>
    <s v="Too Good To Be True"/>
    <x v="11"/>
    <s v="COMPLETED"/>
    <s v="0.11111111111111111111"/>
    <s v="0.50000000000000000000"/>
    <s v="0.50000000000000000000"/>
    <s v="0.26666666666666666667"/>
    <s v="0.09090909090909090909"/>
    <n v="0"/>
    <n v="0"/>
    <n v="1"/>
    <n v="0"/>
    <n v="0"/>
    <n v="0"/>
    <n v="0"/>
    <n v="0"/>
    <n v="0"/>
    <n v="0"/>
    <n v="0"/>
    <n v="0"/>
    <n v="0"/>
    <n v="0"/>
    <n v="0"/>
    <n v="0"/>
    <n v="0"/>
    <n v="0"/>
    <n v="0"/>
    <n v="0"/>
    <n v="0"/>
    <n v="0"/>
    <n v="1"/>
    <n v="0"/>
    <n v="0"/>
    <s v="-"/>
    <n v="0"/>
    <n v="1"/>
    <n v="2"/>
    <n v="0"/>
    <n v="0"/>
    <n v="0"/>
  </r>
  <r>
    <s v="2026-02-05 00:00:00.000 +0000"/>
    <x v="13"/>
    <s v="Thursday "/>
    <d v="1899-12-30T00:11:34"/>
    <n v="7"/>
    <s v="Rumours"/>
    <x v="10"/>
    <s v="COMPLETED"/>
    <s v="0.44444444444444444444"/>
    <s v="0.50000000000000000000"/>
    <s v="0.33333333333333333333"/>
    <s v="0.26666666666666666667"/>
    <s v="0.27272727272727272727"/>
    <n v="0"/>
    <n v="0"/>
    <n v="0"/>
    <n v="0"/>
    <n v="0"/>
    <n v="0"/>
    <n v="1"/>
    <n v="0"/>
    <n v="1"/>
    <n v="0"/>
    <n v="0"/>
    <n v="0"/>
    <n v="0"/>
    <n v="0"/>
    <n v="0"/>
    <n v="0"/>
    <n v="0"/>
    <n v="0"/>
    <n v="0"/>
    <n v="0"/>
    <n v="0"/>
    <n v="1"/>
    <n v="0"/>
    <n v="0"/>
    <n v="0"/>
    <s v="-"/>
    <n v="0"/>
    <n v="2"/>
    <n v="0"/>
    <n v="1"/>
    <n v="0"/>
    <n v="0"/>
  </r>
  <r>
    <s v="2026-02-06 00:00:00.000 +0000"/>
    <x v="13"/>
    <s v="Friday   "/>
    <d v="1899-12-30T00:20:01"/>
    <n v="5"/>
    <s v="Bezs Beatles Day!"/>
    <x v="11"/>
    <s v="OUT_OF_TIME"/>
    <s v="0.66666666666666666667"/>
    <s v="1.00000000000000000000"/>
    <s v="0.50000000000000000000"/>
    <s v="0.40000000000000000000"/>
    <s v="0.27272727272727272727"/>
    <n v="0"/>
    <n v="0"/>
    <n v="1"/>
    <n v="0"/>
    <n v="0"/>
    <n v="0"/>
    <n v="0"/>
    <n v="0"/>
    <n v="0"/>
    <n v="0"/>
    <n v="0"/>
    <n v="1"/>
    <n v="0"/>
    <n v="0"/>
    <n v="0"/>
    <n v="0"/>
    <n v="0"/>
    <n v="0"/>
    <n v="0"/>
    <n v="0"/>
    <n v="0"/>
    <n v="0"/>
    <n v="0"/>
    <n v="0"/>
    <n v="0"/>
    <s v="-"/>
    <n v="0"/>
    <n v="1"/>
    <n v="1"/>
    <n v="0"/>
    <n v="0"/>
    <n v="0"/>
  </r>
  <r>
    <s v="2026-03-05 00:00:00.000 +0000"/>
    <x v="14"/>
    <s v="Thursday "/>
    <d v="1899-12-30T00:14:01"/>
    <n v="14"/>
    <s v="Missing Delivery"/>
    <x v="10"/>
    <s v="COMPLETED"/>
    <s v="0.66666666666666666667"/>
    <s v="1.00000000000000000000"/>
    <s v="0.50000000000000000000"/>
    <s v="0.53333333333333333333"/>
    <s v="0.36363636363636363636"/>
    <n v="0"/>
    <n v="0"/>
    <n v="0"/>
    <n v="0"/>
    <n v="0"/>
    <n v="0"/>
    <n v="0"/>
    <n v="0"/>
    <n v="1"/>
    <n v="1"/>
    <n v="0"/>
    <n v="0"/>
    <n v="0"/>
    <n v="0"/>
    <n v="1"/>
    <n v="0"/>
    <n v="0"/>
    <n v="0"/>
    <n v="0"/>
    <n v="0"/>
    <n v="0"/>
    <n v="0"/>
    <n v="0"/>
    <n v="0"/>
    <n v="0"/>
    <s v="-"/>
    <n v="1"/>
    <n v="2"/>
    <n v="1"/>
    <n v="1"/>
    <n v="2"/>
    <n v="1"/>
  </r>
  <r>
    <s v="2026-03-06 00:00:00.000 +0000"/>
    <x v="14"/>
    <s v="Friday   "/>
    <d v="1899-12-30T00:17:44"/>
    <n v="32"/>
    <s v="The Big Investor V2"/>
    <x v="11"/>
    <s v="COMPLETED"/>
    <s v="0.33333333333333333333"/>
    <s v="0.50000000000000000000"/>
    <s v="0.66666666666666666667"/>
    <s v="0.46666666666666666667"/>
    <s v="0.27272727272727272727"/>
    <n v="0"/>
    <n v="0"/>
    <n v="0"/>
    <n v="0"/>
    <n v="0"/>
    <n v="0"/>
    <n v="1"/>
    <n v="1"/>
    <n v="0"/>
    <n v="0"/>
    <n v="0"/>
    <n v="0"/>
    <n v="0"/>
    <n v="0"/>
    <n v="0"/>
    <n v="0"/>
    <n v="0"/>
    <n v="0"/>
    <n v="0"/>
    <n v="0"/>
    <n v="0"/>
    <n v="0"/>
    <n v="0"/>
    <n v="0"/>
    <n v="0"/>
    <s v="-"/>
    <n v="0"/>
    <n v="2"/>
    <n v="0"/>
    <n v="0"/>
    <n v="0"/>
    <n v="0"/>
  </r>
  <r>
    <s v="2026-03-13 00:00:00.000 +0000"/>
    <x v="14"/>
    <s v="Friday   "/>
    <d v="1899-12-30T00:14:30"/>
    <n v="7"/>
    <s v="Rumours"/>
    <x v="11"/>
    <s v="COMPLETED"/>
    <s v="0.33333333333333333333"/>
    <s v="0.50000000000000000000"/>
    <s v="0.66666666666666666667"/>
    <s v="0.20000000000000000000"/>
    <s v="0.09090909090909090909"/>
    <n v="0"/>
    <n v="0"/>
    <n v="0"/>
    <n v="0"/>
    <n v="0"/>
    <n v="0"/>
    <n v="1"/>
    <n v="0"/>
    <n v="1"/>
    <n v="0"/>
    <n v="0"/>
    <n v="0"/>
    <n v="0"/>
    <n v="0"/>
    <n v="0"/>
    <n v="0"/>
    <n v="0"/>
    <n v="0"/>
    <n v="0"/>
    <n v="0"/>
    <n v="0"/>
    <n v="1"/>
    <n v="0"/>
    <n v="0"/>
    <n v="0"/>
    <s v="-"/>
    <n v="0"/>
    <n v="2"/>
    <n v="0"/>
    <n v="1"/>
    <n v="0"/>
    <n v="0"/>
  </r>
  <r>
    <s v="2026-03-16 00:00:00.000 +0000"/>
    <x v="14"/>
    <s v="Monday   "/>
    <d v="1899-12-30T00:17:14"/>
    <n v="19"/>
    <s v="Details Matter"/>
    <x v="0"/>
    <s v="COMPLETED"/>
    <s v="0.66666666666666666667"/>
    <s v="1.00000000000000000000"/>
    <s v="0.50000000000000000000"/>
    <s v="0.33333333333333333333"/>
    <s v="0.09090909090909090909"/>
    <n v="0"/>
    <n v="0"/>
    <n v="0"/>
    <n v="0"/>
    <n v="0"/>
    <n v="0"/>
    <n v="1"/>
    <n v="1"/>
    <n v="0"/>
    <n v="0"/>
    <n v="0"/>
    <n v="0"/>
    <n v="0"/>
    <n v="0"/>
    <n v="1"/>
    <n v="0"/>
    <n v="0"/>
    <n v="0"/>
    <n v="0"/>
    <n v="0"/>
    <n v="0"/>
    <n v="0"/>
    <n v="0"/>
    <n v="0"/>
    <n v="0"/>
    <s v="-"/>
    <n v="1"/>
    <n v="3"/>
    <n v="1"/>
    <n v="1"/>
    <n v="1"/>
    <n v="1"/>
  </r>
  <r>
    <s v="2026-03-18 00:00:00.000 +0000"/>
    <x v="14"/>
    <s v="Wednesday"/>
    <d v="1899-12-30T00:16:21"/>
    <n v="26"/>
    <s v="Discount Disaster Workshop"/>
    <x v="9"/>
    <s v="COMPLETED"/>
    <s v="0.55555555555555555556"/>
    <s v="0.50000000000000000000"/>
    <s v="0.33333333333333333333"/>
    <s v="0.46666666666666666667"/>
    <s v="0.27272727272727272727"/>
    <n v="0"/>
    <n v="0"/>
    <n v="0"/>
    <n v="0"/>
    <n v="0"/>
    <n v="0"/>
    <n v="1"/>
    <n v="0"/>
    <n v="0"/>
    <n v="0"/>
    <n v="0"/>
    <n v="1"/>
    <n v="0"/>
    <n v="0"/>
    <n v="0"/>
    <n v="1"/>
    <n v="0"/>
    <n v="0"/>
    <n v="0"/>
    <n v="0"/>
    <n v="0"/>
    <n v="0"/>
    <n v="0"/>
    <n v="0"/>
    <n v="0"/>
    <s v="-"/>
    <n v="0"/>
    <n v="2"/>
    <n v="0"/>
    <n v="0"/>
    <n v="0"/>
    <n v="0"/>
  </r>
  <r>
    <s v="2026-03-19 00:00:00.000 +0000"/>
    <x v="14"/>
    <s v="Thursday "/>
    <d v="1899-12-30T00:16:09"/>
    <n v="16"/>
    <s v="Radio Silence"/>
    <x v="10"/>
    <s v="COMPLETED"/>
    <s v="0.55555555555555555556"/>
    <s v="0.50000000000000000000"/>
    <s v="0.50000000000000000000"/>
    <s v="0.60000000000000000000"/>
    <s v="0.36363636363636363636"/>
    <n v="0"/>
    <n v="0"/>
    <n v="0"/>
    <n v="1"/>
    <n v="0"/>
    <n v="0"/>
    <n v="0"/>
    <n v="0"/>
    <n v="0"/>
    <n v="0"/>
    <n v="0"/>
    <n v="0"/>
    <n v="0"/>
    <n v="1"/>
    <n v="0"/>
    <n v="0"/>
    <n v="0"/>
    <n v="0"/>
    <n v="0"/>
    <n v="0"/>
    <n v="0"/>
    <n v="0"/>
    <n v="0"/>
    <n v="0"/>
    <n v="0"/>
    <s v="-"/>
    <n v="0"/>
    <n v="1"/>
    <n v="0"/>
    <n v="0"/>
    <n v="1"/>
    <n v="0"/>
  </r>
  <r>
    <s v="2026-03-27 00:00:00.000 +0000"/>
    <x v="14"/>
    <s v="Friday   "/>
    <d v="1899-12-30T00:14:03"/>
    <n v="14"/>
    <s v="Missing Delivery"/>
    <x v="11"/>
    <s v="COMPLETED"/>
    <s v="0.44444444444444444444"/>
    <s v="0.50000000000000000000"/>
    <s v="0.33333333333333333333"/>
    <s v="0.33333333333333333333"/>
    <s v="0.27272727272727272727"/>
    <n v="0"/>
    <n v="0"/>
    <n v="0"/>
    <n v="0"/>
    <n v="0"/>
    <n v="0"/>
    <n v="0"/>
    <n v="0"/>
    <n v="1"/>
    <n v="1"/>
    <n v="0"/>
    <n v="0"/>
    <n v="0"/>
    <n v="0"/>
    <n v="1"/>
    <n v="0"/>
    <n v="0"/>
    <n v="0"/>
    <n v="0"/>
    <n v="0"/>
    <n v="0"/>
    <n v="0"/>
    <n v="0"/>
    <n v="0"/>
    <n v="0"/>
    <s v="-"/>
    <n v="1"/>
    <n v="2"/>
    <n v="1"/>
    <n v="1"/>
    <n v="2"/>
    <n v="1"/>
  </r>
  <r>
    <s v="2026-04-09 01:00:00.000 +0100"/>
    <x v="15"/>
    <s v="Thursday "/>
    <d v="1899-12-30T00:17:10"/>
    <n v="26"/>
    <s v="Discount Disaster Workshop"/>
    <x v="10"/>
    <s v="COMPLETED"/>
    <s v="0.88888888888888888889"/>
    <s v="0.50000000000000000000"/>
    <s v="0.66666666666666666667"/>
    <s v="0.66666666666666666667"/>
    <s v="0.54545454545454545455"/>
    <n v="0"/>
    <n v="0"/>
    <n v="0"/>
    <n v="0"/>
    <n v="0"/>
    <n v="0"/>
    <n v="1"/>
    <n v="0"/>
    <n v="0"/>
    <n v="0"/>
    <n v="0"/>
    <n v="1"/>
    <n v="0"/>
    <n v="0"/>
    <n v="0"/>
    <n v="1"/>
    <n v="0"/>
    <n v="0"/>
    <n v="0"/>
    <n v="0"/>
    <n v="0"/>
    <n v="0"/>
    <n v="0"/>
    <n v="0"/>
    <n v="0"/>
    <s v="-"/>
    <n v="0"/>
    <n v="2"/>
    <n v="0"/>
    <n v="0"/>
    <n v="0"/>
    <n v="0"/>
  </r>
  <r>
    <m/>
    <x v="16"/>
    <m/>
    <m/>
    <m/>
    <m/>
    <x v="12"/>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d v="2025-03-05T00:00:00"/>
    <x v="0"/>
    <d v="1899-12-30T12:00:00"/>
    <s v="Sankalp"/>
    <s v="Trainline"/>
    <n v="27"/>
    <s v="Challenge Drill - Discount Disaster"/>
    <m/>
    <s v="Leon"/>
    <s v="Brandon"/>
    <m/>
    <n v="10"/>
    <s v="Liked dealing with DDoS attack_x000a_"/>
    <n v="3597"/>
    <m/>
    <m/>
    <s v="Attended"/>
    <m/>
    <m/>
    <m/>
    <m/>
    <m/>
  </r>
  <r>
    <d v="2025-03-06T00:00:00"/>
    <x v="0"/>
    <d v="1899-12-30T11:00:00"/>
    <s v="Calum"/>
    <s v="Trainline"/>
    <n v="20"/>
    <s v="PIR on Challenge Drill"/>
    <m/>
    <s v="Karan"/>
    <m/>
    <m/>
    <s v="No Score"/>
    <m/>
    <m/>
    <m/>
    <m/>
    <s v="Attended"/>
    <m/>
    <m/>
    <m/>
    <m/>
    <m/>
  </r>
  <r>
    <d v="2025-03-07T00:00:00"/>
    <x v="0"/>
    <d v="1899-12-30T11:00:00"/>
    <s v="Venkat"/>
    <s v="Trainline"/>
    <n v="28"/>
    <s v="Challenge Drill - Discount Disaster"/>
    <m/>
    <s v="Karan"/>
    <s v="Naz"/>
    <m/>
    <n v="9"/>
    <m/>
    <m/>
    <m/>
    <m/>
    <s v="Attended"/>
    <m/>
    <m/>
    <m/>
    <m/>
    <m/>
  </r>
  <r>
    <d v="2025-03-07T00:00:00"/>
    <x v="0"/>
    <d v="1899-12-30T16:00:00"/>
    <s v="Jamie"/>
    <s v="Trainline"/>
    <n v="23"/>
    <s v="Challenge Drill - Discount Disaster"/>
    <m/>
    <s v="Ed"/>
    <s v="Joe"/>
    <m/>
    <n v="10"/>
    <s v="feedback is on the recording"/>
    <n v="3624"/>
    <m/>
    <m/>
    <s v="Attended"/>
    <m/>
    <m/>
    <m/>
    <m/>
    <m/>
  </r>
  <r>
    <d v="2025-03-10T00:00:00"/>
    <x v="0"/>
    <d v="1899-12-30T15:00:00"/>
    <s v="Reza"/>
    <s v="Trainline"/>
    <n v="32"/>
    <s v="PIR on Challenge Drill"/>
    <m/>
    <s v="Matthew"/>
    <m/>
    <s v="Discuss how CRF can be used during the incident"/>
    <n v="10"/>
    <m/>
    <m/>
    <m/>
    <m/>
    <s v="Attended"/>
    <m/>
    <m/>
    <m/>
    <m/>
    <m/>
  </r>
  <r>
    <d v="2025-03-11T00:00:00"/>
    <x v="0"/>
    <d v="1899-12-30T12:30:00"/>
    <s v="Shivanand"/>
    <s v="Trainline"/>
    <n v="31"/>
    <s v="PIR on Challenge Drill"/>
    <m/>
    <s v="Ed"/>
    <m/>
    <m/>
    <n v="9"/>
    <s v="&quot;It was a great breakdown of the drill, this helped to identify gaps and i will take away a few things myself from this&quot; "/>
    <m/>
    <m/>
    <m/>
    <s v="Attended"/>
    <m/>
    <m/>
    <m/>
    <m/>
    <m/>
  </r>
  <r>
    <d v="2025-03-12T00:00:00"/>
    <x v="0"/>
    <d v="1899-12-30T12:00:00"/>
    <s v="Roberta"/>
    <s v="Trainline"/>
    <n v="24"/>
    <s v="Challenge Drill - Discount Disaster"/>
    <m/>
    <s v="Leon"/>
    <s v="Brandon"/>
    <s v="@Leon Leonard make sure she's sizing up"/>
    <n v="10"/>
    <s v="Very realistic, "/>
    <n v="3642"/>
    <m/>
    <m/>
    <s v="Attended"/>
    <m/>
    <m/>
    <m/>
    <m/>
    <m/>
  </r>
  <r>
    <d v="2025-03-19T00:00:00"/>
    <x v="0"/>
    <d v="1899-12-30T12:00:00"/>
    <s v="Sankalp"/>
    <s v="Trainline"/>
    <n v="27"/>
    <s v="PIR on Challenge Drill"/>
    <m/>
    <s v="Matthew"/>
    <m/>
    <m/>
    <n v="10"/>
    <s v="Finds these PIR's very usefull _x000a__x000a_Didn't do Profile report, we started late and was 5 mins overtime on meeting already"/>
    <m/>
    <m/>
    <m/>
    <s v="Attended"/>
    <m/>
    <m/>
    <m/>
    <m/>
    <m/>
  </r>
  <r>
    <d v="2025-03-20T00:00:00"/>
    <x v="0"/>
    <d v="1899-12-30T14:00:00"/>
    <s v="Sangeetha"/>
    <s v="Trainline"/>
    <n v="26"/>
    <s v="PIR on Challenge Drill"/>
    <m/>
    <s v="Drew"/>
    <m/>
    <m/>
    <n v="8"/>
    <s v="8 for GUOT but thought since she doesn't be involved in PIR is why she didnt give it a 10"/>
    <m/>
    <m/>
    <m/>
    <s v="Attended"/>
    <m/>
    <m/>
    <m/>
    <m/>
    <m/>
  </r>
  <r>
    <d v="2025-03-21T00:00:00"/>
    <x v="0"/>
    <d v="1899-12-30T16:00:00"/>
    <s v="Jamie"/>
    <s v="Trainline"/>
    <n v="23"/>
    <s v="PIR on Challenge Drill"/>
    <m/>
    <s v="Ed"/>
    <m/>
    <m/>
    <n v="8"/>
    <s v="he came into a session with a mindset of &quot; this is not useful and most likely will give 4-5&quot; it turns out it was a very useful session"/>
    <m/>
    <m/>
    <m/>
    <s v="Attended"/>
    <m/>
    <m/>
    <m/>
    <m/>
    <m/>
  </r>
  <r>
    <d v="2025-03-26T00:00:00"/>
    <x v="0"/>
    <d v="1899-12-30T12:00:00"/>
    <s v="Roberta"/>
    <s v="Trainline"/>
    <n v="24"/>
    <s v="PIR on Challenge Drill"/>
    <m/>
    <s v="Karan"/>
    <s v="Naz"/>
    <m/>
    <s v="No Score"/>
    <m/>
    <m/>
    <m/>
    <m/>
    <s v="Attended"/>
    <m/>
    <m/>
    <m/>
    <m/>
    <m/>
  </r>
  <r>
    <d v="2025-03-28T00:00:00"/>
    <x v="0"/>
    <d v="1899-12-30T11:30:00"/>
    <s v="Venkat"/>
    <s v="Trainline"/>
    <n v="28"/>
    <s v="PIR on Challenge Drill"/>
    <m/>
    <s v="Karan"/>
    <m/>
    <m/>
    <n v="10"/>
    <s v="The PIR is really useful since it will help to understand issue and perform better in next drill - More frequent PIR would be better"/>
    <m/>
    <m/>
    <m/>
    <s v="Attended"/>
    <m/>
    <m/>
    <m/>
    <m/>
    <m/>
  </r>
  <r>
    <d v="2025-03-31T00:00:00"/>
    <x v="0"/>
    <d v="1899-12-30T15:00:00"/>
    <s v="Reza"/>
    <s v="Trainline"/>
    <n v="32"/>
    <s v="Version Confusion"/>
    <m/>
    <s v="Karan"/>
    <s v="Ed"/>
    <m/>
    <n v="10"/>
    <s v="Good learning on Sizing up the issue"/>
    <n v="3843"/>
    <m/>
    <m/>
    <s v="Attended"/>
    <m/>
    <m/>
    <m/>
    <m/>
    <m/>
  </r>
  <r>
    <d v="2025-04-02T00:00:00"/>
    <x v="1"/>
    <d v="1899-12-30T14:00:00"/>
    <s v="Shivanand"/>
    <s v="Trainline"/>
    <n v="31"/>
    <s v="Profile Report"/>
    <m/>
    <s v="Karan"/>
    <m/>
    <m/>
    <n v="9"/>
    <s v="Profile reports gives complete insight about how the player is performing and do home work before starting the drill "/>
    <m/>
    <m/>
    <m/>
    <s v="Attended"/>
    <m/>
    <m/>
    <m/>
    <m/>
    <m/>
  </r>
  <r>
    <d v="2025-04-04T00:00:00"/>
    <x v="1"/>
    <d v="1899-12-30T13:15:00"/>
    <s v="Calum"/>
    <s v="Trainline"/>
    <n v="20"/>
    <s v="The Chain,Grounding Workshop"/>
    <m/>
    <s v="Karan"/>
    <s v="Naz"/>
    <m/>
    <n v="4"/>
    <s v="We had an issue during the drill where the Checkout service refused to come back up._x000a_Continued the drill until timeout, and he didn't like too many issues in one drill "/>
    <n v="3884"/>
    <m/>
    <m/>
    <s v="Attended"/>
    <m/>
    <m/>
    <s v="checked"/>
    <s v="We had an issue during the drill where the Checkout service refused to come back up."/>
    <m/>
  </r>
  <r>
    <d v="2025-04-04T00:00:00"/>
    <x v="1"/>
    <d v="1899-12-30T16:00:00"/>
    <s v="Jamie"/>
    <s v="Trainline"/>
    <n v="23"/>
    <s v="Version Confusion"/>
    <m/>
    <s v="Ed"/>
    <s v="Sina"/>
    <m/>
    <n v="9"/>
    <s v="It was interesting drill that encaurages thinking outside the box"/>
    <n v="3885"/>
    <m/>
    <m/>
    <s v="Attended"/>
    <m/>
    <m/>
    <m/>
    <m/>
    <m/>
  </r>
  <r>
    <d v="2025-04-08T00:00:00"/>
    <x v="1"/>
    <d v="1899-12-30T12:30:00"/>
    <s v="Shivanand"/>
    <s v="Trainline"/>
    <n v="31"/>
    <s v="Cart-astroph"/>
    <m/>
    <s v="Matthew"/>
    <s v="Brandon"/>
    <m/>
    <n v="9"/>
    <s v="Reason for 9 - the flow of the drill was good, and he liked the narrative. _x000a__x000a_Why he liked the drill - Likes the "/>
    <n v="3895"/>
    <m/>
    <m/>
    <s v="Attended"/>
    <m/>
    <m/>
    <m/>
    <m/>
    <m/>
  </r>
  <r>
    <d v="2025-04-11T00:00:00"/>
    <x v="1"/>
    <d v="1899-12-30T12:00:00"/>
    <s v="Venkat"/>
    <s v="Trainline"/>
    <n v="28"/>
    <s v="Version Confusion"/>
    <m/>
    <s v="Karan"/>
    <s v="Rishi"/>
    <m/>
    <n v="10"/>
    <s v="This is close to reality where a low priority incident will not take precedence over high priority ._x000a_Developers have laid back attitude toward low priority incidents "/>
    <n v="3920"/>
    <m/>
    <m/>
    <s v="Attended"/>
    <m/>
    <m/>
    <m/>
    <m/>
    <m/>
  </r>
  <r>
    <d v="2025-04-14T00:00:00"/>
    <x v="1"/>
    <d v="1899-12-30T15:30:00"/>
    <s v="Reza"/>
    <s v="Trainline"/>
    <n v="32"/>
    <s v="Cart-astroph"/>
    <m/>
    <s v="Matthew"/>
    <s v="Charlene"/>
    <m/>
    <n v="10"/>
    <s v="Really liked the drill, definitely felt it was an expert level"/>
    <n v="3938"/>
    <m/>
    <m/>
    <s v="Attended"/>
    <m/>
    <m/>
    <m/>
    <m/>
    <m/>
  </r>
  <r>
    <d v="2025-04-16T00:00:00"/>
    <x v="1"/>
    <d v="1899-12-30T12:00:00"/>
    <s v="Roberta"/>
    <s v="Trainline"/>
    <n v="24"/>
    <s v="Missing Delivery"/>
    <m/>
    <s v="Karan"/>
    <s v="Rishi"/>
    <m/>
    <n v="10"/>
    <s v="Good one and enjoying - Fun and feel pressure to put on spot "/>
    <n v="3947"/>
    <m/>
    <m/>
    <s v="Attended"/>
    <m/>
    <m/>
    <m/>
    <m/>
    <m/>
  </r>
  <r>
    <d v="2025-04-25T00:00:00"/>
    <x v="1"/>
    <d v="1899-12-30T11:00:00"/>
    <s v="Venkat"/>
    <s v="Trainline"/>
    <n v="28"/>
    <s v="Cart-astroph"/>
    <m/>
    <s v="Karan"/>
    <s v="Rishi"/>
    <m/>
    <n v="10"/>
    <s v="Surprised to see the cartservice change would have issue in Front end - The inter  dependencies on the services is well executed ._x000a_and people unavailable is realistic "/>
    <n v="4007"/>
    <m/>
    <m/>
    <s v="Attended"/>
    <m/>
    <m/>
    <m/>
    <m/>
    <m/>
  </r>
  <r>
    <d v="2025-04-28T00:00:00"/>
    <x v="1"/>
    <d v="1899-12-30T15:00:00"/>
    <s v="Reza"/>
    <s v="Trainline"/>
    <n v="32"/>
    <s v="Details Matter"/>
    <m/>
    <s v="Matthew"/>
    <s v="Naz"/>
    <m/>
    <n v="10"/>
    <s v="Found the drill usefull, talked how it was realisitic "/>
    <n v="4023"/>
    <m/>
    <m/>
    <s v="Attended"/>
    <m/>
    <m/>
    <m/>
    <m/>
    <m/>
  </r>
  <r>
    <d v="2025-04-30T00:00:00"/>
    <x v="1"/>
    <d v="1899-12-30T12:00:00"/>
    <s v="Sankalp"/>
    <s v="Trainline"/>
    <n v="27"/>
    <s v="Version Confusion"/>
    <m/>
    <s v="Karan"/>
    <s v="Clara"/>
    <m/>
    <n v="10"/>
    <s v="Multiple dimension : Financial  impact and Customer impact - _x000a_He forgot to escalate when required - that's a surprise for him and changing priority based on sequence is quite interesting"/>
    <n v="4053"/>
    <m/>
    <m/>
    <s v="Attended"/>
    <m/>
    <m/>
    <m/>
    <m/>
    <m/>
  </r>
  <r>
    <d v="2025-05-02T00:00:00"/>
    <x v="2"/>
    <d v="1899-12-30T13:15:00"/>
    <s v="Calum"/>
    <s v="Trainline"/>
    <n v="20"/>
    <s v="Interview"/>
    <m/>
    <s v="Karan"/>
    <s v="Rishi"/>
    <m/>
    <s v="No Score"/>
    <s v="Talked about the new security drill"/>
    <m/>
    <m/>
    <m/>
    <s v="Attended"/>
    <m/>
    <m/>
    <m/>
    <m/>
    <m/>
  </r>
  <r>
    <d v="2025-05-02T00:00:00"/>
    <x v="2"/>
    <d v="1899-12-30T16:00:00"/>
    <s v="Jamie"/>
    <s v="Trainline"/>
    <n v="23"/>
    <s v="The Switch"/>
    <m/>
    <s v="Leon"/>
    <s v="Rishi"/>
    <m/>
    <n v="8"/>
    <s v="Found the drill a little frustrating because took a while to recover"/>
    <n v="4097"/>
    <m/>
    <m/>
    <s v="Attended"/>
    <m/>
    <m/>
    <m/>
    <m/>
    <m/>
  </r>
  <r>
    <d v="2025-05-06T00:00:00"/>
    <x v="2"/>
    <d v="1899-12-30T12:30:00"/>
    <s v="Shivanand"/>
    <s v="Trainline"/>
    <n v="31"/>
    <s v="Bez Beatles Day +"/>
    <m/>
    <s v="Karan"/>
    <s v="Maram"/>
    <m/>
    <n v="9"/>
    <s v="Great drill - Micro service has a lot of dependency - Realistic where a developer says his change is not the issue "/>
    <n v="4119"/>
    <m/>
    <m/>
    <s v="Attended"/>
    <m/>
    <s v="INC-212 Operator consoles links fail to work as expected"/>
    <s v="checked"/>
    <s v="The operator console stopped loading - just see a blank screen. Launched it through the teleport (operator console), it works, but the drill timed out by then."/>
    <m/>
  </r>
  <r>
    <d v="2025-05-07T00:00:00"/>
    <x v="2"/>
    <d v="1899-12-30T12:00:00"/>
    <s v="Roberta"/>
    <s v="Trainline"/>
    <n v="24"/>
    <s v="The Switch"/>
    <m/>
    <s v="Karan"/>
    <s v="Rishi"/>
    <m/>
    <n v="10"/>
    <s v="LIke this unpexpected things - See's potential for someone new who don't have experience on network and firewalls the value the drill can bring "/>
    <n v="4135"/>
    <m/>
    <m/>
    <s v="Attended"/>
    <m/>
    <m/>
    <m/>
    <m/>
    <m/>
  </r>
  <r>
    <d v="2025-05-09T00:00:00"/>
    <x v="2"/>
    <d v="1899-12-30T11:00:00"/>
    <s v="Venkat"/>
    <s v="Trainline"/>
    <n v="28"/>
    <s v="The Switch"/>
    <m/>
    <s v="Leon"/>
    <s v="Clara"/>
    <m/>
    <n v="10"/>
    <s v="Found involving other teams was useful, "/>
    <n v="4156"/>
    <m/>
    <m/>
    <s v="Attended"/>
    <m/>
    <m/>
    <m/>
    <m/>
    <m/>
  </r>
  <r>
    <d v="2025-05-12T00:00:00"/>
    <x v="2"/>
    <d v="1899-12-30T15:00:00"/>
    <s v="Reza"/>
    <s v="Trainline"/>
    <n v="32"/>
    <s v="PIR on Details Matter"/>
    <m/>
    <s v="Matthew"/>
    <m/>
    <m/>
    <n v="10"/>
    <s v="Liked where I sat in the call with him and was able to refine what he is putting into the document. The last time he did this on his own, then went over it with the LO after, he feels that he understands PIR's a lot more now after this session."/>
    <m/>
    <m/>
    <m/>
    <s v="Attended"/>
    <m/>
    <m/>
    <m/>
    <m/>
    <m/>
  </r>
  <r>
    <d v="2025-05-16T00:00:00"/>
    <x v="2"/>
    <d v="1899-12-30T13:15:00"/>
    <s v="Calum"/>
    <s v="Trainline"/>
    <n v="20"/>
    <s v="The Switch"/>
    <m/>
    <s v="Karan"/>
    <s v="Rishi"/>
    <m/>
    <n v="4"/>
    <s v="The drill doesn't depict the realism of a compromised switch - _x000a_Either a host is compromised or network of hosts are compromised ._x000a_The drill needs some visual representation in terms of graphical images or atleast an option to replicate issue - else, most of the time will be spent just of size up the issue_x000a_He thought this may be a ransom ware attack ._x000a_As a part of resolution - we would prefer isolation of traffic and from the network diagram , a 50M pound company have interliked Prod and Non prod environment is highly unlikely ._x000a__x000a_If the servers are hosted in AWS, this Ddos attack cannot be impacted since the AWS already hosts the protection ._x000a__x000a_As a security Incident manager , i would be more concerned about RCA and RCA to be done right after the incident - When nd how was the traffic switch compromised and understand the complete Ntegrity of incident attack . "/>
    <n v="4270"/>
    <m/>
    <m/>
    <s v="Attended"/>
    <m/>
    <m/>
    <m/>
    <m/>
    <m/>
  </r>
  <r>
    <d v="2025-05-16T00:00:00"/>
    <x v="2"/>
    <d v="1899-12-30T16:00:00"/>
    <s v="Jamie"/>
    <s v="Trainline"/>
    <n v="23"/>
    <s v="Missing Delivery +"/>
    <m/>
    <s v="Karan"/>
    <m/>
    <m/>
    <n v="9"/>
    <s v="That was good - Kind of suspected the problem, Enjoyed the drill , maximum twist when back up didn't work ._x000a_Second twist 60 minutes ETA ._x000a__x000a_Felt, he could delegate a lot in the drill since scope of problem was narrowed quickly ._x000a_Surprising that backup email didn't work ."/>
    <n v="4273"/>
    <m/>
    <m/>
    <s v="Attended"/>
    <m/>
    <m/>
    <m/>
    <m/>
    <m/>
  </r>
  <r>
    <d v="2025-05-19T00:00:00"/>
    <x v="2"/>
    <d v="1899-12-30T14:00:00"/>
    <s v="Sangeetha"/>
    <s v="Trainline"/>
    <n v="26"/>
    <s v="Missing Delivery"/>
    <m/>
    <s v="Karan"/>
    <s v="Matthew"/>
    <m/>
    <n v="10"/>
    <s v="It was confused with priority assignment . AWS giving 60 minutes ETA was a surprise "/>
    <n v="4277"/>
    <m/>
    <m/>
    <s v="Attended"/>
    <m/>
    <m/>
    <m/>
    <m/>
    <m/>
  </r>
  <r>
    <d v="2025-05-20T00:00:00"/>
    <x v="2"/>
    <d v="1899-12-30T12:30:00"/>
    <s v="Shivanand"/>
    <s v="Trainline"/>
    <n v="31"/>
    <s v="Details Matter"/>
    <m/>
    <s v="Drew"/>
    <s v="Maram"/>
    <m/>
    <n v="8"/>
    <s v="Like the drill found that the metrics don't accuratey represent the outage"/>
    <n v="4299"/>
    <m/>
    <m/>
    <s v="Attended"/>
    <m/>
    <m/>
    <m/>
    <m/>
    <m/>
  </r>
  <r>
    <d v="2025-05-23T00:00:00"/>
    <x v="2"/>
    <d v="1899-12-30T11:00:00"/>
    <s v="Venkat"/>
    <s v="Trainline"/>
    <n v="28"/>
    <s v="PIR on Switch"/>
    <m/>
    <s v="Drew"/>
    <m/>
    <m/>
    <n v="9"/>
    <s v="Found the PIR session useful although he never really has to create them himself"/>
    <m/>
    <m/>
    <m/>
    <s v="Attended"/>
    <m/>
    <m/>
    <m/>
    <m/>
    <m/>
  </r>
  <r>
    <d v="2025-05-28T00:00:00"/>
    <x v="2"/>
    <d v="1899-12-30T12:00:00"/>
    <s v="Roberta"/>
    <s v="Trainline"/>
    <n v="24"/>
    <s v="Version Confusion"/>
    <m/>
    <s v="Karan"/>
    <s v="Rishi"/>
    <s v="Shall we play a drill?"/>
    <n v="7"/>
    <s v="Not exciting as other ones _x000a_Why 7 : Couldn't see details of change done by Tanya or Hamed ._x000a_No options to check changes from 2 weeks ._x000a_Would be great if we can replicate the issue - Person running drill should have version with Bug "/>
    <n v="4373"/>
    <m/>
    <m/>
    <s v="Attended"/>
    <m/>
    <m/>
    <m/>
    <m/>
    <m/>
  </r>
  <r>
    <d v="2025-05-30T00:00:00"/>
    <x v="2"/>
    <d v="1899-12-30T13:15:00"/>
    <s v="Calum"/>
    <s v="Trainline"/>
    <n v="20"/>
    <s v="Product UX Test"/>
    <m/>
    <s v="Karan"/>
    <s v="Joe"/>
    <s v="He gave us a 4 in his last session that's why I added Joe"/>
    <s v="No Score"/>
    <s v=" Coaching for this next sessio - Feedback from Calum - I have updated his stars and added some feedback_x000a_I think he can put more focus on using SEV when declaring and communicating the incidents_x000a_Incident Number INC100037: Ongoing incident - drop in sales volumes_x000a_no mention of SEV in any of his coms..._x000a_i have reviewed and added a few additional stars (will leave for review) and submitted the feedback on his report"/>
    <m/>
    <m/>
    <m/>
    <s v="Attended"/>
    <m/>
    <m/>
    <m/>
    <m/>
    <m/>
  </r>
  <r>
    <d v="2025-06-02T00:00:00"/>
    <x v="3"/>
    <d v="1899-12-30T14:00:00"/>
    <s v="Sangeetha"/>
    <s v="Trainline"/>
    <n v="26"/>
    <s v="Cart-astroph"/>
    <m/>
    <s v="Karan"/>
    <s v="Matthew"/>
    <m/>
    <n v="8"/>
    <s v="Dependency on releases - _x000a_What would take it to 10 ?_x000a_Asking Hamed is the only option to Escalate - have better options ._x000a_Narrative was good - but to understand better, it would be good to have All changes listed (She forgot IM dashboard , reminded her of the IM dashboard"/>
    <n v="4424"/>
    <m/>
    <m/>
    <s v="Attended"/>
    <m/>
    <m/>
    <m/>
    <m/>
    <m/>
  </r>
  <r>
    <d v="2025-06-03T00:00:00"/>
    <x v="3"/>
    <d v="1899-12-30T12:30:00"/>
    <s v="Shivanand"/>
    <s v="Trainline"/>
    <n v="31"/>
    <s v="PIR on Details Matter"/>
    <m/>
    <s v="Drew"/>
    <m/>
    <m/>
    <n v="9"/>
    <s v="Got Great Feedback that they never seen graphs involved in a PIR documents but it made so much more sense to them and pushed the document to their team to improve how they run PIRS"/>
    <m/>
    <m/>
    <m/>
    <s v="Attended"/>
    <m/>
    <m/>
    <m/>
    <m/>
    <m/>
  </r>
  <r>
    <d v="2025-06-06T00:00:00"/>
    <x v="3"/>
    <d v="1899-12-30T11:00:00"/>
    <s v="Venkat"/>
    <s v="Trainline"/>
    <n v="28"/>
    <s v="Details Matter"/>
    <m/>
    <s v="Karan"/>
    <s v="Ed"/>
    <m/>
    <n v="9"/>
    <s v="Without Dan's help it would have been difficult to solve the issue - Input from Dan was help full ._x000a__x000a_What would make it 10 ?_x000a_Nothing "/>
    <n v="4496"/>
    <m/>
    <m/>
    <s v="Attended"/>
    <m/>
    <m/>
    <m/>
    <m/>
    <m/>
  </r>
  <r>
    <d v="2025-06-11T00:00:00"/>
    <x v="3"/>
    <d v="1899-12-30T12:00:00"/>
    <s v="Sankalp"/>
    <s v="Trainline"/>
    <n v="27"/>
    <s v="Cart-astroph"/>
    <m/>
    <s v="Matthew"/>
    <s v="Rishi"/>
    <m/>
    <n v="10"/>
    <s v="Enjoyed the drill, liked the different challenges in both channels of this drill"/>
    <n v="4543"/>
    <m/>
    <m/>
    <s v="Attended"/>
    <m/>
    <m/>
    <m/>
    <m/>
    <m/>
  </r>
  <r>
    <d v="2025-06-13T00:00:00"/>
    <x v="3"/>
    <d v="1899-12-30T13:15:00"/>
    <s v="Calum"/>
    <s v="Trainline"/>
    <n v="20"/>
    <s v="Interview"/>
    <m/>
    <s v="Joe"/>
    <m/>
    <s v="Naz to confirm his session plan"/>
    <s v="No Score"/>
    <m/>
    <m/>
    <m/>
    <m/>
    <s v="Attended"/>
    <m/>
    <m/>
    <m/>
    <m/>
    <m/>
  </r>
  <r>
    <d v="2025-06-13T00:00:00"/>
    <x v="3"/>
    <d v="1899-12-30T16:00:00"/>
    <s v="Jamie"/>
    <s v="Trainline"/>
    <n v="23"/>
    <s v="Memory Lane"/>
    <m/>
    <s v="Rishi"/>
    <s v="Joe"/>
    <m/>
    <n v="8"/>
    <s v="Intro Page Misled the Direction:_x000a_-The opening narrative gave him an unusual sense of direction._x000a_-It made him suspect malicious traffic or a security issue, which wasn’t aligned with the actual drill focus._x000a_-He felt the clue in the intro was misleading and wasted his time._x000a__x000a_Felt Out of Sync Compared to Other Drills:_x000a_-The scenario didn’t flow as smoothly as others he’d experienced._x000a_-There were too many parallel threads, making it feel disjointed and overwhelming._x000a__x000a_Confusion Due to Multiple Threads:_x000a_-Found it hard to decide which path to follow during the investigation._x000a_-The numerous simultaneous conversations made it easy to lose track of the core issue._x000a__x000a_Missed Key Detail on Infra Migration:_x000a_-He completely missed the part where Tanya mentioned the currency service was migrated._x000a_-The communication lacked specificity—&quot;currency service&quot; should have been explicitly highlighted._x000a__x000a_Coaching notes..._x000a_Just sharing my coaching tips for future sessions with Jamie from Trainline (based on the drill - memory lane on Friday)_x000a_I shared Hamed's talk on incident groundhog day_x000a_covering the 2 points - solo vs band player approach + therapeutic action that can turn into a diagnostic (rollback, restart etc)_x000a_These concepts would be good to run over with him in next set of drills - whereby we can practice these skills_x000a_https://uptimelabsio.slack.com/archives/D02NLS8K3M3/p1750020896637659"/>
    <n v="4592"/>
    <m/>
    <m/>
    <s v="Attended"/>
    <m/>
    <m/>
    <m/>
    <m/>
    <m/>
  </r>
  <r>
    <d v="2025-06-17T00:00:00"/>
    <x v="3"/>
    <d v="1899-12-30T14:30:00"/>
    <s v="Sangeetha"/>
    <s v="Trainline"/>
    <n v="26"/>
    <s v="Memory Lane"/>
    <m/>
    <s v="Rishi"/>
    <s v="Karan"/>
    <m/>
    <n v="10"/>
    <s v="I had never given 10 long time - This is the first drill with 10 _x000a_She was so much happy with this drill and mentioned that it was really great. She clicked the idea of log rotate even before any idea given by characters. This response came with her past experience in similar issue. _x000a__x000a_She liked the part where restart didn't do good - just a temporary fix. She confirmed the business that issue resolved, but few mins later came back as an apology to bez because issue reappeared. _x000a__x000a_Has she gone for delete log files ? _x000a_At first she asked for it as an option. later on she understood it belongs to audit containing historical prices. Hence, didn't go with the route of deleting log file. "/>
    <n v="4616"/>
    <m/>
    <m/>
    <s v="Attended"/>
    <m/>
    <m/>
    <m/>
    <m/>
    <m/>
  </r>
  <r>
    <d v="2025-06-18T00:00:00"/>
    <x v="3"/>
    <d v="1899-12-30T12:00:00"/>
    <s v="Roberta"/>
    <s v="Trainline"/>
    <n v="24"/>
    <s v="Memory Lane"/>
    <m/>
    <s v="Karan"/>
    <s v="Naz"/>
    <m/>
    <n v="9"/>
    <s v="Enjoyed the drill . Knew this cannot be resolved quickly after a restart._x000a__x000a_Could think of multiple instances on what caused like certificates ._x000a__x000a_Like the fact that character talk to each other - Something that i appreciate and we could waste a lot of time discussing possible solutions ._x000a__x000a_When we get complicated issue - this gives us a lot of learning, keep you up and keeps brain engaged ._x000a__x000a_Provided few insights on logs make it real "/>
    <n v="4627"/>
    <m/>
    <m/>
    <s v="Attended"/>
    <m/>
    <m/>
    <m/>
    <m/>
    <m/>
  </r>
  <r>
    <d v="2025-06-20T00:00:00"/>
    <x v="3"/>
    <d v="1899-12-30T11:00:00"/>
    <s v="Venkat"/>
    <s v="Trainline"/>
    <n v="28"/>
    <s v="PIR on Details Matter"/>
    <m/>
    <s v="Ed"/>
    <m/>
    <m/>
    <n v="9"/>
    <s v="Architecture diagrams are very helpful to break down the issue step by step and explain what the cause was, even for those who are not that technical"/>
    <m/>
    <m/>
    <m/>
    <s v="Attended"/>
    <m/>
    <m/>
    <m/>
    <m/>
    <m/>
  </r>
  <r>
    <d v="2025-06-23T00:00:00"/>
    <x v="3"/>
    <d v="1899-12-30T15:00:00"/>
    <s v="Reza"/>
    <s v="Trainline"/>
    <n v="32"/>
    <s v="Memory Lane"/>
    <m/>
    <s v="Matthew"/>
    <s v="Karan"/>
    <s v="please make sure he is joining for Oops_x000a_"/>
    <n v="10"/>
    <s v="Pretty good - Generally when he ask for act - Safe to remove ? he forgot to ask and went into trouble  ._x000a__x000a_Great drill - One thing great is , he had chance to make few permanent mistake - Second time , he will never forget the learning and will make sure to ask if its safe to take certain actions"/>
    <n v="4668"/>
    <m/>
    <m/>
    <s v="Attended"/>
    <m/>
    <m/>
    <m/>
    <m/>
    <m/>
  </r>
  <r>
    <d v="2025-06-25T00:00:00"/>
    <x v="3"/>
    <d v="1899-12-30T12:00:00"/>
    <s v="Sankalp"/>
    <s v="Trainline"/>
    <n v="27"/>
    <s v="Memory Lane"/>
    <m/>
    <s v="Matthew"/>
    <s v="Karan"/>
    <m/>
    <n v="10"/>
    <s v="It was a good drill; he liked the response from the players._x000a_The narrative was interesting and flowed well._x000a__x000a_Log rotate is a common problem - Sometimes ,  quick workaround gives some space and time to resolve - So that we can bring the platform up and running  ._x000a__x000a_Gave opportunity to take multiple decisions like add space , log rotate "/>
    <n v="4712"/>
    <m/>
    <m/>
    <s v="Attended"/>
    <m/>
    <m/>
    <m/>
    <m/>
    <m/>
  </r>
  <r>
    <d v="2025-06-27T00:00:00"/>
    <x v="3"/>
    <d v="1899-12-30T16:00:00"/>
    <s v="Jamie"/>
    <s v="Trainline"/>
    <n v="23"/>
    <s v="PIR on Memory Lane"/>
    <m/>
    <s v="Karan"/>
    <m/>
    <m/>
    <n v="10"/>
    <s v="This is really great session and thought provoking - There are multiple things i will take from this PIR on grounding and let know the working thoeries to all the players so we can resolve issue faster "/>
    <m/>
    <m/>
    <m/>
    <s v="Attended"/>
    <m/>
    <m/>
    <m/>
    <m/>
    <m/>
  </r>
  <r>
    <d v="2025-06-30T00:00:00"/>
    <x v="3"/>
    <d v="1899-12-30T14:00:00"/>
    <s v="Sangeetha"/>
    <s v="Trainline"/>
    <n v="26"/>
    <s v="PIR on Memory Lane"/>
    <m/>
    <s v="Rishi"/>
    <m/>
    <m/>
    <n v="9"/>
    <s v="She liked the detailed discussion on where she could have done better and reasoning behind each step taken. She understood the need of being very specific in business comms next time onwards and monitor the situation before confirming. Got to know the scope of saving time(5 mins)  by not going for restart."/>
    <m/>
    <m/>
    <m/>
    <s v="Attended"/>
    <m/>
    <m/>
    <m/>
    <m/>
    <m/>
  </r>
  <r>
    <d v="2025-07-01T00:00:00"/>
    <x v="4"/>
    <d v="1899-12-30T12:30:00"/>
    <s v="Shivanand"/>
    <s v="Trainline"/>
    <n v="31"/>
    <s v="Memory Lane"/>
    <m/>
    <s v="Ed"/>
    <s v="Rishi"/>
    <m/>
    <n v="9"/>
    <s v="Drill was good and i can't think of anything that would take it to 10"/>
    <n v="4778"/>
    <m/>
    <m/>
    <s v="Attended"/>
    <m/>
    <m/>
    <m/>
    <m/>
    <m/>
  </r>
  <r>
    <d v="2025-07-02T00:00:00"/>
    <x v="4"/>
    <d v="1899-12-30T11:00:00"/>
    <s v="Hamsa"/>
    <s v="Trainline"/>
    <n v="12"/>
    <s v="Memory Lane"/>
    <m/>
    <s v="Karan"/>
    <s v="Naz"/>
    <m/>
    <n v="7"/>
    <s v="Different from last one - It makes sense into - Once done before was pretty basic but this is good ._x000a_What would take it to 10 :_x000a_We need to reword it since he didn't understand the question and hence he gave 7  - I wouldn't give any drill a 10._x000a_He made a valid point, we need to rephrase how we ask about GOUT._x000a_@Mildred Ranquehis cadence is monthly_x000a_"/>
    <n v="4795"/>
    <m/>
    <m/>
    <s v="Attended"/>
    <m/>
    <m/>
    <m/>
    <m/>
    <m/>
  </r>
  <r>
    <d v="2025-07-04T00:00:00"/>
    <x v="4"/>
    <d v="1899-12-30T11:00:00"/>
    <s v="Venkat"/>
    <s v="Trainline"/>
    <n v="28"/>
    <s v="Memory Lane"/>
    <m/>
    <s v="Matthew"/>
    <s v="Drew"/>
    <m/>
    <n v="9"/>
    <s v="Why 9? It was a clear drill, and the Grafana info helped him understand the scope of the issue  "/>
    <n v="4837"/>
    <m/>
    <m/>
    <s v="Attended"/>
    <m/>
    <m/>
    <m/>
    <m/>
    <m/>
  </r>
  <r>
    <d v="2025-07-07T00:00:00"/>
    <x v="4"/>
    <d v="1899-12-30T15:00:00"/>
    <s v="Reza"/>
    <s v="Trainline"/>
    <n v="32"/>
    <s v="PIR on Memory Lane"/>
    <m/>
    <s v="Karan"/>
    <m/>
    <m/>
    <n v="10"/>
    <s v="10 Because, you have chance to see what are the other paths . the player could choose Do mistakes and learn from it "/>
    <m/>
    <m/>
    <m/>
    <s v="Attended"/>
    <m/>
    <m/>
    <m/>
    <m/>
    <m/>
  </r>
  <r>
    <d v="2025-07-09T00:00:00"/>
    <x v="4"/>
    <d v="1899-12-30T12:00:00"/>
    <s v="Roberta"/>
    <s v="Trainline"/>
    <n v="24"/>
    <s v="PIR on Memory Lane"/>
    <m/>
    <s v="Karan"/>
    <m/>
    <m/>
    <n v="10"/>
    <s v="10 _ Its good to retrospective the incidents and check what where did i waste time and analyse to reduce TTD "/>
    <m/>
    <m/>
    <m/>
    <s v="Attended"/>
    <m/>
    <m/>
    <m/>
    <m/>
    <m/>
  </r>
  <r>
    <d v="2025-07-11T00:00:00"/>
    <x v="4"/>
    <d v="1899-12-30T16:00:00"/>
    <s v="Jamie"/>
    <s v="Trainline"/>
    <n v="23"/>
    <s v="Cart-astroph"/>
    <m/>
    <s v="Karan"/>
    <s v="Leon"/>
    <m/>
    <n v="7"/>
    <s v="MAy be i was unfair to give 7 ._x000a_If i give it again, i may give it high score ._x000a_I declared the working theory - _x000a_The drill was not complex enough for Expert mode - Only difference i felt was one person was missing ."/>
    <n v="4957"/>
    <m/>
    <m/>
    <s v="Attended"/>
    <m/>
    <m/>
    <m/>
    <m/>
    <m/>
  </r>
  <r>
    <d v="2025-07-15T00:00:00"/>
    <x v="4"/>
    <d v="1899-12-30T12:30:00"/>
    <s v="Shivanand"/>
    <s v="Trainline"/>
    <n v="31"/>
    <s v="PIR on Memory Lane"/>
    <m/>
    <s v="Ed"/>
    <m/>
    <m/>
    <n v="9"/>
    <s v="Didn't give a clear answer as to what it would take to get 10 but said that this PIR session definitely helps to get better at his job and there were some learning aspects such as identifying PIR gaps"/>
    <m/>
    <m/>
    <m/>
    <s v="Attended"/>
    <m/>
    <m/>
    <m/>
    <m/>
    <m/>
  </r>
  <r>
    <d v="2025-07-21T00:00:00"/>
    <x v="4"/>
    <d v="1899-12-30T15:00:00"/>
    <s v="Reza"/>
    <s v="Trainline"/>
    <n v="32"/>
    <s v="Missing Delivery +"/>
    <m/>
    <s v="Charlene"/>
    <s v="Leon"/>
    <m/>
    <n v="8"/>
    <s v="he struggled with completing the drill, said he didn't completely get the point of it. He has played this drill in the past but didn't seem to remember the narritive."/>
    <n v="5085"/>
    <m/>
    <m/>
    <s v="Attended"/>
    <m/>
    <m/>
    <s v="checked"/>
    <s v="Messages are sending slowly/not at all through op console."/>
    <m/>
  </r>
  <r>
    <d v="2025-07-25T00:00:00"/>
    <x v="4"/>
    <d v="1899-12-30T14:00:00"/>
    <s v="Calum"/>
    <s v="Trainline"/>
    <n v="20"/>
    <s v="Memory Lane"/>
    <m/>
    <s v="Karan"/>
    <m/>
    <m/>
    <n v="8"/>
    <s v="This is different : Figured this out earlier - since i have seen this issue in real -_x000a_This is close to reality "/>
    <n v="5162"/>
    <m/>
    <m/>
    <s v="Attended"/>
    <m/>
    <m/>
    <m/>
    <m/>
    <m/>
  </r>
  <r>
    <d v="2025-07-28T00:00:00"/>
    <x v="4"/>
    <d v="1899-12-30T14:00:00"/>
    <s v="Sangeetha"/>
    <s v="Trainline"/>
    <n v="26"/>
    <s v="Version Confusion"/>
    <m/>
    <s v="Leon"/>
    <s v="Karan"/>
    <m/>
    <n v="9"/>
    <s v="Liked the drill, however felt the description gave it away a little and could've been a bit more challenging"/>
    <n v="5177"/>
    <m/>
    <m/>
    <s v="Attended"/>
    <m/>
    <m/>
    <m/>
    <m/>
    <m/>
  </r>
  <r>
    <d v="2025-07-30T00:00:00"/>
    <x v="4"/>
    <d v="1899-12-30T12:00:00"/>
    <s v="Roberta"/>
    <s v="Trainline"/>
    <n v="24"/>
    <s v="Cart-astroph"/>
    <m/>
    <s v="Karan"/>
    <s v="Naz"/>
    <m/>
    <n v="8"/>
    <s v="This is what i always do - This is 100% close to reality for us ._x000a_Score got nothing to do with actual narrative- _x000a_Its 5 because i already know things - But definitely 10 for others._x000a_This is based on personal experience - This can be intermediate or advance level "/>
    <n v="5201"/>
    <m/>
    <m/>
    <s v="Attended"/>
    <m/>
    <m/>
    <m/>
    <m/>
    <m/>
  </r>
  <r>
    <d v="2025-08-01T00:00:00"/>
    <x v="5"/>
    <d v="1899-12-30T11:00:00"/>
    <s v="Venkat"/>
    <s v="Trainline"/>
    <n v="28"/>
    <s v="PIR on Memory Lane"/>
    <m/>
    <s v="Matthew"/>
    <m/>
    <m/>
    <n v="8"/>
    <s v="The PIR was helpful in understanding the drill "/>
    <m/>
    <m/>
    <m/>
    <s v="Attended"/>
    <m/>
    <m/>
    <m/>
    <m/>
    <m/>
  </r>
  <r>
    <d v="2025-08-01T00:00:00"/>
    <x v="5"/>
    <d v="1899-12-30T16:00:00"/>
    <s v="Jamie"/>
    <s v="Trainline"/>
    <n v="23"/>
    <s v="Details Matter"/>
    <m/>
    <s v="Rishi"/>
    <s v="Maram"/>
    <m/>
    <n v="9"/>
    <s v="Enjoyed this drill. Got to know the specific issue in a region. And ways around handling external parties when it comes to the API. He has worked a lot on APIs, but mostly internal APIs. _x000a__x000a_It was the drill where he had to engage a lot with Bob and the team to reach the resolution. Also, to delegate the activities for the restoration tasks. Found the detailed change description about the changes done helpful in the wiki."/>
    <n v="5242"/>
    <m/>
    <m/>
    <s v="Attended"/>
    <m/>
    <m/>
    <m/>
    <m/>
    <m/>
  </r>
  <r>
    <d v="2025-08-04T00:00:00"/>
    <x v="5"/>
    <d v="1899-12-30T15:00:00"/>
    <s v="Reza"/>
    <s v="Trainline"/>
    <n v="32"/>
    <s v="Breaking Bez"/>
    <m/>
    <s v="Karan"/>
    <s v="Ed"/>
    <m/>
    <n v="10"/>
    <s v="Drill was great - Last time had issue but this simulated the pressure and taking command under pressure - Feeling some experience ._x000a_enjoyed the drill"/>
    <n v="5254"/>
    <m/>
    <m/>
    <s v="Attended"/>
    <m/>
    <s v="INC-272 Breaking bez timer bug"/>
    <s v="checked"/>
    <s v="timer reset, it was hard to judge for player how much time he has left. Minimal impact for user"/>
    <m/>
  </r>
  <r>
    <d v="2025-08-06T00:00:00"/>
    <x v="5"/>
    <d v="1899-12-30T12:00:00"/>
    <s v="Sankalp"/>
    <s v="Trainline"/>
    <n v="27"/>
    <s v="Details Matter"/>
    <m/>
    <s v="Matthew"/>
    <s v="Charlene"/>
    <m/>
    <n v="10"/>
    <s v="Liked the drill, he seemd a bit distracted._x000a_I didn't get to ask him about g2 as he had to rush off call for another meeting"/>
    <n v="5283"/>
    <m/>
    <m/>
    <s v="Attended"/>
    <m/>
    <m/>
    <m/>
    <m/>
    <m/>
  </r>
  <r>
    <d v="2025-08-08T00:00:00"/>
    <x v="5"/>
    <d v="1899-12-30T14:00:00"/>
    <s v="Calum"/>
    <s v="Trainline"/>
    <n v="20"/>
    <s v="PIR on Memory Lane"/>
    <m/>
    <s v="Karan"/>
    <m/>
    <m/>
    <s v="No Score"/>
    <s v="The same issue happened a week earlier in teh company - and that made it easy to resolve faster - But this is good to learn about incidents_x000a_"/>
    <m/>
    <m/>
    <m/>
    <s v="Attended"/>
    <m/>
    <m/>
    <m/>
    <m/>
    <m/>
  </r>
  <r>
    <d v="2025-08-12T00:00:00"/>
    <x v="5"/>
    <d v="1899-12-30T12:30:00"/>
    <s v="Shivanand"/>
    <s v="Trainline"/>
    <n v="31"/>
    <s v="Missing Delivery +"/>
    <m/>
    <s v="Leon"/>
    <s v="Juan"/>
    <m/>
    <n v="8"/>
    <s v="Good drill, do have similar issues frequently in real work, score was a self-reflection, would give GUOT a 9 "/>
    <n v="5340"/>
    <m/>
    <m/>
    <s v="Attended"/>
    <m/>
    <m/>
    <m/>
    <m/>
    <m/>
  </r>
  <r>
    <d v="2025-08-13T00:00:00"/>
    <x v="5"/>
    <d v="1899-12-30T11:00:00"/>
    <s v="Hamsa"/>
    <s v="Trainline"/>
    <n v="12"/>
    <s v="Missing Delivery +"/>
    <m/>
    <s v="Karan"/>
    <m/>
    <m/>
    <n v="7"/>
    <s v="For me nothing is 10 - But this is good- 7 for me is very good "/>
    <m/>
    <m/>
    <m/>
    <s v="Attended"/>
    <m/>
    <m/>
    <m/>
    <m/>
    <m/>
  </r>
  <r>
    <d v="2025-08-14T00:00:00"/>
    <x v="5"/>
    <d v="1899-12-30T16:00:00"/>
    <s v="Sangeetha"/>
    <s v="Trainline"/>
    <n v="26"/>
    <s v="The Chain,Grounding Workshop"/>
    <m/>
    <s v="Drew"/>
    <m/>
    <m/>
    <n v="8"/>
    <s v="Liked the drill but thought Reponses were a slower than usual"/>
    <n v="5383"/>
    <m/>
    <m/>
    <s v="Attended"/>
    <m/>
    <m/>
    <m/>
    <m/>
    <m/>
  </r>
  <r>
    <d v="2025-08-18T00:00:00"/>
    <x v="5"/>
    <d v="1899-12-30T15:00:00"/>
    <s v="Reza"/>
    <s v="Trainline"/>
    <n v="32"/>
    <s v="PIR on Breaking Bez"/>
    <m/>
    <s v="Naz"/>
    <m/>
    <m/>
    <n v="10"/>
    <s v="Liked the retrospective version of PIR"/>
    <m/>
    <m/>
    <m/>
    <s v="Attended"/>
    <m/>
    <m/>
    <m/>
    <m/>
    <m/>
  </r>
  <r>
    <d v="2025-08-20T00:00:00"/>
    <x v="5"/>
    <d v="1899-12-30T12:00:00"/>
    <s v="Roberta"/>
    <s v="Trainline"/>
    <n v="24"/>
    <s v="Rumours"/>
    <m/>
    <s v="Naz"/>
    <s v="Charlene"/>
    <m/>
    <n v="4"/>
    <s v="She said from her experience is 4 but in terms of getting annoying and leading team it is higher"/>
    <n v="5453"/>
    <m/>
    <m/>
    <s v="Attended"/>
    <m/>
    <m/>
    <m/>
    <m/>
    <m/>
  </r>
  <r>
    <d v="2025-08-20T00:00:00"/>
    <x v="5"/>
    <d v="1899-12-30T12:00:00"/>
    <s v="Sankalp"/>
    <s v="Trainline"/>
    <n v="27"/>
    <s v="PIR on Details Matter"/>
    <m/>
    <s v="Drew"/>
    <m/>
    <m/>
    <n v="10"/>
    <m/>
    <m/>
    <m/>
    <m/>
    <s v="Attended"/>
    <m/>
    <m/>
    <m/>
    <m/>
    <m/>
  </r>
  <r>
    <d v="2025-08-22T00:00:00"/>
    <x v="5"/>
    <d v="1899-12-30T14:00:00"/>
    <s v="Calum"/>
    <s v="Trainline"/>
    <n v="20"/>
    <s v="Details Matter"/>
    <m/>
    <s v="Karan"/>
    <m/>
    <m/>
    <n v="10"/>
    <s v="I liked - Interesting because, change related ones are always frustrating - The errors and change was well related ._x000a__x000a_Secret manager being cache'd - "/>
    <n v="5504"/>
    <m/>
    <m/>
    <s v="Attended"/>
    <m/>
    <m/>
    <m/>
    <m/>
    <m/>
  </r>
  <r>
    <d v="2025-08-22T00:00:00"/>
    <x v="5"/>
    <d v="1899-12-30T16:00:00"/>
    <s v="Venkat"/>
    <s v="Trainline"/>
    <n v="28"/>
    <s v="Missing Delivery +"/>
    <m/>
    <s v="Karan"/>
    <m/>
    <m/>
    <n v="9"/>
    <s v="It was good- Switching to another email provider was suppose to work - learnt new things about getting more details when suggest to maek any change "/>
    <n v="5506"/>
    <m/>
    <m/>
    <s v="Attended"/>
    <m/>
    <m/>
    <m/>
    <m/>
    <m/>
  </r>
  <r>
    <d v="2025-09-01T00:00:00"/>
    <x v="6"/>
    <d v="1899-12-30T15:00:00"/>
    <s v="Reza"/>
    <s v="Trainline"/>
    <n v="32"/>
    <s v="Roblox +"/>
    <m/>
    <s v="Ed"/>
    <m/>
    <m/>
    <n v="9"/>
    <s v="Great reminder that relying on external teams to notify of the issue is not always the case"/>
    <n v="5586"/>
    <m/>
    <m/>
    <s v="Attended"/>
    <m/>
    <m/>
    <m/>
    <m/>
    <s v="Asked Reza about team drill. He will ask Sangheta to join his next team drill session"/>
  </r>
  <r>
    <d v="2025-09-09T00:00:00"/>
    <x v="6"/>
    <d v="1899-12-30T12:30:00"/>
    <s v="Shivanand"/>
    <s v="Trainline"/>
    <n v="31"/>
    <s v="Roblox +"/>
    <m/>
    <s v="Ed"/>
    <m/>
    <m/>
    <n v="8"/>
    <s v="It was a good drill but slightly confusing"/>
    <n v="5686"/>
    <m/>
    <m/>
    <s v="Attended"/>
    <m/>
    <m/>
    <m/>
    <m/>
    <m/>
  </r>
  <r>
    <d v="2025-09-10T00:00:00"/>
    <x v="6"/>
    <d v="1899-12-30T11:00:00"/>
    <s v="Hamsa"/>
    <s v="Trainline"/>
    <n v="12"/>
    <s v="The Switch"/>
    <m/>
    <s v="Ed"/>
    <m/>
    <m/>
    <n v="8"/>
    <s v="enjoys mixture of different drills, would like it to be unpredictable and not always change related_x000a__x000a_to get to 9/10 just have different drill that is not always a change related"/>
    <n v="5699"/>
    <m/>
    <m/>
    <s v="Attended"/>
    <m/>
    <m/>
    <m/>
    <m/>
    <m/>
  </r>
  <r>
    <d v="2025-09-12T00:00:00"/>
    <x v="6"/>
    <d v="1899-12-30T14:00:00"/>
    <s v="Calum"/>
    <s v="Trainline"/>
    <n v="20"/>
    <s v="Defcon1"/>
    <m/>
    <s v="Rishi"/>
    <s v="Karan"/>
    <m/>
    <n v="10"/>
    <s v="Very impressive and intense drill . Pretty much covers everything about the phases of a ransomware attack. Its a very good learning on cyber incidents."/>
    <n v="5758"/>
    <m/>
    <m/>
    <s v="Attended"/>
    <m/>
    <m/>
    <m/>
    <m/>
    <m/>
  </r>
  <r>
    <d v="2025-09-12T00:00:00"/>
    <x v="6"/>
    <d v="1899-12-30T16:00:00"/>
    <s v="Jamie"/>
    <s v="Trainline"/>
    <n v="23"/>
    <s v="Breaking Bez"/>
    <m/>
    <s v="Rishi"/>
    <m/>
    <m/>
    <n v="8"/>
    <s v="He felt it was realistic where there is a possibility of DC going down, and people are giving vague responses instead of coming back with the exact thing. _x000a__x000a_What it'd take to get 10? _x000a_Maybe a proper direction from bots and proper replies could've been good in this. Also, he thinks the scope of switching over the DC on weighing up the backup DC in EU or US region"/>
    <n v="5762"/>
    <m/>
    <m/>
    <s v="Attended"/>
    <m/>
    <m/>
    <m/>
    <m/>
    <m/>
  </r>
  <r>
    <d v="2025-09-15T00:00:00"/>
    <x v="6"/>
    <d v="1899-12-30T12:00:00"/>
    <s v="Reza,Sangeetha"/>
    <s v="Trainline"/>
    <s v="32, 26"/>
    <s v="Team Drill"/>
    <m/>
    <s v="Karan"/>
    <s v="Rishi"/>
    <m/>
    <n v="10"/>
    <s v="First thing - we had another incident with monitoring ._x000a__x000a_It was really good when some one don't come back - Sangeetha suggested us to escalate -We can raise concern when we are no getting help._x000a_More focussed on fixing the issue._x000a__x000a_New feature of Support channel helps . "/>
    <n v="5772"/>
    <m/>
    <m/>
    <s v="Attended"/>
    <m/>
    <m/>
    <m/>
    <m/>
    <m/>
  </r>
  <r>
    <d v="2025-09-17T00:00:00"/>
    <x v="6"/>
    <d v="1899-12-30T12:00:00"/>
    <s v="Roberta"/>
    <s v="Trainline"/>
    <n v="24"/>
    <s v="Defcon1"/>
    <m/>
    <s v="Karan"/>
    <s v="Rishi"/>
    <m/>
    <n v="10"/>
    <s v="I did like - Interesting for sure ._x000a__x000a_Fortunately, never been in a ransomware ._x000a__x000a_Especially in big company - Private and dont send communcation ._x000a__x000a_Really enjoyable and get my heart pumping - Forget its a game or drill _x000a_Didn't expect ransomware due to phising "/>
    <n v="5813"/>
    <m/>
    <m/>
    <s v="Attended"/>
    <m/>
    <m/>
    <m/>
    <m/>
    <m/>
  </r>
  <r>
    <d v="2025-09-17T00:00:00"/>
    <x v="6"/>
    <d v="1899-12-30T12:00:00"/>
    <s v="Sankalp"/>
    <s v="Trainline"/>
    <n v="27"/>
    <s v="Missing Delivery +"/>
    <m/>
    <s v="Drew"/>
    <m/>
    <m/>
    <n v="10"/>
    <s v="Liked the challenge and the twist in narrative"/>
    <n v="5814"/>
    <m/>
    <m/>
    <s v="Attended"/>
    <m/>
    <m/>
    <m/>
    <m/>
    <m/>
  </r>
  <r>
    <d v="2025-09-22T00:00:00"/>
    <x v="6"/>
    <d v="1899-12-30T14:00:00"/>
    <s v="Sangeetha"/>
    <s v="Trainline"/>
    <n v="26"/>
    <s v="Missing Delivery +"/>
    <m/>
    <s v="Rishi"/>
    <m/>
    <m/>
    <n v="8"/>
    <s v="There was no surprise in this. It felt like a past drill. Here, dev investigation is quite easy. Directly it said issue in email logs. Whereas in trainline , the difficult part is following the whole chain of downstreams upstreams just to identify which is causing an issue. This is where most of the time is spent. "/>
    <n v="5876"/>
    <m/>
    <m/>
    <s v="Attended"/>
    <m/>
    <m/>
    <m/>
    <m/>
    <m/>
  </r>
  <r>
    <d v="2025-09-26T00:00:00"/>
    <x v="6"/>
    <d v="1899-12-30T16:00:00"/>
    <s v="Jamie"/>
    <s v="Trainline"/>
    <n v="23"/>
    <s v="Defcon1"/>
    <m/>
    <s v="Rishi"/>
    <m/>
    <m/>
    <n v="9"/>
    <s v="It was the most intense drill he ha ever played on this platform. It was such a wonderful exercise to see what a ransomware attack looks like. So much to follow up and coordinate among different teams_x000a__x000a_He enjoyed it a lot and said there are so many learnings out of this. _x000a__x000a_He gave 9 because this drill was so intense that he was still figuring out what he actually did. Overall, he loved playing it. _x000a__x000a_And he is looking forward to such security drills "/>
    <n v="5971"/>
    <m/>
    <m/>
    <s v="Attended"/>
    <m/>
    <m/>
    <m/>
    <m/>
    <m/>
  </r>
  <r>
    <d v="2025-09-29T00:00:00"/>
    <x v="6"/>
    <d v="1899-12-30T13:00:00"/>
    <s v="Calum"/>
    <s v="Trainline"/>
    <n v="20"/>
    <s v="PIR on Defcon1"/>
    <m/>
    <s v="Rishi"/>
    <s v="Karan"/>
    <m/>
    <s v="No Score"/>
    <s v="This is a good PIR, awaring people of ransomware, and everything is kept in simple-to-understand words. Anyone apart from security will know what the things are that they need to keep in check if something similar happens in the future"/>
    <m/>
    <m/>
    <m/>
    <s v="Attended"/>
    <m/>
    <m/>
    <m/>
    <m/>
    <m/>
  </r>
  <r>
    <d v="2025-09-29T00:00:00"/>
    <x v="6"/>
    <d v="1899-12-30T15:15:00"/>
    <s v="Reza"/>
    <s v="Trainline"/>
    <n v="32"/>
    <s v="Defcon1"/>
    <m/>
    <s v="Matthew"/>
    <m/>
    <m/>
    <n v="10"/>
    <s v="Thinks it was a great drill"/>
    <n v="5990"/>
    <m/>
    <m/>
    <s v="Attended"/>
    <m/>
    <m/>
    <m/>
    <m/>
    <m/>
  </r>
  <r>
    <d v="2025-09-30T00:00:00"/>
    <x v="6"/>
    <d v="1899-12-30T12:30:00"/>
    <s v="Shivanand"/>
    <s v="Trainline"/>
    <n v="31"/>
    <s v="Defcon1"/>
    <m/>
    <s v="Karan"/>
    <m/>
    <m/>
    <n v="9"/>
    <s v="Oh my god- This is a big incident ._x000a__x000a_I have no reason to give 9 - it is definitely 10 . Its a very good drill and we have ransomware attack ._x000a_Educate the teams to Phising "/>
    <n v="6003"/>
    <m/>
    <m/>
    <s v="Attended"/>
    <m/>
    <m/>
    <m/>
    <m/>
    <m/>
  </r>
  <r>
    <d v="2025-10-09T00:00:00"/>
    <x v="7"/>
    <d v="1899-12-30T11:00:00"/>
    <s v="Hamsa"/>
    <s v="Trainline"/>
    <n v="12"/>
    <s v="Defcon1"/>
    <m/>
    <s v="Ed"/>
    <m/>
    <m/>
    <n v="10"/>
    <s v="He was really happy with drill and was looking forward to be in top of leaderboard"/>
    <n v="6250"/>
    <m/>
    <m/>
    <s v="Attended"/>
    <m/>
    <m/>
    <m/>
    <m/>
    <m/>
  </r>
  <r>
    <d v="2025-10-10T00:00:00"/>
    <x v="7"/>
    <d v="1899-12-30T11:00:00"/>
    <s v="Venkat"/>
    <s v="Trainline"/>
    <n v="28"/>
    <s v="Defcon1"/>
    <m/>
    <s v="Drew"/>
    <m/>
    <s v="Last session was August"/>
    <n v="8"/>
    <s v="Enjoyed the challenge couldnt get much feedback as session was going over"/>
    <n v="6271"/>
    <m/>
    <m/>
    <s v="Attended"/>
    <m/>
    <m/>
    <m/>
    <m/>
    <m/>
  </r>
  <r>
    <d v="2025-10-10T00:00:00"/>
    <x v="7"/>
    <d v="1899-12-30T16:00:00"/>
    <s v="Jamie"/>
    <s v="Trainline"/>
    <n v="23"/>
    <s v="PIR on Defcon1"/>
    <m/>
    <s v="Rishi"/>
    <m/>
    <m/>
    <n v="10"/>
    <s v="He was so happy to see where he lacked along with proper backing by the time of his messages. And the best part of this way of PIR was that he himself realized where he was lacking. Followed by our suggestion on how to make it better."/>
    <m/>
    <m/>
    <m/>
    <s v="Attended"/>
    <m/>
    <m/>
    <m/>
    <m/>
    <m/>
  </r>
  <r>
    <d v="2025-10-13T00:00:00"/>
    <x v="7"/>
    <d v="1899-12-30T15:00:00"/>
    <s v="Reza"/>
    <s v="Trainline"/>
    <n v="32"/>
    <s v="PIR on Defcon1"/>
    <m/>
    <s v="Matthew"/>
    <m/>
    <m/>
    <n v="10"/>
    <s v="Likes how the PIR was ran but with more time he would like to do his own pir and come back to us he would find value in this"/>
    <m/>
    <m/>
    <m/>
    <s v="Attended"/>
    <m/>
    <m/>
    <m/>
    <m/>
    <m/>
  </r>
  <r>
    <d v="2025-10-14T00:00:00"/>
    <x v="7"/>
    <d v="1899-12-30T12:30:00"/>
    <s v="Shivanand"/>
    <s v="Trainline"/>
    <n v="31"/>
    <s v="PIR on Defcon1"/>
    <m/>
    <s v="Rishi"/>
    <m/>
    <m/>
    <s v="No Score"/>
    <m/>
    <m/>
    <m/>
    <m/>
    <s v="Attended"/>
    <m/>
    <m/>
    <m/>
    <m/>
    <m/>
  </r>
  <r>
    <d v="2025-10-15T00:00:00"/>
    <x v="7"/>
    <d v="1899-12-30T12:00:00"/>
    <s v="Roberta"/>
    <s v="Trainline"/>
    <n v="24"/>
    <s v="PIR on Defcon1"/>
    <m/>
    <s v="Karan"/>
    <m/>
    <s v="Move her to monthly cadence_x000a_@Karan  Trainline focus is Impact assessment and owner ship"/>
    <s v="No Score"/>
    <m/>
    <m/>
    <m/>
    <m/>
    <s v="Attended"/>
    <m/>
    <m/>
    <m/>
    <m/>
    <m/>
  </r>
  <r>
    <d v="2025-10-15T00:00:00"/>
    <x v="7"/>
    <d v="1899-12-30T13:00:00"/>
    <s v="Soumya"/>
    <s v="Trainline"/>
    <n v="9"/>
    <s v="Defcon1"/>
    <m/>
    <s v="Rishi"/>
    <m/>
    <s v="Naz joined for the first 5mins to welcome her back._x000a__x000a_Just got back from maternity leave_x000a__x000a_Trainline focus is Impact assessment and owner ship"/>
    <n v="10"/>
    <s v="Her words - UL has really leveled up the game"/>
    <n v="6310"/>
    <m/>
    <m/>
    <s v="Attended"/>
    <m/>
    <m/>
    <m/>
    <m/>
    <m/>
  </r>
  <r>
    <d v="2025-10-17T00:00:00"/>
    <x v="7"/>
    <d v="1899-12-30T14:00:00"/>
    <s v="Calum"/>
    <s v="Trainline"/>
    <n v="20"/>
    <s v="Version Confusion"/>
    <m/>
    <s v="Karan"/>
    <m/>
    <s v="You can _x000a_Move him to every month "/>
    <n v="8"/>
    <s v="Good one we see this type of issue quite often "/>
    <n v="6354"/>
    <m/>
    <m/>
    <s v="Attended"/>
    <m/>
    <m/>
    <m/>
    <m/>
    <m/>
  </r>
  <r>
    <d v="2025-10-21T00:00:00"/>
    <x v="7"/>
    <d v="1899-12-30T12:00:00"/>
    <s v="Sangeetha"/>
    <s v="Trainline"/>
    <n v="26"/>
    <s v="Defcon1"/>
    <m/>
    <s v="Rishi"/>
    <m/>
    <s v="lets move her to every month after PIR"/>
    <n v="9"/>
    <s v="It was intense. So much to follow and coordinate. Never had a ransomware attack so far. And generally she being a SRE doesn't get involve in security incidents. "/>
    <n v="6391"/>
    <m/>
    <m/>
    <s v="Attended"/>
    <m/>
    <m/>
    <m/>
    <m/>
    <m/>
  </r>
  <r>
    <d v="2025-10-27T00:00:00"/>
    <x v="7"/>
    <d v="1899-12-30T15:00:00"/>
    <s v="Reza"/>
    <s v="Trainline"/>
    <n v="32"/>
    <s v="Bez Beatles Day ++"/>
    <m/>
    <s v="Matthew"/>
    <m/>
    <s v="Move to every month"/>
    <n v="8"/>
    <s v="Didn't like how the change logs were all over the place and not in order of deployment "/>
    <n v="6464"/>
    <m/>
    <m/>
    <s v="Attended"/>
    <m/>
    <m/>
    <m/>
    <m/>
    <m/>
  </r>
  <r>
    <d v="2025-10-29T00:00:00"/>
    <x v="7"/>
    <d v="1899-12-30T12:00:00"/>
    <s v="Sankalp"/>
    <s v="Trainline"/>
    <n v="27"/>
    <s v="Defcon1"/>
    <m/>
    <s v="Karan"/>
    <m/>
    <s v="Move him to every month"/>
    <n v="10"/>
    <s v="It was good and confusing - When Maya wanted confirmation - i was hesitating "/>
    <n v="6484"/>
    <m/>
    <m/>
    <s v="Attended"/>
    <m/>
    <m/>
    <m/>
    <m/>
    <m/>
  </r>
  <r>
    <d v="2025-11-04T00:00:00"/>
    <x v="8"/>
    <d v="1899-12-30T12:00:00"/>
    <s v="Shivanand"/>
    <s v="Trainline"/>
    <n v="31"/>
    <s v="Radio Silence"/>
    <m/>
    <s v="Drew"/>
    <m/>
    <s v="Move to every month"/>
    <n v="7"/>
    <s v="Found the drill frustrating with character not responding (which is expected) but also  enjoyed his experience and the challenge. _x000a__x000a_Asked if he could move to one month cadence after 1 or 2 more drills._x000a__x000a_Very end thanks us for having a platform for him to learn."/>
    <n v="6578"/>
    <m/>
    <m/>
    <s v="Attended"/>
    <m/>
    <m/>
    <m/>
    <m/>
    <m/>
  </r>
  <r>
    <d v="2025-11-14T00:00:00"/>
    <x v="8"/>
    <d v="1899-12-30T14:00:00"/>
    <s v="Calum"/>
    <s v="Trainline"/>
    <n v="20"/>
    <s v="Breaking Bez"/>
    <m/>
    <s v="Matthew"/>
    <m/>
    <s v="Matthew should lead"/>
    <n v="9"/>
    <m/>
    <m/>
    <m/>
    <m/>
    <s v="Attended"/>
    <m/>
    <m/>
    <m/>
    <m/>
    <m/>
  </r>
  <r>
    <d v="2025-11-17T00:00:00"/>
    <x v="8"/>
    <d v="1899-12-30T13:00:00"/>
    <s v="Sangeetha"/>
    <s v="Trainline"/>
    <n v="26"/>
    <s v="PIR on Defcon1"/>
    <m/>
    <s v="Rishi"/>
    <m/>
    <s v="Move to every month"/>
    <s v="No Score"/>
    <s v="Good to know about the things that she missed in the chase of time "/>
    <m/>
    <m/>
    <m/>
    <s v="Attended"/>
    <m/>
    <m/>
    <m/>
    <m/>
    <m/>
  </r>
  <r>
    <d v="2025-11-19T00:00:00"/>
    <x v="8"/>
    <d v="1899-12-30T13:00:00"/>
    <s v="Soumya"/>
    <s v="Trainline"/>
    <n v="9"/>
    <s v="PIR on Defcon1"/>
    <m/>
    <s v="Rishi"/>
    <m/>
    <m/>
    <s v="No Score"/>
    <s v="Definitely it a good session , got learnings around handling business comms. Not to assume facts while doing external comms "/>
    <m/>
    <m/>
    <m/>
    <s v="Attended"/>
    <m/>
    <m/>
    <m/>
    <m/>
    <m/>
  </r>
  <r>
    <d v="2025-11-21T00:00:00"/>
    <x v="8"/>
    <d v="1899-12-30T13:00:00"/>
    <s v="Jamie"/>
    <s v="Trainline"/>
    <n v="23"/>
    <s v="Unknown Unknown"/>
    <m/>
    <s v="Drew"/>
    <m/>
    <s v="Unknown Unknown tester"/>
    <n v="7"/>
    <s v="didnt get through most of the drill so he couldnt justify giving it a 10 in his opinion. I shared my screen and went through the drill documentation and he said the narrative was great and challenging. Gave mostly minor feedback for improvement and really appreciated being the first person to test the drill."/>
    <n v="6865"/>
    <m/>
    <m/>
    <s v="Attended"/>
    <m/>
    <m/>
    <m/>
    <m/>
    <m/>
  </r>
  <r>
    <d v="2025-11-24T00:00:00"/>
    <x v="8"/>
    <d v="1899-12-30T15:00:00"/>
    <s v="Reza"/>
    <s v="Trainline"/>
    <n v="32"/>
    <s v="Unknown Unknown"/>
    <m/>
    <s v="Karan"/>
    <m/>
    <m/>
    <n v="10"/>
    <s v="This was Nice, this feel like commanding a real incident  - The flow looks real - Was like a real inc and real issue - can happen in any company ._x000a__x000a_1 feedback - It was intentional unknown ._x000a_Looking on when this could impact servers ._x000a_2 hours ago from Bob ._x000a_Really good Drill - Hamed's help increased the impact of Escalating when needed (We get good hints ) _x000a_One of the top drill ._x000a__x000a_One of the challenge at that time - Aprt from who is saying that - We need sensible evidence provided by Dand and Tanya._x000a__x000a_"/>
    <n v="6871"/>
    <m/>
    <m/>
    <s v="Attended"/>
    <m/>
    <m/>
    <m/>
    <m/>
    <m/>
  </r>
  <r>
    <d v="2025-11-25T00:00:00"/>
    <x v="8"/>
    <d v="1899-12-30T11:00:00"/>
    <s v="Hamsa"/>
    <s v="Trainline"/>
    <n v="12"/>
    <s v="Discount Disaster"/>
    <m/>
    <s v="Rishi"/>
    <m/>
    <m/>
    <n v="8"/>
    <s v="This was good , different one. Maya came up a bit late into the chat, even though he tagged her in the beginning to check on the possibility of DoS attack "/>
    <n v="6881"/>
    <m/>
    <m/>
    <s v="Attended"/>
    <m/>
    <m/>
    <m/>
    <m/>
    <m/>
  </r>
  <r>
    <d v="2025-11-26T00:00:00"/>
    <x v="8"/>
    <d v="1899-12-30T12:00:00"/>
    <s v="Roberta"/>
    <s v="Trainline"/>
    <n v="24"/>
    <s v="Unknown Unknown"/>
    <m/>
    <s v="Karan"/>
    <m/>
    <m/>
    <n v="10"/>
    <s v="Very interesting - I did like the fact that we had to handle conflicts ._x000a__x000a_Escalate and ask to make critical decisions ._x000a__x000a_I enjoyed the fact that there were different opinions "/>
    <n v="6910"/>
    <m/>
    <m/>
    <s v="Attended"/>
    <m/>
    <m/>
    <m/>
    <m/>
    <m/>
  </r>
  <r>
    <d v="2025-12-12T00:00:00"/>
    <x v="9"/>
    <d v="1899-12-30T11:00:00"/>
    <s v="Venkat"/>
    <s v="Trainline"/>
    <n v="28"/>
    <s v="Roblox +"/>
    <m/>
    <s v="Ed"/>
    <m/>
    <s v="Move to every month_x000a_Did he had PIR on Defcon1 ?_x000a_Lots of cancelation"/>
    <n v="10"/>
    <s v="Mentioned as a good learning drill to identify 2 separate issues and focus on them separatly rather sequentially"/>
    <n v="7114"/>
    <m/>
    <m/>
    <s v="Attended"/>
    <m/>
    <m/>
    <m/>
    <m/>
    <m/>
  </r>
  <r>
    <d v="2025-12-17T00:00:00"/>
    <x v="9"/>
    <d v="1899-12-30T13:00:00"/>
    <s v="Soumya"/>
    <s v="Trainline"/>
    <n v="9"/>
    <s v="Memory Lane"/>
    <m/>
    <s v="Matthew"/>
    <m/>
    <m/>
    <n v="9"/>
    <s v="Enjoyed the drill"/>
    <n v="7184"/>
    <m/>
    <m/>
    <s v="Attended"/>
    <m/>
    <m/>
    <m/>
    <m/>
    <m/>
  </r>
  <r>
    <d v="2025-12-17T00:00:00"/>
    <x v="9"/>
    <d v="1899-12-30T14:00:00"/>
    <s v="Calum"/>
    <s v="Trainline"/>
    <n v="20"/>
    <s v="Offboarding"/>
    <m/>
    <s v="Naz"/>
    <s v="Karan"/>
    <m/>
    <s v="No Score"/>
    <m/>
    <m/>
    <m/>
    <m/>
    <s v="Attended"/>
    <m/>
    <m/>
    <m/>
    <m/>
    <m/>
  </r>
  <r>
    <d v="2026-01-09T00:00:00"/>
    <x v="10"/>
    <d v="1899-12-30T11:00:00"/>
    <s v="Venkat"/>
    <s v="Trainline"/>
    <n v="28"/>
    <s v="Unknown Unknown"/>
    <m/>
    <s v="Rishi"/>
    <m/>
    <m/>
    <n v="9"/>
    <s v="Good one. Maintenance mode felt very natural. Escalation was a good path to get idea on resolution "/>
    <n v="7345"/>
    <m/>
    <m/>
    <s v="Attended"/>
    <m/>
    <m/>
    <m/>
    <m/>
    <m/>
  </r>
  <r>
    <d v="2026-01-09T00:00:00"/>
    <x v="10"/>
    <d v="1899-12-30T13:00:00"/>
    <s v="Fraser"/>
    <s v="Trainline"/>
    <n v="8"/>
    <s v="Intro"/>
    <m/>
    <s v="Naz"/>
    <m/>
    <m/>
    <s v="No Score"/>
    <m/>
    <m/>
    <m/>
    <m/>
    <s v="Attended"/>
    <m/>
    <m/>
    <m/>
    <m/>
    <m/>
  </r>
  <r>
    <d v="2026-01-13T00:00:00"/>
    <x v="10"/>
    <d v="1899-12-30T12:00:00"/>
    <s v="Shivanand"/>
    <s v="Trainline"/>
    <n v="31"/>
    <s v="Unknown Unknown"/>
    <m/>
    <s v="Rishi"/>
    <s v="Ed,Charlene"/>
    <s v="Move him to monthly cadence"/>
    <n v="9"/>
    <s v="Great drill. This clearly showed how an unorganised ownership could mess things up. Faced all the roadblocks in my real life , i was able to test my real life muscle memory in drill"/>
    <n v="7389"/>
    <m/>
    <m/>
    <s v="Attended"/>
    <m/>
    <m/>
    <m/>
    <m/>
    <m/>
  </r>
  <r>
    <d v="2026-01-14T00:00:00"/>
    <x v="10"/>
    <d v="1899-12-30T13:00:00"/>
    <s v="Soumya"/>
    <s v="Trainline"/>
    <n v="9"/>
    <s v="Unknown Unknown"/>
    <m/>
    <s v="Karan"/>
    <m/>
    <s v="Add Karan for PIR and share the recording with team_x000a_"/>
    <n v="8"/>
    <s v="I did nt fall for any of the red herrigns - Great drill "/>
    <n v="7406"/>
    <m/>
    <m/>
    <s v="Attended"/>
    <m/>
    <m/>
    <m/>
    <m/>
    <m/>
  </r>
  <r>
    <d v="2026-01-16T00:00:00"/>
    <x v="10"/>
    <d v="1899-12-30T14:00:00"/>
    <s v="Fraser"/>
    <s v="Trainline"/>
    <n v="8"/>
    <s v="Onboarding,Too Good To Be True"/>
    <m/>
    <s v="Karan"/>
    <m/>
    <m/>
    <n v="10"/>
    <s v="This was cool really good tool - LIked it"/>
    <n v="7451"/>
    <m/>
    <m/>
    <s v="Attended"/>
    <m/>
    <m/>
    <m/>
    <m/>
    <m/>
  </r>
  <r>
    <d v="2026-01-21T00:00:00"/>
    <x v="10"/>
    <d v="1899-12-30T11:00:00"/>
    <s v="Hamsa"/>
    <s v="Trainline"/>
    <n v="12"/>
    <s v="Unknown Unknown"/>
    <m/>
    <s v="Ed"/>
    <s v="Matthew,Charlene,Rishi"/>
    <s v="Matthew will shadow"/>
    <n v="8"/>
    <s v="Would like to know more about the tech issue"/>
    <m/>
    <m/>
    <m/>
    <s v="Attended"/>
    <m/>
    <m/>
    <m/>
    <m/>
    <m/>
  </r>
  <r>
    <d v="2026-01-21T00:00:00"/>
    <x v="10"/>
    <d v="1899-12-30T12:00:00"/>
    <s v="Sankalp"/>
    <s v="Trainline"/>
    <n v="27"/>
    <s v="Unknown Unknown"/>
    <m/>
    <s v="Matthew"/>
    <s v="Rishi"/>
    <m/>
    <n v="9"/>
    <s v="Said it was good for this drill to have the narrative to get him confused, made the drill interesting._x000a_Said adding a screenshot of the isue "/>
    <n v="7483"/>
    <m/>
    <m/>
    <s v="Attended"/>
    <m/>
    <m/>
    <m/>
    <m/>
    <m/>
  </r>
  <r>
    <d v="2026-01-22T00:00:00"/>
    <x v="10"/>
    <d v="1899-12-30T14:00:00"/>
    <s v="Fraser"/>
    <s v="Trainline"/>
    <n v="8"/>
    <s v="Bez Beatles Day V2"/>
    <s v="checked"/>
    <s v="Naz"/>
    <m/>
    <m/>
    <n v="7"/>
    <s v="He finds it stressful. didnt finish it on time. he needs to practise commanding incident"/>
    <n v="7506"/>
    <m/>
    <m/>
    <s v="Attended"/>
    <m/>
    <m/>
    <m/>
    <m/>
    <m/>
  </r>
  <r>
    <d v="2026-01-23T00:00:00"/>
    <x v="10"/>
    <d v="1899-12-30T11:00:00"/>
    <s v="Sangeetha"/>
    <s v="Trainline"/>
    <n v="26"/>
    <s v="Unknown Unknown"/>
    <m/>
    <s v="Rishi"/>
    <m/>
    <m/>
    <n v="9"/>
    <s v="Confusion was very realistic. Didn't catch it initially. And the team's accountability issue is always there. "/>
    <n v="7516"/>
    <m/>
    <m/>
    <s v="Attended"/>
    <m/>
    <m/>
    <m/>
    <m/>
    <m/>
  </r>
  <r>
    <d v="2026-01-23T00:00:00"/>
    <x v="10"/>
    <d v="1899-12-30T15:00:00"/>
    <s v="Ashfaq"/>
    <s v="Trainline"/>
    <n v="7"/>
    <s v="Intro"/>
    <m/>
    <s v="Naz"/>
    <m/>
    <m/>
    <s v="No Score"/>
    <m/>
    <m/>
    <m/>
    <m/>
    <s v="Attended"/>
    <m/>
    <m/>
    <m/>
    <m/>
    <m/>
  </r>
  <r>
    <d v="2026-01-26T00:00:00"/>
    <x v="10"/>
    <d v="1899-12-30T15:00:00"/>
    <s v="Reza"/>
    <s v="Trainline"/>
    <n v="32"/>
    <s v="Profile Report"/>
    <m/>
    <s v="Matthew"/>
    <m/>
    <s v="next session is 18th Feb workshop"/>
    <n v="10"/>
    <s v="He likes the profile reports "/>
    <m/>
    <m/>
    <m/>
    <s v="Attended"/>
    <m/>
    <m/>
    <m/>
    <m/>
    <m/>
  </r>
  <r>
    <d v="2026-01-28T00:00:00"/>
    <x v="10"/>
    <d v="1899-12-30T12:00:00"/>
    <s v="Roberta"/>
    <s v="Trainline"/>
    <n v="24"/>
    <s v="Details Matter"/>
    <m/>
    <s v="Ed"/>
    <m/>
    <s v="Didn't ask the G2 review as i was assigned to the session last minute"/>
    <s v="No Score"/>
    <s v="No score, I asked about it didn't get a number but based on the feedback a high number, no feedback form disables us from tracking GUOT"/>
    <n v="7545"/>
    <m/>
    <m/>
    <s v="Attended"/>
    <m/>
    <m/>
    <m/>
    <m/>
    <m/>
  </r>
  <r>
    <d v="2026-01-29T00:00:00"/>
    <x v="10"/>
    <d v="1899-12-30T14:00:00"/>
    <s v="Fraser"/>
    <s v="Trainline"/>
    <n v="8"/>
    <s v="The Big Investors"/>
    <m/>
    <s v="Rishi"/>
    <m/>
    <m/>
    <n v="9"/>
    <s v="Its cool to see how uptimelabs is creating scenarios and testing the skills. Liked the drill and the reports section "/>
    <n v="7561"/>
    <m/>
    <m/>
    <s v="Attended"/>
    <m/>
    <m/>
    <m/>
    <m/>
    <m/>
  </r>
  <r>
    <d v="2026-01-30T00:00:00"/>
    <x v="10"/>
    <d v="1899-12-30T15:00:00"/>
    <s v="Ashfaq"/>
    <s v="Trainline"/>
    <n v="7"/>
    <s v="Onboarding,Too Good To Be True"/>
    <m/>
    <s v="Matthew"/>
    <m/>
    <m/>
    <n v="10"/>
    <s v="He seems to really enjoy the drill today, he is looking forward to the next one"/>
    <n v="7579"/>
    <m/>
    <m/>
    <s v="Attended"/>
    <m/>
    <m/>
    <m/>
    <m/>
    <m/>
  </r>
  <r>
    <d v="2026-02-05T00:00:00"/>
    <x v="11"/>
    <d v="1899-12-30T14:00:00"/>
    <s v="Fraser"/>
    <s v="Trainline"/>
    <n v="8"/>
    <s v="Rumours"/>
    <m/>
    <s v="Rishi"/>
    <m/>
    <m/>
    <n v="7"/>
    <s v="Easy. Usually handled by service desk. Narrative wise it was good, not always the customers. "/>
    <n v="7635"/>
    <m/>
    <m/>
    <s v="Attended"/>
    <m/>
    <m/>
    <m/>
    <m/>
    <m/>
  </r>
  <r>
    <d v="2026-02-06T00:00:00"/>
    <x v="11"/>
    <d v="1899-12-30T15:00:00"/>
    <s v="Ashfaq"/>
    <s v="Trainline"/>
    <n v="7"/>
    <s v="Bez Beatles Day V2"/>
    <s v="checked"/>
    <s v="Naz"/>
    <m/>
    <m/>
    <n v="10"/>
    <s v="Business Chanel was not working so he didnt have the proper experience but like it in general_x000a_  "/>
    <n v="7657"/>
    <m/>
    <m/>
    <s v="Attended"/>
    <m/>
    <m/>
    <m/>
    <m/>
    <m/>
  </r>
  <r>
    <d v="2026-02-18T00:00:00"/>
    <x v="11"/>
    <d v="1899-12-30T10:30:00"/>
    <s v="Roberta,Sankalp,Reza,Ashfaq,Daniel,Fraser,Hamsa,Shivanand"/>
    <s v="Trainline"/>
    <s v="24, 27, 32, 7, 8, 12, 31"/>
    <s v="Workshop"/>
    <m/>
    <s v="Karan"/>
    <s v="Naz,Rishi,Hamed"/>
    <m/>
    <s v="No Score"/>
    <m/>
    <m/>
    <m/>
    <m/>
    <s v="Attended"/>
    <m/>
    <m/>
    <m/>
    <m/>
    <m/>
  </r>
  <r>
    <d v="2026-03-05T00:00:00"/>
    <x v="12"/>
    <d v="1899-12-30T15:00:00"/>
    <s v="Fraser"/>
    <s v="Trainline"/>
    <n v="8"/>
    <s v="Missing Delivery V2"/>
    <s v="checked"/>
    <s v="Charlene"/>
    <m/>
    <s v="Move to every 2 weeks"/>
    <n v="10"/>
    <m/>
    <n v="7895"/>
    <m/>
    <m/>
    <s v="Attended"/>
    <m/>
    <m/>
    <m/>
    <m/>
    <m/>
  </r>
  <r>
    <d v="2026-03-06T00:00:00"/>
    <x v="12"/>
    <d v="1899-12-30T14:00:00"/>
    <s v="Reza"/>
    <s v="Trainline"/>
    <n v="32"/>
    <s v="Offboarding"/>
    <m/>
    <s v="Naz"/>
    <m/>
    <m/>
    <s v="No Score"/>
    <m/>
    <m/>
    <m/>
    <m/>
    <s v="Attended"/>
    <m/>
    <m/>
    <m/>
    <m/>
    <m/>
  </r>
  <r>
    <d v="2026-03-06T00:00:00"/>
    <x v="12"/>
    <d v="1899-12-30T15:00:00"/>
    <s v="Ashfaq"/>
    <s v="Trainline"/>
    <n v="7"/>
    <s v="The Big Investors"/>
    <m/>
    <s v="Rishi"/>
    <m/>
    <m/>
    <n v="10"/>
    <s v="It was good. Felt like go with the flow. Learnt about doing more sizing up in the beginning "/>
    <n v="7909"/>
    <m/>
    <m/>
    <s v="Attended"/>
    <m/>
    <m/>
    <m/>
    <m/>
    <m/>
  </r>
  <r>
    <d v="2026-03-13T00:00:00"/>
    <x v="12"/>
    <d v="1899-12-30T15:00:00"/>
    <s v="Ashfaq"/>
    <s v="Trainline"/>
    <n v="7"/>
    <s v="Rumours V2"/>
    <s v="checked"/>
    <s v="Matthew"/>
    <m/>
    <s v="Move to every 2 weeks"/>
    <n v="9"/>
    <m/>
    <n v="8008"/>
    <m/>
    <m/>
    <s v="Attended"/>
    <m/>
    <m/>
    <m/>
    <m/>
    <m/>
  </r>
  <r>
    <d v="2026-03-16T00:00:00"/>
    <x v="12"/>
    <d v="1899-12-30T13:00:00"/>
    <s v="Sangeetha"/>
    <s v="Trainline"/>
    <n v="26"/>
    <s v="Details Matter"/>
    <m/>
    <s v="Rishi"/>
    <m/>
    <m/>
    <n v="8"/>
    <s v="interesting, felt bit rusty. So many changes in same service made it difficult to pick specific one "/>
    <n v="8032"/>
    <m/>
    <m/>
    <s v="Attended"/>
    <m/>
    <m/>
    <m/>
    <m/>
    <m/>
  </r>
  <r>
    <d v="2026-03-18T00:00:00"/>
    <x v="12"/>
    <d v="1899-12-30T13:00:00"/>
    <s v="Soumya"/>
    <s v="Trainline"/>
    <n v="9"/>
    <s v="Discount Disaster"/>
    <m/>
    <s v="Karan"/>
    <m/>
    <m/>
    <n v="8"/>
    <s v="could have given bit more complexity - by allowing to block tarffic from Spain "/>
    <n v="8073"/>
    <m/>
    <m/>
    <s v="Attended"/>
    <m/>
    <m/>
    <m/>
    <m/>
    <m/>
  </r>
  <r>
    <d v="2026-03-19T00:00:00"/>
    <x v="12"/>
    <d v="1899-12-30T13:00:00"/>
    <s v="Fraser"/>
    <s v="Trainline"/>
    <n v="8"/>
    <s v="Radio Silence"/>
    <m/>
    <s v="Charlene"/>
    <m/>
    <m/>
    <n v="8"/>
    <s v="Didn't get a chance to dive into the score as he got dragged into an incident at the end of the call. felt the drill was frustrating it was quite difficult to get a hold of the characters. discussed with him the importance of good business coms and grounding to help with shared understanding and how that would help with future drills"/>
    <n v="8089"/>
    <s v="accurate feedback"/>
    <m/>
    <s v="Attended"/>
    <m/>
    <m/>
    <m/>
    <m/>
    <m/>
  </r>
  <r>
    <d v="2026-03-20T00:00:00"/>
    <x v="12"/>
    <d v="1899-12-30T16:00:00"/>
    <s v="Jamie"/>
    <s v="Trainline"/>
    <n v="23"/>
    <s v="Once Upon A Time"/>
    <s v="checked"/>
    <s v="Rishi"/>
    <m/>
    <s v="Would be good to get this quote signed off (maybe we can phrase it casually, use the 'can we add it to our reference library' style language) _x000a__x000a_this is msg from Miranda, if we can ask him next time he is scheduled for any session"/>
    <n v="8"/>
    <s v="Enjoyed it. Thankful to UL in turning his idea into a drill"/>
    <n v="8108"/>
    <m/>
    <m/>
    <s v="Attended"/>
    <m/>
    <m/>
    <m/>
    <m/>
    <m/>
  </r>
  <r>
    <d v="2026-03-27T00:00:00"/>
    <x v="12"/>
    <d v="1899-12-30T15:00:00"/>
    <s v="Ashfaq"/>
    <s v="Trainline"/>
    <n v="7"/>
    <s v="Missing Delivery V2"/>
    <s v="checked"/>
    <s v="Matthew L"/>
    <m/>
    <m/>
    <n v="10"/>
    <m/>
    <m/>
    <m/>
    <m/>
    <s v="Attended"/>
    <m/>
    <m/>
    <m/>
    <m/>
    <m/>
  </r>
  <r>
    <d v="2026-04-08T00:00:00"/>
    <x v="13"/>
    <d v="1899-12-30T11:00:00"/>
    <s v="Hamsa"/>
    <s v="Trainline"/>
    <n v="12"/>
    <s v="Once Upon A Time"/>
    <s v="checked"/>
    <s v="Matthew"/>
    <m/>
    <m/>
    <n v="7"/>
    <s v="The bots didn't listen too well in this drill, they did an action he didn't sign off on, and this was frustrating for him"/>
    <n v="8348"/>
    <m/>
    <m/>
    <s v="Attended"/>
    <m/>
    <m/>
    <m/>
    <m/>
    <m/>
  </r>
  <r>
    <d v="2026-04-08T00:00:00"/>
    <x v="13"/>
    <d v="1899-12-30T12:00:00"/>
    <s v="Roberta"/>
    <s v="Trainline"/>
    <n v="24"/>
    <s v="Once Upon A Time"/>
    <s v="checked"/>
    <s v="Karan"/>
    <m/>
    <m/>
    <n v="10"/>
    <s v="Self DDos - The is a classic scenario or self DDos ._x000a_Liked Bez stress which was close to reality "/>
    <n v="8350"/>
    <m/>
    <m/>
    <s v="Attended"/>
    <m/>
    <m/>
    <m/>
    <m/>
    <m/>
  </r>
  <r>
    <d v="2026-04-09T00:00:00"/>
    <x v="13"/>
    <d v="1899-12-30T14:00:00"/>
    <s v="Fraser"/>
    <s v="Trainline"/>
    <n v="8"/>
    <s v="Discount Disaster"/>
    <m/>
    <s v="Rishi"/>
    <m/>
    <m/>
    <n v="8"/>
    <s v="Very realistic. Being in security and playing a sec drill - good practice over my commanding skills. _x000a__x000a_What it'd take to get 10 ? _x000a_Communication involved with DPO(data privacy officer) , compliance could have helped more as we do it in security issues "/>
    <n v="8370"/>
    <m/>
    <m/>
    <s v="Attended"/>
    <m/>
    <m/>
    <m/>
    <m/>
    <m/>
  </r>
  <r>
    <m/>
    <x v="14"/>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E17578-583D-1841-90CE-7D28016C7F9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8" firstHeaderRow="1" firstDataRow="1" firstDataCol="1"/>
  <pivotFields count="22">
    <pivotField showAll="0"/>
    <pivotField axis="axisRow" showAll="0">
      <items count="16">
        <item x="0"/>
        <item x="1"/>
        <item x="2"/>
        <item x="3"/>
        <item x="4"/>
        <item x="5"/>
        <item x="6"/>
        <item x="7"/>
        <item x="8"/>
        <item x="9"/>
        <item x="10"/>
        <item x="11"/>
        <item x="12"/>
        <item x="13"/>
        <item h="1" x="1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Average of GUOT" fld="1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4A5357-65CC-CF4E-991A-2025191687D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rowPageCount="1" colPageCount="1"/>
  <pivotFields count="45">
    <pivotField dataField="1" showAll="0"/>
    <pivotField axis="axisPage" multipleItemSelectionAllowed="1" showAll="0">
      <items count="18">
        <item h="1" x="0"/>
        <item h="1" x="1"/>
        <item h="1" x="2"/>
        <item h="1" x="3"/>
        <item h="1" x="4"/>
        <item h="1" x="5"/>
        <item h="1" x="6"/>
        <item h="1" x="7"/>
        <item h="1" x="8"/>
        <item h="1" x="9"/>
        <item x="10"/>
        <item x="11"/>
        <item x="12"/>
        <item x="13"/>
        <item x="14"/>
        <item x="15"/>
        <item h="1" x="16"/>
        <item t="default"/>
      </items>
    </pivotField>
    <pivotField showAll="0"/>
    <pivotField showAll="0"/>
    <pivotField showAll="0"/>
    <pivotField showAll="0"/>
    <pivotField axis="axisRow" showAll="0" sortType="descending">
      <items count="14">
        <item x="11"/>
        <item x="1"/>
        <item x="10"/>
        <item x="8"/>
        <item x="4"/>
        <item x="3"/>
        <item x="7"/>
        <item x="0"/>
        <item x="5"/>
        <item x="2"/>
        <item x="9"/>
        <item x="6"/>
        <item h="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3">
    <i>
      <x v="2"/>
    </i>
    <i>
      <x/>
    </i>
    <i>
      <x v="10"/>
    </i>
    <i>
      <x v="7"/>
    </i>
    <i>
      <x v="9"/>
    </i>
    <i>
      <x v="3"/>
    </i>
    <i>
      <x v="11"/>
    </i>
    <i>
      <x v="6"/>
    </i>
    <i>
      <x v="8"/>
    </i>
    <i>
      <x v="4"/>
    </i>
    <i>
      <x v="1"/>
    </i>
    <i>
      <x v="5"/>
    </i>
    <i t="grand">
      <x/>
    </i>
  </rowItems>
  <colItems count="1">
    <i/>
  </colItems>
  <pageFields count="1">
    <pageField fld="1" hier="-1"/>
  </pageFields>
  <dataFields count="1">
    <dataField name="Count of session_start"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78E5-1BAA-B54A-B8E4-195E03D465D7}">
  <dimension ref="A3:B18"/>
  <sheetViews>
    <sheetView workbookViewId="0">
      <selection activeCell="D25" sqref="D25"/>
    </sheetView>
  </sheetViews>
  <sheetFormatPr baseColWidth="10" defaultRowHeight="16" x14ac:dyDescent="0.2"/>
  <cols>
    <col min="1" max="1" width="13" bestFit="1" customWidth="1"/>
    <col min="2" max="2" width="14.83203125" bestFit="1" customWidth="1"/>
  </cols>
  <sheetData>
    <row r="3" spans="1:2" x14ac:dyDescent="0.2">
      <c r="A3" s="4" t="s">
        <v>222</v>
      </c>
      <c r="B3" t="s">
        <v>465</v>
      </c>
    </row>
    <row r="4" spans="1:2" x14ac:dyDescent="0.2">
      <c r="A4" s="7">
        <v>45717</v>
      </c>
      <c r="B4" s="6">
        <v>9.454545454545455</v>
      </c>
    </row>
    <row r="5" spans="1:2" x14ac:dyDescent="0.2">
      <c r="A5" s="7">
        <v>45748</v>
      </c>
      <c r="B5" s="6">
        <v>9.1</v>
      </c>
    </row>
    <row r="6" spans="1:2" x14ac:dyDescent="0.2">
      <c r="A6" s="7">
        <v>45778</v>
      </c>
      <c r="B6" s="6">
        <v>8.545454545454545</v>
      </c>
    </row>
    <row r="7" spans="1:2" x14ac:dyDescent="0.2">
      <c r="A7" s="7">
        <v>45809</v>
      </c>
      <c r="B7" s="6">
        <v>9.25</v>
      </c>
    </row>
    <row r="8" spans="1:2" x14ac:dyDescent="0.2">
      <c r="A8" s="7">
        <v>45839</v>
      </c>
      <c r="B8" s="6">
        <v>8.545454545454545</v>
      </c>
    </row>
    <row r="9" spans="1:2" x14ac:dyDescent="0.2">
      <c r="A9" s="7">
        <v>45870</v>
      </c>
      <c r="B9" s="6">
        <v>8.5833333333333339</v>
      </c>
    </row>
    <row r="10" spans="1:2" x14ac:dyDescent="0.2">
      <c r="A10" s="7">
        <v>45901</v>
      </c>
      <c r="B10" s="6">
        <v>9.0833333333333339</v>
      </c>
    </row>
    <row r="11" spans="1:2" x14ac:dyDescent="0.2">
      <c r="A11" s="7">
        <v>45931</v>
      </c>
      <c r="B11" s="6">
        <v>9.2222222222222214</v>
      </c>
    </row>
    <row r="12" spans="1:2" x14ac:dyDescent="0.2">
      <c r="A12" s="7">
        <v>45962</v>
      </c>
      <c r="B12" s="6">
        <v>8.5</v>
      </c>
    </row>
    <row r="13" spans="1:2" x14ac:dyDescent="0.2">
      <c r="A13" s="7">
        <v>45992</v>
      </c>
      <c r="B13" s="6">
        <v>9.5</v>
      </c>
    </row>
    <row r="14" spans="1:2" x14ac:dyDescent="0.2">
      <c r="A14" s="7">
        <v>46023</v>
      </c>
      <c r="B14" s="6">
        <v>8.9090909090909083</v>
      </c>
    </row>
    <row r="15" spans="1:2" x14ac:dyDescent="0.2">
      <c r="A15" s="7">
        <v>46054</v>
      </c>
      <c r="B15" s="6">
        <v>8.5</v>
      </c>
    </row>
    <row r="16" spans="1:2" x14ac:dyDescent="0.2">
      <c r="A16" s="7">
        <v>46082</v>
      </c>
      <c r="B16" s="6">
        <v>8.875</v>
      </c>
    </row>
    <row r="17" spans="1:2" x14ac:dyDescent="0.2">
      <c r="A17" s="7">
        <v>46113</v>
      </c>
      <c r="B17" s="6">
        <v>8.3333333333333339</v>
      </c>
    </row>
    <row r="18" spans="1:2" x14ac:dyDescent="0.2">
      <c r="A18" s="5" t="s">
        <v>223</v>
      </c>
      <c r="B18" s="6">
        <v>8.9166666666666661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0A1CF-584D-A046-98AB-F2D4359E0DBB}">
  <dimension ref="A1"/>
  <sheetViews>
    <sheetView tabSelected="1" workbookViewId="0">
      <selection activeCell="H21" sqref="H21"/>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757D4-25F2-014B-9B03-9ED8C1AB1DA8}">
  <dimension ref="A1:V138"/>
  <sheetViews>
    <sheetView workbookViewId="0">
      <selection sqref="A1:XFD1048576"/>
    </sheetView>
  </sheetViews>
  <sheetFormatPr baseColWidth="10" defaultRowHeight="16" x14ac:dyDescent="0.2"/>
  <sheetData>
    <row r="1" spans="1:22" x14ac:dyDescent="0.2">
      <c r="A1" t="s">
        <v>464</v>
      </c>
      <c r="B1" t="s">
        <v>221</v>
      </c>
      <c r="C1" t="s">
        <v>463</v>
      </c>
      <c r="D1" t="s">
        <v>462</v>
      </c>
      <c r="E1" t="s">
        <v>461</v>
      </c>
      <c r="F1" t="s">
        <v>460</v>
      </c>
      <c r="G1" t="s">
        <v>459</v>
      </c>
      <c r="H1" t="s">
        <v>458</v>
      </c>
      <c r="I1" t="s">
        <v>457</v>
      </c>
      <c r="J1" t="s">
        <v>456</v>
      </c>
      <c r="K1" t="s">
        <v>455</v>
      </c>
      <c r="L1" t="s">
        <v>454</v>
      </c>
      <c r="M1" t="s">
        <v>453</v>
      </c>
      <c r="N1" t="s">
        <v>452</v>
      </c>
      <c r="O1" t="s">
        <v>451</v>
      </c>
      <c r="P1" t="s">
        <v>450</v>
      </c>
      <c r="Q1" t="s">
        <v>449</v>
      </c>
      <c r="R1" t="s">
        <v>448</v>
      </c>
      <c r="S1" t="s">
        <v>447</v>
      </c>
      <c r="T1" t="s">
        <v>446</v>
      </c>
      <c r="U1" t="s">
        <v>445</v>
      </c>
      <c r="V1" t="s">
        <v>444</v>
      </c>
    </row>
    <row r="2" spans="1:22" ht="85" x14ac:dyDescent="0.2">
      <c r="A2" s="3">
        <v>45721</v>
      </c>
      <c r="B2" s="3">
        <f>DATE(YEAR(A2), MONTH(A2), 1)</f>
        <v>45717</v>
      </c>
      <c r="C2" s="9">
        <v>0.5</v>
      </c>
      <c r="D2" t="s">
        <v>281</v>
      </c>
      <c r="E2" t="s">
        <v>229</v>
      </c>
      <c r="F2">
        <v>27</v>
      </c>
      <c r="G2" t="s">
        <v>439</v>
      </c>
      <c r="I2" t="s">
        <v>358</v>
      </c>
      <c r="J2" t="s">
        <v>425</v>
      </c>
      <c r="L2">
        <v>10</v>
      </c>
      <c r="M2" s="8" t="s">
        <v>443</v>
      </c>
      <c r="N2">
        <v>3597</v>
      </c>
      <c r="Q2" t="s">
        <v>226</v>
      </c>
    </row>
    <row r="3" spans="1:22" x14ac:dyDescent="0.2">
      <c r="A3" s="3">
        <v>45722</v>
      </c>
      <c r="B3" s="3">
        <f t="shared" ref="B3:B66" si="0">DATE(YEAR(A3), MONTH(A3), 1)</f>
        <v>45717</v>
      </c>
      <c r="C3" s="9">
        <v>0.45833333333333331</v>
      </c>
      <c r="D3" t="s">
        <v>294</v>
      </c>
      <c r="E3" t="s">
        <v>229</v>
      </c>
      <c r="F3">
        <v>20</v>
      </c>
      <c r="G3" t="s">
        <v>433</v>
      </c>
      <c r="I3" t="s">
        <v>232</v>
      </c>
      <c r="L3" t="s">
        <v>256</v>
      </c>
      <c r="Q3" t="s">
        <v>226</v>
      </c>
    </row>
    <row r="4" spans="1:22" x14ac:dyDescent="0.2">
      <c r="A4" s="3">
        <v>45723</v>
      </c>
      <c r="B4" s="3">
        <f t="shared" si="0"/>
        <v>45717</v>
      </c>
      <c r="C4" s="9">
        <v>0.45833333333333331</v>
      </c>
      <c r="D4" t="s">
        <v>293</v>
      </c>
      <c r="E4" t="s">
        <v>229</v>
      </c>
      <c r="F4">
        <v>28</v>
      </c>
      <c r="G4" t="s">
        <v>439</v>
      </c>
      <c r="I4" t="s">
        <v>232</v>
      </c>
      <c r="J4" t="s">
        <v>257</v>
      </c>
      <c r="L4">
        <v>9</v>
      </c>
      <c r="Q4" t="s">
        <v>226</v>
      </c>
    </row>
    <row r="5" spans="1:22" x14ac:dyDescent="0.2">
      <c r="A5" s="3">
        <v>45723</v>
      </c>
      <c r="B5" s="3">
        <f t="shared" si="0"/>
        <v>45717</v>
      </c>
      <c r="C5" s="9">
        <v>0.66666666666666663</v>
      </c>
      <c r="D5" t="s">
        <v>244</v>
      </c>
      <c r="E5" t="s">
        <v>229</v>
      </c>
      <c r="F5">
        <v>23</v>
      </c>
      <c r="G5" t="s">
        <v>439</v>
      </c>
      <c r="I5" t="s">
        <v>272</v>
      </c>
      <c r="J5" t="s">
        <v>390</v>
      </c>
      <c r="L5">
        <v>10</v>
      </c>
      <c r="M5" t="s">
        <v>442</v>
      </c>
      <c r="N5">
        <v>3624</v>
      </c>
      <c r="Q5" t="s">
        <v>226</v>
      </c>
    </row>
    <row r="6" spans="1:22" x14ac:dyDescent="0.2">
      <c r="A6" s="3">
        <v>45726</v>
      </c>
      <c r="B6" s="3">
        <f t="shared" si="0"/>
        <v>45717</v>
      </c>
      <c r="C6" s="9">
        <v>0.625</v>
      </c>
      <c r="D6" t="s">
        <v>259</v>
      </c>
      <c r="E6" t="s">
        <v>229</v>
      </c>
      <c r="F6">
        <v>32</v>
      </c>
      <c r="G6" t="s">
        <v>433</v>
      </c>
      <c r="I6" t="s">
        <v>237</v>
      </c>
      <c r="K6" t="s">
        <v>441</v>
      </c>
      <c r="L6">
        <v>10</v>
      </c>
      <c r="Q6" t="s">
        <v>226</v>
      </c>
    </row>
    <row r="7" spans="1:22" x14ac:dyDescent="0.2">
      <c r="A7" s="3">
        <v>45727</v>
      </c>
      <c r="B7" s="3">
        <f t="shared" si="0"/>
        <v>45717</v>
      </c>
      <c r="C7" s="9">
        <v>0.52083333333333337</v>
      </c>
      <c r="D7" t="s">
        <v>291</v>
      </c>
      <c r="E7" t="s">
        <v>229</v>
      </c>
      <c r="F7">
        <v>31</v>
      </c>
      <c r="G7" t="s">
        <v>433</v>
      </c>
      <c r="I7" t="s">
        <v>272</v>
      </c>
      <c r="L7">
        <v>9</v>
      </c>
      <c r="M7" t="s">
        <v>440</v>
      </c>
      <c r="Q7" t="s">
        <v>226</v>
      </c>
    </row>
    <row r="8" spans="1:22" x14ac:dyDescent="0.2">
      <c r="A8" s="3">
        <v>45728</v>
      </c>
      <c r="B8" s="3">
        <f t="shared" si="0"/>
        <v>45717</v>
      </c>
      <c r="C8" s="9">
        <v>0.5</v>
      </c>
      <c r="D8" t="s">
        <v>235</v>
      </c>
      <c r="E8" t="s">
        <v>229</v>
      </c>
      <c r="F8">
        <v>24</v>
      </c>
      <c r="G8" t="s">
        <v>439</v>
      </c>
      <c r="I8" t="s">
        <v>358</v>
      </c>
      <c r="J8" t="s">
        <v>425</v>
      </c>
      <c r="K8" t="s">
        <v>438</v>
      </c>
      <c r="L8">
        <v>10</v>
      </c>
      <c r="M8" t="s">
        <v>437</v>
      </c>
      <c r="N8">
        <v>3642</v>
      </c>
      <c r="Q8" t="s">
        <v>226</v>
      </c>
    </row>
    <row r="9" spans="1:22" ht="221" x14ac:dyDescent="0.2">
      <c r="A9" s="3">
        <v>45735</v>
      </c>
      <c r="B9" s="3">
        <f t="shared" si="0"/>
        <v>45717</v>
      </c>
      <c r="C9" s="9">
        <v>0.5</v>
      </c>
      <c r="D9" t="s">
        <v>281</v>
      </c>
      <c r="E9" t="s">
        <v>229</v>
      </c>
      <c r="F9">
        <v>27</v>
      </c>
      <c r="G9" t="s">
        <v>433</v>
      </c>
      <c r="I9" t="s">
        <v>237</v>
      </c>
      <c r="L9">
        <v>10</v>
      </c>
      <c r="M9" s="8" t="s">
        <v>436</v>
      </c>
      <c r="Q9" t="s">
        <v>226</v>
      </c>
    </row>
    <row r="10" spans="1:22" x14ac:dyDescent="0.2">
      <c r="A10" s="3">
        <v>45736</v>
      </c>
      <c r="B10" s="3">
        <f t="shared" si="0"/>
        <v>45717</v>
      </c>
      <c r="C10" s="9">
        <v>0.58333333333333337</v>
      </c>
      <c r="D10" t="s">
        <v>251</v>
      </c>
      <c r="E10" t="s">
        <v>229</v>
      </c>
      <c r="F10">
        <v>26</v>
      </c>
      <c r="G10" t="s">
        <v>433</v>
      </c>
      <c r="I10" t="s">
        <v>304</v>
      </c>
      <c r="L10">
        <v>8</v>
      </c>
      <c r="M10" t="s">
        <v>435</v>
      </c>
      <c r="Q10" t="s">
        <v>226</v>
      </c>
    </row>
    <row r="11" spans="1:22" x14ac:dyDescent="0.2">
      <c r="A11" s="3">
        <v>45737</v>
      </c>
      <c r="B11" s="3">
        <f t="shared" si="0"/>
        <v>45717</v>
      </c>
      <c r="C11" s="9">
        <v>0.66666666666666663</v>
      </c>
      <c r="D11" t="s">
        <v>244</v>
      </c>
      <c r="E11" t="s">
        <v>229</v>
      </c>
      <c r="F11">
        <v>23</v>
      </c>
      <c r="G11" t="s">
        <v>433</v>
      </c>
      <c r="I11" t="s">
        <v>272</v>
      </c>
      <c r="L11">
        <v>8</v>
      </c>
      <c r="M11" t="s">
        <v>434</v>
      </c>
      <c r="Q11" t="s">
        <v>226</v>
      </c>
    </row>
    <row r="12" spans="1:22" x14ac:dyDescent="0.2">
      <c r="A12" s="3">
        <v>45742</v>
      </c>
      <c r="B12" s="3">
        <f t="shared" si="0"/>
        <v>45717</v>
      </c>
      <c r="C12" s="9">
        <v>0.5</v>
      </c>
      <c r="D12" t="s">
        <v>235</v>
      </c>
      <c r="E12" t="s">
        <v>229</v>
      </c>
      <c r="F12">
        <v>24</v>
      </c>
      <c r="G12" t="s">
        <v>433</v>
      </c>
      <c r="I12" t="s">
        <v>232</v>
      </c>
      <c r="J12" t="s">
        <v>257</v>
      </c>
      <c r="L12" t="s">
        <v>256</v>
      </c>
      <c r="Q12" t="s">
        <v>226</v>
      </c>
    </row>
    <row r="13" spans="1:22" x14ac:dyDescent="0.2">
      <c r="A13" s="3">
        <v>45744</v>
      </c>
      <c r="B13" s="3">
        <f t="shared" si="0"/>
        <v>45717</v>
      </c>
      <c r="C13" s="9">
        <v>0.47916666666666669</v>
      </c>
      <c r="D13" t="s">
        <v>293</v>
      </c>
      <c r="E13" t="s">
        <v>229</v>
      </c>
      <c r="F13">
        <v>28</v>
      </c>
      <c r="G13" t="s">
        <v>433</v>
      </c>
      <c r="I13" t="s">
        <v>232</v>
      </c>
      <c r="L13">
        <v>10</v>
      </c>
      <c r="M13" t="s">
        <v>432</v>
      </c>
      <c r="Q13" t="s">
        <v>226</v>
      </c>
    </row>
    <row r="14" spans="1:22" x14ac:dyDescent="0.2">
      <c r="A14" s="3">
        <v>45747</v>
      </c>
      <c r="B14" s="3">
        <f t="shared" si="0"/>
        <v>45717</v>
      </c>
      <c r="C14" s="9">
        <v>0.625</v>
      </c>
      <c r="D14" t="s">
        <v>259</v>
      </c>
      <c r="E14" t="s">
        <v>229</v>
      </c>
      <c r="F14">
        <v>32</v>
      </c>
      <c r="G14" t="s">
        <v>320</v>
      </c>
      <c r="I14" t="s">
        <v>232</v>
      </c>
      <c r="J14" t="s">
        <v>272</v>
      </c>
      <c r="L14">
        <v>10</v>
      </c>
      <c r="M14" t="s">
        <v>431</v>
      </c>
      <c r="N14">
        <v>3843</v>
      </c>
      <c r="Q14" t="s">
        <v>226</v>
      </c>
    </row>
    <row r="15" spans="1:22" x14ac:dyDescent="0.2">
      <c r="A15" s="3">
        <v>45749</v>
      </c>
      <c r="B15" s="3">
        <f t="shared" si="0"/>
        <v>45748</v>
      </c>
      <c r="C15" s="9">
        <v>0.58333333333333337</v>
      </c>
      <c r="D15" t="s">
        <v>291</v>
      </c>
      <c r="E15" t="s">
        <v>229</v>
      </c>
      <c r="F15">
        <v>31</v>
      </c>
      <c r="G15" t="s">
        <v>275</v>
      </c>
      <c r="I15" t="s">
        <v>232</v>
      </c>
      <c r="L15">
        <v>9</v>
      </c>
      <c r="M15" t="s">
        <v>430</v>
      </c>
      <c r="Q15" t="s">
        <v>226</v>
      </c>
    </row>
    <row r="16" spans="1:22" ht="306" x14ac:dyDescent="0.2">
      <c r="A16" s="3">
        <v>45751</v>
      </c>
      <c r="B16" s="3">
        <f t="shared" si="0"/>
        <v>45748</v>
      </c>
      <c r="C16" s="9">
        <v>0.55208333333333337</v>
      </c>
      <c r="D16" t="s">
        <v>294</v>
      </c>
      <c r="E16" t="s">
        <v>229</v>
      </c>
      <c r="F16">
        <v>20</v>
      </c>
      <c r="G16" t="s">
        <v>354</v>
      </c>
      <c r="I16" t="s">
        <v>232</v>
      </c>
      <c r="J16" t="s">
        <v>257</v>
      </c>
      <c r="L16">
        <v>4</v>
      </c>
      <c r="M16" s="8" t="s">
        <v>429</v>
      </c>
      <c r="N16">
        <v>3884</v>
      </c>
      <c r="Q16" t="s">
        <v>226</v>
      </c>
      <c r="T16" t="s">
        <v>233</v>
      </c>
      <c r="U16" t="s">
        <v>428</v>
      </c>
    </row>
    <row r="17" spans="1:21" x14ac:dyDescent="0.2">
      <c r="A17" s="3">
        <v>45751</v>
      </c>
      <c r="B17" s="3">
        <f t="shared" si="0"/>
        <v>45748</v>
      </c>
      <c r="C17" s="9">
        <v>0.66666666666666663</v>
      </c>
      <c r="D17" t="s">
        <v>244</v>
      </c>
      <c r="E17" t="s">
        <v>229</v>
      </c>
      <c r="F17">
        <v>23</v>
      </c>
      <c r="G17" t="s">
        <v>320</v>
      </c>
      <c r="I17" t="s">
        <v>272</v>
      </c>
      <c r="J17" t="s">
        <v>427</v>
      </c>
      <c r="L17">
        <v>9</v>
      </c>
      <c r="M17" t="s">
        <v>426</v>
      </c>
      <c r="N17">
        <v>3885</v>
      </c>
      <c r="Q17" t="s">
        <v>226</v>
      </c>
    </row>
    <row r="18" spans="1:21" ht="204" x14ac:dyDescent="0.2">
      <c r="A18" s="3">
        <v>45755</v>
      </c>
      <c r="B18" s="3">
        <f t="shared" si="0"/>
        <v>45748</v>
      </c>
      <c r="C18" s="9">
        <v>0.52083333333333337</v>
      </c>
      <c r="D18" t="s">
        <v>291</v>
      </c>
      <c r="E18" t="s">
        <v>229</v>
      </c>
      <c r="F18">
        <v>31</v>
      </c>
      <c r="G18" t="s">
        <v>369</v>
      </c>
      <c r="I18" t="s">
        <v>237</v>
      </c>
      <c r="J18" t="s">
        <v>425</v>
      </c>
      <c r="L18">
        <v>9</v>
      </c>
      <c r="M18" s="8" t="s">
        <v>424</v>
      </c>
      <c r="N18">
        <v>3895</v>
      </c>
      <c r="Q18" t="s">
        <v>226</v>
      </c>
    </row>
    <row r="19" spans="1:21" ht="272" x14ac:dyDescent="0.2">
      <c r="A19" s="3">
        <v>45758</v>
      </c>
      <c r="B19" s="3">
        <f t="shared" si="0"/>
        <v>45748</v>
      </c>
      <c r="C19" s="9">
        <v>0.5</v>
      </c>
      <c r="D19" t="s">
        <v>293</v>
      </c>
      <c r="E19" t="s">
        <v>229</v>
      </c>
      <c r="F19">
        <v>28</v>
      </c>
      <c r="G19" t="s">
        <v>320</v>
      </c>
      <c r="I19" t="s">
        <v>232</v>
      </c>
      <c r="J19" t="s">
        <v>228</v>
      </c>
      <c r="L19">
        <v>10</v>
      </c>
      <c r="M19" s="8" t="s">
        <v>423</v>
      </c>
      <c r="N19">
        <v>3920</v>
      </c>
      <c r="Q19" t="s">
        <v>226</v>
      </c>
    </row>
    <row r="20" spans="1:21" x14ac:dyDescent="0.2">
      <c r="A20" s="3">
        <v>45761</v>
      </c>
      <c r="B20" s="3">
        <f t="shared" si="0"/>
        <v>45748</v>
      </c>
      <c r="C20" s="9">
        <v>0.64583333333333337</v>
      </c>
      <c r="D20" t="s">
        <v>259</v>
      </c>
      <c r="E20" t="s">
        <v>229</v>
      </c>
      <c r="F20">
        <v>32</v>
      </c>
      <c r="G20" t="s">
        <v>369</v>
      </c>
      <c r="I20" t="s">
        <v>237</v>
      </c>
      <c r="J20" t="s">
        <v>247</v>
      </c>
      <c r="L20">
        <v>10</v>
      </c>
      <c r="M20" t="s">
        <v>422</v>
      </c>
      <c r="N20">
        <v>3938</v>
      </c>
      <c r="Q20" t="s">
        <v>226</v>
      </c>
    </row>
    <row r="21" spans="1:21" x14ac:dyDescent="0.2">
      <c r="A21" s="3">
        <v>45763</v>
      </c>
      <c r="B21" s="3">
        <f t="shared" si="0"/>
        <v>45748</v>
      </c>
      <c r="C21" s="9">
        <v>0.5</v>
      </c>
      <c r="D21" t="s">
        <v>235</v>
      </c>
      <c r="E21" t="s">
        <v>229</v>
      </c>
      <c r="F21">
        <v>24</v>
      </c>
      <c r="G21" t="s">
        <v>114</v>
      </c>
      <c r="I21" t="s">
        <v>232</v>
      </c>
      <c r="J21" t="s">
        <v>228</v>
      </c>
      <c r="L21">
        <v>10</v>
      </c>
      <c r="M21" t="s">
        <v>421</v>
      </c>
      <c r="N21">
        <v>3947</v>
      </c>
      <c r="Q21" t="s">
        <v>226</v>
      </c>
    </row>
    <row r="22" spans="1:21" ht="272" x14ac:dyDescent="0.2">
      <c r="A22" s="3">
        <v>45772</v>
      </c>
      <c r="B22" s="3">
        <f t="shared" si="0"/>
        <v>45748</v>
      </c>
      <c r="C22" s="9">
        <v>0.45833333333333331</v>
      </c>
      <c r="D22" t="s">
        <v>293</v>
      </c>
      <c r="E22" t="s">
        <v>229</v>
      </c>
      <c r="F22">
        <v>28</v>
      </c>
      <c r="G22" t="s">
        <v>369</v>
      </c>
      <c r="I22" t="s">
        <v>232</v>
      </c>
      <c r="J22" t="s">
        <v>228</v>
      </c>
      <c r="L22">
        <v>10</v>
      </c>
      <c r="M22" s="8" t="s">
        <v>420</v>
      </c>
      <c r="N22">
        <v>4007</v>
      </c>
      <c r="Q22" t="s">
        <v>226</v>
      </c>
    </row>
    <row r="23" spans="1:21" x14ac:dyDescent="0.2">
      <c r="A23" s="3">
        <v>45775</v>
      </c>
      <c r="B23" s="3">
        <f t="shared" si="0"/>
        <v>45748</v>
      </c>
      <c r="C23" s="9">
        <v>0.625</v>
      </c>
      <c r="D23" t="s">
        <v>259</v>
      </c>
      <c r="E23" t="s">
        <v>229</v>
      </c>
      <c r="F23">
        <v>32</v>
      </c>
      <c r="G23" t="s">
        <v>118</v>
      </c>
      <c r="I23" t="s">
        <v>237</v>
      </c>
      <c r="J23" t="s">
        <v>257</v>
      </c>
      <c r="L23">
        <v>10</v>
      </c>
      <c r="M23" t="s">
        <v>419</v>
      </c>
      <c r="N23">
        <v>4023</v>
      </c>
      <c r="Q23" t="s">
        <v>226</v>
      </c>
    </row>
    <row r="24" spans="1:21" ht="323" x14ac:dyDescent="0.2">
      <c r="A24" s="3">
        <v>45777</v>
      </c>
      <c r="B24" s="3">
        <f t="shared" si="0"/>
        <v>45748</v>
      </c>
      <c r="C24" s="9">
        <v>0.5</v>
      </c>
      <c r="D24" t="s">
        <v>281</v>
      </c>
      <c r="E24" t="s">
        <v>229</v>
      </c>
      <c r="F24">
        <v>27</v>
      </c>
      <c r="G24" t="s">
        <v>320</v>
      </c>
      <c r="I24" t="s">
        <v>232</v>
      </c>
      <c r="J24" t="s">
        <v>410</v>
      </c>
      <c r="L24">
        <v>10</v>
      </c>
      <c r="M24" s="8" t="s">
        <v>418</v>
      </c>
      <c r="N24">
        <v>4053</v>
      </c>
      <c r="Q24" t="s">
        <v>226</v>
      </c>
    </row>
    <row r="25" spans="1:21" x14ac:dyDescent="0.2">
      <c r="A25" s="3">
        <v>45779</v>
      </c>
      <c r="B25" s="3">
        <f t="shared" si="0"/>
        <v>45778</v>
      </c>
      <c r="C25" s="9">
        <v>0.55208333333333337</v>
      </c>
      <c r="D25" t="s">
        <v>294</v>
      </c>
      <c r="E25" t="s">
        <v>229</v>
      </c>
      <c r="F25">
        <v>20</v>
      </c>
      <c r="G25" t="s">
        <v>392</v>
      </c>
      <c r="I25" t="s">
        <v>232</v>
      </c>
      <c r="J25" t="s">
        <v>228</v>
      </c>
      <c r="L25" t="s">
        <v>256</v>
      </c>
      <c r="M25" t="s">
        <v>417</v>
      </c>
      <c r="Q25" t="s">
        <v>226</v>
      </c>
    </row>
    <row r="26" spans="1:21" x14ac:dyDescent="0.2">
      <c r="A26" s="3">
        <v>45779</v>
      </c>
      <c r="B26" s="3">
        <f t="shared" si="0"/>
        <v>45778</v>
      </c>
      <c r="C26" s="9">
        <v>0.66666666666666663</v>
      </c>
      <c r="D26" t="s">
        <v>244</v>
      </c>
      <c r="E26" t="s">
        <v>229</v>
      </c>
      <c r="F26">
        <v>23</v>
      </c>
      <c r="G26" t="s">
        <v>62</v>
      </c>
      <c r="I26" t="s">
        <v>358</v>
      </c>
      <c r="J26" t="s">
        <v>228</v>
      </c>
      <c r="L26">
        <v>8</v>
      </c>
      <c r="M26" t="s">
        <v>416</v>
      </c>
      <c r="N26">
        <v>4097</v>
      </c>
      <c r="Q26" t="s">
        <v>226</v>
      </c>
    </row>
    <row r="27" spans="1:21" x14ac:dyDescent="0.2">
      <c r="A27" s="3">
        <v>45783</v>
      </c>
      <c r="B27" s="3">
        <f t="shared" si="0"/>
        <v>45778</v>
      </c>
      <c r="C27" s="9">
        <v>0.52083333333333337</v>
      </c>
      <c r="D27" t="s">
        <v>291</v>
      </c>
      <c r="E27" t="s">
        <v>229</v>
      </c>
      <c r="F27">
        <v>31</v>
      </c>
      <c r="G27" t="s">
        <v>415</v>
      </c>
      <c r="I27" t="s">
        <v>232</v>
      </c>
      <c r="J27" t="s">
        <v>366</v>
      </c>
      <c r="L27">
        <v>9</v>
      </c>
      <c r="M27" t="s">
        <v>414</v>
      </c>
      <c r="N27">
        <v>4119</v>
      </c>
      <c r="Q27" t="s">
        <v>226</v>
      </c>
      <c r="S27" t="s">
        <v>413</v>
      </c>
      <c r="T27" t="s">
        <v>233</v>
      </c>
      <c r="U27" t="s">
        <v>412</v>
      </c>
    </row>
    <row r="28" spans="1:21" x14ac:dyDescent="0.2">
      <c r="A28" s="3">
        <v>45784</v>
      </c>
      <c r="B28" s="3">
        <f t="shared" si="0"/>
        <v>45778</v>
      </c>
      <c r="C28" s="9">
        <v>0.5</v>
      </c>
      <c r="D28" t="s">
        <v>235</v>
      </c>
      <c r="E28" t="s">
        <v>229</v>
      </c>
      <c r="F28">
        <v>24</v>
      </c>
      <c r="G28" t="s">
        <v>62</v>
      </c>
      <c r="I28" t="s">
        <v>232</v>
      </c>
      <c r="J28" t="s">
        <v>228</v>
      </c>
      <c r="L28">
        <v>10</v>
      </c>
      <c r="M28" t="s">
        <v>411</v>
      </c>
      <c r="N28">
        <v>4135</v>
      </c>
      <c r="Q28" t="s">
        <v>226</v>
      </c>
    </row>
    <row r="29" spans="1:21" x14ac:dyDescent="0.2">
      <c r="A29" s="3">
        <v>45786</v>
      </c>
      <c r="B29" s="3">
        <f t="shared" si="0"/>
        <v>45778</v>
      </c>
      <c r="C29" s="9">
        <v>0.45833333333333331</v>
      </c>
      <c r="D29" t="s">
        <v>293</v>
      </c>
      <c r="E29" t="s">
        <v>229</v>
      </c>
      <c r="F29">
        <v>28</v>
      </c>
      <c r="G29" t="s">
        <v>62</v>
      </c>
      <c r="I29" t="s">
        <v>358</v>
      </c>
      <c r="J29" t="s">
        <v>410</v>
      </c>
      <c r="L29">
        <v>10</v>
      </c>
      <c r="M29" t="s">
        <v>409</v>
      </c>
      <c r="N29">
        <v>4156</v>
      </c>
      <c r="Q29" t="s">
        <v>226</v>
      </c>
    </row>
    <row r="30" spans="1:21" x14ac:dyDescent="0.2">
      <c r="A30" s="3">
        <v>45789</v>
      </c>
      <c r="B30" s="3">
        <f t="shared" si="0"/>
        <v>45778</v>
      </c>
      <c r="C30" s="9">
        <v>0.625</v>
      </c>
      <c r="D30" t="s">
        <v>259</v>
      </c>
      <c r="E30" t="s">
        <v>229</v>
      </c>
      <c r="F30">
        <v>32</v>
      </c>
      <c r="G30" t="s">
        <v>349</v>
      </c>
      <c r="I30" t="s">
        <v>237</v>
      </c>
      <c r="L30">
        <v>10</v>
      </c>
      <c r="M30" t="s">
        <v>408</v>
      </c>
      <c r="Q30" t="s">
        <v>226</v>
      </c>
    </row>
    <row r="31" spans="1:21" ht="409.6" x14ac:dyDescent="0.2">
      <c r="A31" s="3">
        <v>45793</v>
      </c>
      <c r="B31" s="3">
        <f t="shared" si="0"/>
        <v>45778</v>
      </c>
      <c r="C31" s="9">
        <v>0.55208333333333337</v>
      </c>
      <c r="D31" t="s">
        <v>294</v>
      </c>
      <c r="E31" t="s">
        <v>229</v>
      </c>
      <c r="F31">
        <v>20</v>
      </c>
      <c r="G31" t="s">
        <v>62</v>
      </c>
      <c r="I31" t="s">
        <v>232</v>
      </c>
      <c r="J31" t="s">
        <v>228</v>
      </c>
      <c r="L31">
        <v>4</v>
      </c>
      <c r="M31" s="8" t="s">
        <v>407</v>
      </c>
      <c r="N31">
        <v>4270</v>
      </c>
      <c r="Q31" t="s">
        <v>226</v>
      </c>
    </row>
    <row r="32" spans="1:21" ht="409.6" x14ac:dyDescent="0.2">
      <c r="A32" s="3">
        <v>45793</v>
      </c>
      <c r="B32" s="3">
        <f t="shared" si="0"/>
        <v>45778</v>
      </c>
      <c r="C32" s="9">
        <v>0.66666666666666663</v>
      </c>
      <c r="D32" t="s">
        <v>244</v>
      </c>
      <c r="E32" t="s">
        <v>229</v>
      </c>
      <c r="F32">
        <v>23</v>
      </c>
      <c r="G32" t="s">
        <v>334</v>
      </c>
      <c r="I32" t="s">
        <v>232</v>
      </c>
      <c r="L32">
        <v>9</v>
      </c>
      <c r="M32" s="8" t="s">
        <v>406</v>
      </c>
      <c r="N32">
        <v>4273</v>
      </c>
      <c r="Q32" t="s">
        <v>226</v>
      </c>
    </row>
    <row r="33" spans="1:17" x14ac:dyDescent="0.2">
      <c r="A33" s="3">
        <v>45796</v>
      </c>
      <c r="B33" s="3">
        <f t="shared" si="0"/>
        <v>45778</v>
      </c>
      <c r="C33" s="9">
        <v>0.58333333333333337</v>
      </c>
      <c r="D33" t="s">
        <v>251</v>
      </c>
      <c r="E33" t="s">
        <v>229</v>
      </c>
      <c r="F33">
        <v>26</v>
      </c>
      <c r="G33" t="s">
        <v>114</v>
      </c>
      <c r="I33" t="s">
        <v>232</v>
      </c>
      <c r="J33" t="s">
        <v>237</v>
      </c>
      <c r="L33">
        <v>10</v>
      </c>
      <c r="M33" t="s">
        <v>405</v>
      </c>
      <c r="N33">
        <v>4277</v>
      </c>
      <c r="Q33" t="s">
        <v>226</v>
      </c>
    </row>
    <row r="34" spans="1:17" x14ac:dyDescent="0.2">
      <c r="A34" s="3">
        <v>45797</v>
      </c>
      <c r="B34" s="3">
        <f t="shared" si="0"/>
        <v>45778</v>
      </c>
      <c r="C34" s="9">
        <v>0.52083333333333337</v>
      </c>
      <c r="D34" t="s">
        <v>291</v>
      </c>
      <c r="E34" t="s">
        <v>229</v>
      </c>
      <c r="F34">
        <v>31</v>
      </c>
      <c r="G34" t="s">
        <v>118</v>
      </c>
      <c r="I34" t="s">
        <v>304</v>
      </c>
      <c r="J34" t="s">
        <v>366</v>
      </c>
      <c r="L34">
        <v>8</v>
      </c>
      <c r="M34" t="s">
        <v>404</v>
      </c>
      <c r="N34">
        <v>4299</v>
      </c>
      <c r="Q34" t="s">
        <v>226</v>
      </c>
    </row>
    <row r="35" spans="1:17" x14ac:dyDescent="0.2">
      <c r="A35" s="3">
        <v>45800</v>
      </c>
      <c r="B35" s="3">
        <f t="shared" si="0"/>
        <v>45778</v>
      </c>
      <c r="C35" s="9">
        <v>0.45833333333333331</v>
      </c>
      <c r="D35" t="s">
        <v>293</v>
      </c>
      <c r="E35" t="s">
        <v>229</v>
      </c>
      <c r="F35">
        <v>28</v>
      </c>
      <c r="G35" t="s">
        <v>403</v>
      </c>
      <c r="I35" t="s">
        <v>304</v>
      </c>
      <c r="L35">
        <v>9</v>
      </c>
      <c r="M35" t="s">
        <v>402</v>
      </c>
      <c r="Q35" t="s">
        <v>226</v>
      </c>
    </row>
    <row r="36" spans="1:17" ht="409.6" x14ac:dyDescent="0.2">
      <c r="A36" s="3">
        <v>45805</v>
      </c>
      <c r="B36" s="3">
        <f t="shared" si="0"/>
        <v>45778</v>
      </c>
      <c r="C36" s="9">
        <v>0.5</v>
      </c>
      <c r="D36" t="s">
        <v>235</v>
      </c>
      <c r="E36" t="s">
        <v>229</v>
      </c>
      <c r="F36">
        <v>24</v>
      </c>
      <c r="G36" t="s">
        <v>320</v>
      </c>
      <c r="I36" t="s">
        <v>232</v>
      </c>
      <c r="J36" t="s">
        <v>228</v>
      </c>
      <c r="K36" t="s">
        <v>401</v>
      </c>
      <c r="L36">
        <v>7</v>
      </c>
      <c r="M36" s="8" t="s">
        <v>400</v>
      </c>
      <c r="N36">
        <v>4373</v>
      </c>
      <c r="Q36" t="s">
        <v>226</v>
      </c>
    </row>
    <row r="37" spans="1:17" ht="409.6" x14ac:dyDescent="0.2">
      <c r="A37" s="3">
        <v>45807</v>
      </c>
      <c r="B37" s="3">
        <f t="shared" si="0"/>
        <v>45778</v>
      </c>
      <c r="C37" s="9">
        <v>0.55208333333333337</v>
      </c>
      <c r="D37" t="s">
        <v>294</v>
      </c>
      <c r="E37" t="s">
        <v>229</v>
      </c>
      <c r="F37">
        <v>20</v>
      </c>
      <c r="G37" t="s">
        <v>399</v>
      </c>
      <c r="I37" t="s">
        <v>232</v>
      </c>
      <c r="J37" t="s">
        <v>390</v>
      </c>
      <c r="K37" t="s">
        <v>398</v>
      </c>
      <c r="L37" t="s">
        <v>256</v>
      </c>
      <c r="M37" s="8" t="s">
        <v>397</v>
      </c>
      <c r="Q37" t="s">
        <v>226</v>
      </c>
    </row>
    <row r="38" spans="1:17" ht="409.6" x14ac:dyDescent="0.2">
      <c r="A38" s="3">
        <v>45810</v>
      </c>
      <c r="B38" s="3">
        <f t="shared" si="0"/>
        <v>45809</v>
      </c>
      <c r="C38" s="9">
        <v>0.58333333333333337</v>
      </c>
      <c r="D38" t="s">
        <v>251</v>
      </c>
      <c r="E38" t="s">
        <v>229</v>
      </c>
      <c r="F38">
        <v>26</v>
      </c>
      <c r="G38" t="s">
        <v>369</v>
      </c>
      <c r="I38" t="s">
        <v>232</v>
      </c>
      <c r="J38" t="s">
        <v>237</v>
      </c>
      <c r="L38">
        <v>8</v>
      </c>
      <c r="M38" s="8" t="s">
        <v>396</v>
      </c>
      <c r="N38">
        <v>4424</v>
      </c>
      <c r="Q38" t="s">
        <v>226</v>
      </c>
    </row>
    <row r="39" spans="1:17" x14ac:dyDescent="0.2">
      <c r="A39" s="3">
        <v>45811</v>
      </c>
      <c r="B39" s="3">
        <f t="shared" si="0"/>
        <v>45809</v>
      </c>
      <c r="C39" s="9">
        <v>0.52083333333333337</v>
      </c>
      <c r="D39" t="s">
        <v>291</v>
      </c>
      <c r="E39" t="s">
        <v>229</v>
      </c>
      <c r="F39">
        <v>31</v>
      </c>
      <c r="G39" t="s">
        <v>349</v>
      </c>
      <c r="I39" t="s">
        <v>304</v>
      </c>
      <c r="L39">
        <v>9</v>
      </c>
      <c r="M39" t="s">
        <v>395</v>
      </c>
      <c r="Q39" t="s">
        <v>226</v>
      </c>
    </row>
    <row r="40" spans="1:17" ht="238" x14ac:dyDescent="0.2">
      <c r="A40" s="3">
        <v>45814</v>
      </c>
      <c r="B40" s="3">
        <f t="shared" si="0"/>
        <v>45809</v>
      </c>
      <c r="C40" s="9">
        <v>0.45833333333333331</v>
      </c>
      <c r="D40" t="s">
        <v>293</v>
      </c>
      <c r="E40" t="s">
        <v>229</v>
      </c>
      <c r="F40">
        <v>28</v>
      </c>
      <c r="G40" t="s">
        <v>118</v>
      </c>
      <c r="I40" t="s">
        <v>232</v>
      </c>
      <c r="J40" t="s">
        <v>272</v>
      </c>
      <c r="L40">
        <v>9</v>
      </c>
      <c r="M40" s="8" t="s">
        <v>394</v>
      </c>
      <c r="N40">
        <v>4496</v>
      </c>
      <c r="Q40" t="s">
        <v>226</v>
      </c>
    </row>
    <row r="41" spans="1:17" x14ac:dyDescent="0.2">
      <c r="A41" s="3">
        <v>45819</v>
      </c>
      <c r="B41" s="3">
        <f t="shared" si="0"/>
        <v>45809</v>
      </c>
      <c r="C41" s="9">
        <v>0.5</v>
      </c>
      <c r="D41" t="s">
        <v>281</v>
      </c>
      <c r="E41" t="s">
        <v>229</v>
      </c>
      <c r="F41">
        <v>27</v>
      </c>
      <c r="G41" t="s">
        <v>369</v>
      </c>
      <c r="I41" t="s">
        <v>237</v>
      </c>
      <c r="J41" t="s">
        <v>228</v>
      </c>
      <c r="L41">
        <v>10</v>
      </c>
      <c r="M41" t="s">
        <v>393</v>
      </c>
      <c r="N41">
        <v>4543</v>
      </c>
      <c r="Q41" t="s">
        <v>226</v>
      </c>
    </row>
    <row r="42" spans="1:17" x14ac:dyDescent="0.2">
      <c r="A42" s="3">
        <v>45821</v>
      </c>
      <c r="B42" s="3">
        <f t="shared" si="0"/>
        <v>45809</v>
      </c>
      <c r="C42" s="9">
        <v>0.55208333333333337</v>
      </c>
      <c r="D42" t="s">
        <v>294</v>
      </c>
      <c r="E42" t="s">
        <v>229</v>
      </c>
      <c r="F42">
        <v>20</v>
      </c>
      <c r="G42" t="s">
        <v>392</v>
      </c>
      <c r="I42" t="s">
        <v>390</v>
      </c>
      <c r="K42" t="s">
        <v>391</v>
      </c>
      <c r="L42" t="s">
        <v>256</v>
      </c>
      <c r="Q42" t="s">
        <v>226</v>
      </c>
    </row>
    <row r="43" spans="1:17" ht="409.6" x14ac:dyDescent="0.2">
      <c r="A43" s="3">
        <v>45821</v>
      </c>
      <c r="B43" s="3">
        <f t="shared" si="0"/>
        <v>45809</v>
      </c>
      <c r="C43" s="9">
        <v>0.66666666666666663</v>
      </c>
      <c r="D43" t="s">
        <v>244</v>
      </c>
      <c r="E43" t="s">
        <v>229</v>
      </c>
      <c r="F43">
        <v>23</v>
      </c>
      <c r="G43" t="s">
        <v>133</v>
      </c>
      <c r="I43" t="s">
        <v>228</v>
      </c>
      <c r="J43" t="s">
        <v>390</v>
      </c>
      <c r="L43">
        <v>8</v>
      </c>
      <c r="M43" s="8" t="s">
        <v>389</v>
      </c>
      <c r="N43">
        <v>4592</v>
      </c>
      <c r="Q43" t="s">
        <v>226</v>
      </c>
    </row>
    <row r="44" spans="1:17" ht="409.6" x14ac:dyDescent="0.2">
      <c r="A44" s="3">
        <v>45825</v>
      </c>
      <c r="B44" s="3">
        <f t="shared" si="0"/>
        <v>45809</v>
      </c>
      <c r="C44" s="9">
        <v>0.60416666666666663</v>
      </c>
      <c r="D44" t="s">
        <v>251</v>
      </c>
      <c r="E44" t="s">
        <v>229</v>
      </c>
      <c r="F44">
        <v>26</v>
      </c>
      <c r="G44" t="s">
        <v>133</v>
      </c>
      <c r="I44" t="s">
        <v>228</v>
      </c>
      <c r="J44" t="s">
        <v>232</v>
      </c>
      <c r="L44">
        <v>10</v>
      </c>
      <c r="M44" s="8" t="s">
        <v>388</v>
      </c>
      <c r="N44">
        <v>4616</v>
      </c>
      <c r="Q44" t="s">
        <v>226</v>
      </c>
    </row>
    <row r="45" spans="1:17" ht="409.6" x14ac:dyDescent="0.2">
      <c r="A45" s="3">
        <v>45826</v>
      </c>
      <c r="B45" s="3">
        <f t="shared" si="0"/>
        <v>45809</v>
      </c>
      <c r="C45" s="9">
        <v>0.5</v>
      </c>
      <c r="D45" t="s">
        <v>235</v>
      </c>
      <c r="E45" t="s">
        <v>229</v>
      </c>
      <c r="F45">
        <v>24</v>
      </c>
      <c r="G45" t="s">
        <v>133</v>
      </c>
      <c r="I45" t="s">
        <v>232</v>
      </c>
      <c r="J45" t="s">
        <v>257</v>
      </c>
      <c r="L45">
        <v>9</v>
      </c>
      <c r="M45" s="8" t="s">
        <v>387</v>
      </c>
      <c r="N45">
        <v>4627</v>
      </c>
      <c r="Q45" t="s">
        <v>226</v>
      </c>
    </row>
    <row r="46" spans="1:17" x14ac:dyDescent="0.2">
      <c r="A46" s="3">
        <v>45828</v>
      </c>
      <c r="B46" s="3">
        <f t="shared" si="0"/>
        <v>45809</v>
      </c>
      <c r="C46" s="9">
        <v>0.45833333333333331</v>
      </c>
      <c r="D46" t="s">
        <v>293</v>
      </c>
      <c r="E46" t="s">
        <v>229</v>
      </c>
      <c r="F46">
        <v>28</v>
      </c>
      <c r="G46" t="s">
        <v>349</v>
      </c>
      <c r="I46" t="s">
        <v>272</v>
      </c>
      <c r="L46">
        <v>9</v>
      </c>
      <c r="M46" t="s">
        <v>386</v>
      </c>
      <c r="Q46" t="s">
        <v>226</v>
      </c>
    </row>
    <row r="47" spans="1:17" ht="409.6" x14ac:dyDescent="0.2">
      <c r="A47" s="3">
        <v>45831</v>
      </c>
      <c r="B47" s="3">
        <f t="shared" si="0"/>
        <v>45809</v>
      </c>
      <c r="C47" s="9">
        <v>0.625</v>
      </c>
      <c r="D47" t="s">
        <v>259</v>
      </c>
      <c r="E47" t="s">
        <v>229</v>
      </c>
      <c r="F47">
        <v>32</v>
      </c>
      <c r="G47" t="s">
        <v>133</v>
      </c>
      <c r="I47" t="s">
        <v>237</v>
      </c>
      <c r="J47" t="s">
        <v>232</v>
      </c>
      <c r="K47" s="8" t="s">
        <v>385</v>
      </c>
      <c r="L47">
        <v>10</v>
      </c>
      <c r="M47" s="8" t="s">
        <v>384</v>
      </c>
      <c r="N47">
        <v>4668</v>
      </c>
      <c r="Q47" t="s">
        <v>226</v>
      </c>
    </row>
    <row r="48" spans="1:17" ht="409.6" x14ac:dyDescent="0.2">
      <c r="A48" s="3">
        <v>45833</v>
      </c>
      <c r="B48" s="3">
        <f t="shared" si="0"/>
        <v>45809</v>
      </c>
      <c r="C48" s="9">
        <v>0.5</v>
      </c>
      <c r="D48" t="s">
        <v>281</v>
      </c>
      <c r="E48" t="s">
        <v>229</v>
      </c>
      <c r="F48">
        <v>27</v>
      </c>
      <c r="G48" t="s">
        <v>133</v>
      </c>
      <c r="I48" t="s">
        <v>237</v>
      </c>
      <c r="J48" t="s">
        <v>232</v>
      </c>
      <c r="L48">
        <v>10</v>
      </c>
      <c r="M48" s="8" t="s">
        <v>383</v>
      </c>
      <c r="N48">
        <v>4712</v>
      </c>
      <c r="Q48" t="s">
        <v>226</v>
      </c>
    </row>
    <row r="49" spans="1:21" x14ac:dyDescent="0.2">
      <c r="A49" s="3">
        <v>45835</v>
      </c>
      <c r="B49" s="3">
        <f t="shared" si="0"/>
        <v>45809</v>
      </c>
      <c r="C49" s="9">
        <v>0.66666666666666663</v>
      </c>
      <c r="D49" t="s">
        <v>244</v>
      </c>
      <c r="E49" t="s">
        <v>229</v>
      </c>
      <c r="F49">
        <v>23</v>
      </c>
      <c r="G49" t="s">
        <v>360</v>
      </c>
      <c r="I49" t="s">
        <v>232</v>
      </c>
      <c r="L49">
        <v>10</v>
      </c>
      <c r="M49" t="s">
        <v>382</v>
      </c>
      <c r="Q49" t="s">
        <v>226</v>
      </c>
    </row>
    <row r="50" spans="1:21" x14ac:dyDescent="0.2">
      <c r="A50" s="3">
        <v>45838</v>
      </c>
      <c r="B50" s="3">
        <f t="shared" si="0"/>
        <v>45809</v>
      </c>
      <c r="C50" s="9">
        <v>0.58333333333333337</v>
      </c>
      <c r="D50" t="s">
        <v>251</v>
      </c>
      <c r="E50" t="s">
        <v>229</v>
      </c>
      <c r="F50">
        <v>26</v>
      </c>
      <c r="G50" t="s">
        <v>360</v>
      </c>
      <c r="I50" t="s">
        <v>228</v>
      </c>
      <c r="L50">
        <v>9</v>
      </c>
      <c r="M50" t="s">
        <v>381</v>
      </c>
      <c r="Q50" t="s">
        <v>226</v>
      </c>
    </row>
    <row r="51" spans="1:21" x14ac:dyDescent="0.2">
      <c r="A51" s="3">
        <v>45839</v>
      </c>
      <c r="B51" s="3">
        <f t="shared" si="0"/>
        <v>45839</v>
      </c>
      <c r="C51" s="9">
        <v>0.52083333333333337</v>
      </c>
      <c r="D51" t="s">
        <v>291</v>
      </c>
      <c r="E51" t="s">
        <v>229</v>
      </c>
      <c r="F51">
        <v>31</v>
      </c>
      <c r="G51" t="s">
        <v>133</v>
      </c>
      <c r="I51" t="s">
        <v>272</v>
      </c>
      <c r="J51" t="s">
        <v>228</v>
      </c>
      <c r="L51">
        <v>9</v>
      </c>
      <c r="M51" t="s">
        <v>380</v>
      </c>
      <c r="N51">
        <v>4778</v>
      </c>
      <c r="Q51" t="s">
        <v>226</v>
      </c>
    </row>
    <row r="52" spans="1:21" ht="409.6" x14ac:dyDescent="0.2">
      <c r="A52" s="3">
        <v>45840</v>
      </c>
      <c r="B52" s="3">
        <f t="shared" si="0"/>
        <v>45839</v>
      </c>
      <c r="C52" s="9">
        <v>0.45833333333333331</v>
      </c>
      <c r="D52" t="s">
        <v>238</v>
      </c>
      <c r="E52" t="s">
        <v>229</v>
      </c>
      <c r="F52">
        <v>12</v>
      </c>
      <c r="G52" t="s">
        <v>133</v>
      </c>
      <c r="I52" t="s">
        <v>232</v>
      </c>
      <c r="J52" t="s">
        <v>257</v>
      </c>
      <c r="L52">
        <v>7</v>
      </c>
      <c r="M52" s="8" t="s">
        <v>379</v>
      </c>
      <c r="N52">
        <v>4795</v>
      </c>
      <c r="Q52" t="s">
        <v>226</v>
      </c>
    </row>
    <row r="53" spans="1:21" x14ac:dyDescent="0.2">
      <c r="A53" s="3">
        <v>45842</v>
      </c>
      <c r="B53" s="3">
        <f t="shared" si="0"/>
        <v>45839</v>
      </c>
      <c r="C53" s="9">
        <v>0.45833333333333331</v>
      </c>
      <c r="D53" t="s">
        <v>293</v>
      </c>
      <c r="E53" t="s">
        <v>229</v>
      </c>
      <c r="F53">
        <v>28</v>
      </c>
      <c r="G53" t="s">
        <v>133</v>
      </c>
      <c r="I53" t="s">
        <v>237</v>
      </c>
      <c r="J53" t="s">
        <v>304</v>
      </c>
      <c r="L53">
        <v>9</v>
      </c>
      <c r="M53" t="s">
        <v>378</v>
      </c>
      <c r="N53">
        <v>4837</v>
      </c>
      <c r="Q53" t="s">
        <v>226</v>
      </c>
    </row>
    <row r="54" spans="1:21" x14ac:dyDescent="0.2">
      <c r="A54" s="3">
        <v>45845</v>
      </c>
      <c r="B54" s="3">
        <f t="shared" si="0"/>
        <v>45839</v>
      </c>
      <c r="C54" s="9">
        <v>0.625</v>
      </c>
      <c r="D54" t="s">
        <v>259</v>
      </c>
      <c r="E54" t="s">
        <v>229</v>
      </c>
      <c r="F54">
        <v>32</v>
      </c>
      <c r="G54" t="s">
        <v>360</v>
      </c>
      <c r="I54" t="s">
        <v>232</v>
      </c>
      <c r="L54">
        <v>10</v>
      </c>
      <c r="M54" t="s">
        <v>377</v>
      </c>
      <c r="Q54" t="s">
        <v>226</v>
      </c>
    </row>
    <row r="55" spans="1:21" x14ac:dyDescent="0.2">
      <c r="A55" s="3">
        <v>45847</v>
      </c>
      <c r="B55" s="3">
        <f t="shared" si="0"/>
        <v>45839</v>
      </c>
      <c r="C55" s="9">
        <v>0.5</v>
      </c>
      <c r="D55" t="s">
        <v>235</v>
      </c>
      <c r="E55" t="s">
        <v>229</v>
      </c>
      <c r="F55">
        <v>24</v>
      </c>
      <c r="G55" t="s">
        <v>360</v>
      </c>
      <c r="I55" t="s">
        <v>232</v>
      </c>
      <c r="L55">
        <v>10</v>
      </c>
      <c r="M55" t="s">
        <v>376</v>
      </c>
      <c r="Q55" t="s">
        <v>226</v>
      </c>
    </row>
    <row r="56" spans="1:21" ht="340" x14ac:dyDescent="0.2">
      <c r="A56" s="3">
        <v>45849</v>
      </c>
      <c r="B56" s="3">
        <f t="shared" si="0"/>
        <v>45839</v>
      </c>
      <c r="C56" s="9">
        <v>0.66666666666666663</v>
      </c>
      <c r="D56" t="s">
        <v>244</v>
      </c>
      <c r="E56" t="s">
        <v>229</v>
      </c>
      <c r="F56">
        <v>23</v>
      </c>
      <c r="G56" t="s">
        <v>369</v>
      </c>
      <c r="I56" t="s">
        <v>232</v>
      </c>
      <c r="J56" t="s">
        <v>358</v>
      </c>
      <c r="L56">
        <v>7</v>
      </c>
      <c r="M56" s="8" t="s">
        <v>375</v>
      </c>
      <c r="N56">
        <v>4957</v>
      </c>
      <c r="Q56" t="s">
        <v>226</v>
      </c>
    </row>
    <row r="57" spans="1:21" x14ac:dyDescent="0.2">
      <c r="A57" s="3">
        <v>45853</v>
      </c>
      <c r="B57" s="3">
        <f t="shared" si="0"/>
        <v>45839</v>
      </c>
      <c r="C57" s="9">
        <v>0.52083333333333337</v>
      </c>
      <c r="D57" t="s">
        <v>291</v>
      </c>
      <c r="E57" t="s">
        <v>229</v>
      </c>
      <c r="F57">
        <v>31</v>
      </c>
      <c r="G57" t="s">
        <v>360</v>
      </c>
      <c r="I57" t="s">
        <v>272</v>
      </c>
      <c r="L57">
        <v>9</v>
      </c>
      <c r="M57" t="s">
        <v>374</v>
      </c>
      <c r="Q57" t="s">
        <v>226</v>
      </c>
    </row>
    <row r="58" spans="1:21" x14ac:dyDescent="0.2">
      <c r="A58" s="3">
        <v>45859</v>
      </c>
      <c r="B58" s="3">
        <f t="shared" si="0"/>
        <v>45839</v>
      </c>
      <c r="C58" s="9">
        <v>0.625</v>
      </c>
      <c r="D58" t="s">
        <v>259</v>
      </c>
      <c r="E58" t="s">
        <v>229</v>
      </c>
      <c r="F58">
        <v>32</v>
      </c>
      <c r="G58" t="s">
        <v>334</v>
      </c>
      <c r="I58" t="s">
        <v>247</v>
      </c>
      <c r="J58" t="s">
        <v>358</v>
      </c>
      <c r="L58">
        <v>8</v>
      </c>
      <c r="M58" t="s">
        <v>373</v>
      </c>
      <c r="N58">
        <v>5085</v>
      </c>
      <c r="Q58" t="s">
        <v>226</v>
      </c>
      <c r="T58" t="s">
        <v>233</v>
      </c>
      <c r="U58" t="s">
        <v>372</v>
      </c>
    </row>
    <row r="59" spans="1:21" ht="170" x14ac:dyDescent="0.2">
      <c r="A59" s="3">
        <v>45863</v>
      </c>
      <c r="B59" s="3">
        <f t="shared" si="0"/>
        <v>45839</v>
      </c>
      <c r="C59" s="9">
        <v>0.58333333333333337</v>
      </c>
      <c r="D59" t="s">
        <v>294</v>
      </c>
      <c r="E59" t="s">
        <v>229</v>
      </c>
      <c r="F59">
        <v>20</v>
      </c>
      <c r="G59" t="s">
        <v>133</v>
      </c>
      <c r="I59" t="s">
        <v>232</v>
      </c>
      <c r="L59">
        <v>8</v>
      </c>
      <c r="M59" s="8" t="s">
        <v>371</v>
      </c>
      <c r="N59">
        <v>5162</v>
      </c>
      <c r="Q59" t="s">
        <v>226</v>
      </c>
    </row>
    <row r="60" spans="1:21" x14ac:dyDescent="0.2">
      <c r="A60" s="3">
        <v>45866</v>
      </c>
      <c r="B60" s="3">
        <f t="shared" si="0"/>
        <v>45839</v>
      </c>
      <c r="C60" s="9">
        <v>0.58333333333333337</v>
      </c>
      <c r="D60" t="s">
        <v>251</v>
      </c>
      <c r="E60" t="s">
        <v>229</v>
      </c>
      <c r="F60">
        <v>26</v>
      </c>
      <c r="G60" t="s">
        <v>320</v>
      </c>
      <c r="I60" t="s">
        <v>358</v>
      </c>
      <c r="J60" t="s">
        <v>232</v>
      </c>
      <c r="L60">
        <v>9</v>
      </c>
      <c r="M60" t="s">
        <v>370</v>
      </c>
      <c r="N60">
        <v>5177</v>
      </c>
      <c r="Q60" t="s">
        <v>226</v>
      </c>
    </row>
    <row r="61" spans="1:21" ht="409.6" x14ac:dyDescent="0.2">
      <c r="A61" s="3">
        <v>45868</v>
      </c>
      <c r="B61" s="3">
        <f t="shared" si="0"/>
        <v>45839</v>
      </c>
      <c r="C61" s="9">
        <v>0.5</v>
      </c>
      <c r="D61" t="s">
        <v>235</v>
      </c>
      <c r="E61" t="s">
        <v>229</v>
      </c>
      <c r="F61">
        <v>24</v>
      </c>
      <c r="G61" t="s">
        <v>369</v>
      </c>
      <c r="I61" t="s">
        <v>232</v>
      </c>
      <c r="J61" t="s">
        <v>257</v>
      </c>
      <c r="L61">
        <v>8</v>
      </c>
      <c r="M61" s="8" t="s">
        <v>368</v>
      </c>
      <c r="N61">
        <v>5201</v>
      </c>
      <c r="Q61" t="s">
        <v>226</v>
      </c>
    </row>
    <row r="62" spans="1:21" x14ac:dyDescent="0.2">
      <c r="A62" s="3">
        <v>45870</v>
      </c>
      <c r="B62" s="3">
        <f t="shared" si="0"/>
        <v>45870</v>
      </c>
      <c r="C62" s="9">
        <v>0.45833333333333331</v>
      </c>
      <c r="D62" t="s">
        <v>293</v>
      </c>
      <c r="E62" t="s">
        <v>229</v>
      </c>
      <c r="F62">
        <v>28</v>
      </c>
      <c r="G62" t="s">
        <v>360</v>
      </c>
      <c r="I62" t="s">
        <v>237</v>
      </c>
      <c r="L62">
        <v>8</v>
      </c>
      <c r="M62" t="s">
        <v>367</v>
      </c>
      <c r="Q62" t="s">
        <v>226</v>
      </c>
    </row>
    <row r="63" spans="1:21" ht="409.6" x14ac:dyDescent="0.2">
      <c r="A63" s="3">
        <v>45870</v>
      </c>
      <c r="B63" s="3">
        <f t="shared" si="0"/>
        <v>45870</v>
      </c>
      <c r="C63" s="9">
        <v>0.66666666666666663</v>
      </c>
      <c r="D63" t="s">
        <v>244</v>
      </c>
      <c r="E63" t="s">
        <v>229</v>
      </c>
      <c r="F63">
        <v>23</v>
      </c>
      <c r="G63" t="s">
        <v>118</v>
      </c>
      <c r="I63" t="s">
        <v>228</v>
      </c>
      <c r="J63" t="s">
        <v>366</v>
      </c>
      <c r="L63">
        <v>9</v>
      </c>
      <c r="M63" s="8" t="s">
        <v>365</v>
      </c>
      <c r="N63">
        <v>5242</v>
      </c>
      <c r="Q63" t="s">
        <v>226</v>
      </c>
    </row>
    <row r="64" spans="1:21" ht="306" x14ac:dyDescent="0.2">
      <c r="A64" s="3">
        <v>45873</v>
      </c>
      <c r="B64" s="3">
        <f t="shared" si="0"/>
        <v>45870</v>
      </c>
      <c r="C64" s="9">
        <v>0.625</v>
      </c>
      <c r="D64" t="s">
        <v>259</v>
      </c>
      <c r="E64" t="s">
        <v>229</v>
      </c>
      <c r="F64">
        <v>32</v>
      </c>
      <c r="G64" t="s">
        <v>155</v>
      </c>
      <c r="I64" t="s">
        <v>232</v>
      </c>
      <c r="J64" t="s">
        <v>272</v>
      </c>
      <c r="L64">
        <v>10</v>
      </c>
      <c r="M64" s="8" t="s">
        <v>364</v>
      </c>
      <c r="N64">
        <v>5254</v>
      </c>
      <c r="Q64" t="s">
        <v>226</v>
      </c>
      <c r="S64" t="s">
        <v>363</v>
      </c>
      <c r="T64" t="s">
        <v>233</v>
      </c>
      <c r="U64" t="s">
        <v>362</v>
      </c>
    </row>
    <row r="65" spans="1:22" ht="187" x14ac:dyDescent="0.2">
      <c r="A65" s="3">
        <v>45875</v>
      </c>
      <c r="B65" s="3">
        <f t="shared" si="0"/>
        <v>45870</v>
      </c>
      <c r="C65" s="9">
        <v>0.5</v>
      </c>
      <c r="D65" t="s">
        <v>281</v>
      </c>
      <c r="E65" t="s">
        <v>229</v>
      </c>
      <c r="F65">
        <v>27</v>
      </c>
      <c r="G65" t="s">
        <v>118</v>
      </c>
      <c r="I65" t="s">
        <v>237</v>
      </c>
      <c r="J65" t="s">
        <v>247</v>
      </c>
      <c r="L65">
        <v>10</v>
      </c>
      <c r="M65" s="8" t="s">
        <v>361</v>
      </c>
      <c r="N65">
        <v>5283</v>
      </c>
      <c r="Q65" t="s">
        <v>226</v>
      </c>
    </row>
    <row r="66" spans="1:22" ht="289" x14ac:dyDescent="0.2">
      <c r="A66" s="3">
        <v>45877</v>
      </c>
      <c r="B66" s="3">
        <f t="shared" si="0"/>
        <v>45870</v>
      </c>
      <c r="C66" s="9">
        <v>0.58333333333333337</v>
      </c>
      <c r="D66" t="s">
        <v>294</v>
      </c>
      <c r="E66" t="s">
        <v>229</v>
      </c>
      <c r="F66">
        <v>20</v>
      </c>
      <c r="G66" t="s">
        <v>360</v>
      </c>
      <c r="I66" t="s">
        <v>232</v>
      </c>
      <c r="L66" t="s">
        <v>256</v>
      </c>
      <c r="M66" s="8" t="s">
        <v>359</v>
      </c>
      <c r="Q66" t="s">
        <v>226</v>
      </c>
    </row>
    <row r="67" spans="1:22" x14ac:dyDescent="0.2">
      <c r="A67" s="3">
        <v>45881</v>
      </c>
      <c r="B67" s="3">
        <f t="shared" ref="B67:B130" si="1">DATE(YEAR(A67), MONTH(A67), 1)</f>
        <v>45870</v>
      </c>
      <c r="C67" s="9">
        <v>0.52083333333333337</v>
      </c>
      <c r="D67" t="s">
        <v>291</v>
      </c>
      <c r="E67" t="s">
        <v>229</v>
      </c>
      <c r="F67">
        <v>31</v>
      </c>
      <c r="G67" t="s">
        <v>334</v>
      </c>
      <c r="I67" t="s">
        <v>358</v>
      </c>
      <c r="J67" t="s">
        <v>357</v>
      </c>
      <c r="L67">
        <v>8</v>
      </c>
      <c r="M67" t="s">
        <v>356</v>
      </c>
      <c r="N67">
        <v>5340</v>
      </c>
      <c r="Q67" t="s">
        <v>226</v>
      </c>
    </row>
    <row r="68" spans="1:22" x14ac:dyDescent="0.2">
      <c r="A68" s="3">
        <v>45882</v>
      </c>
      <c r="B68" s="3">
        <f t="shared" si="1"/>
        <v>45870</v>
      </c>
      <c r="C68" s="9">
        <v>0.45833333333333331</v>
      </c>
      <c r="D68" t="s">
        <v>238</v>
      </c>
      <c r="E68" t="s">
        <v>229</v>
      </c>
      <c r="F68">
        <v>12</v>
      </c>
      <c r="G68" t="s">
        <v>334</v>
      </c>
      <c r="I68" t="s">
        <v>232</v>
      </c>
      <c r="L68">
        <v>7</v>
      </c>
      <c r="M68" t="s">
        <v>355</v>
      </c>
      <c r="Q68" t="s">
        <v>226</v>
      </c>
    </row>
    <row r="69" spans="1:22" x14ac:dyDescent="0.2">
      <c r="A69" s="3">
        <v>45883</v>
      </c>
      <c r="B69" s="3">
        <f t="shared" si="1"/>
        <v>45870</v>
      </c>
      <c r="C69" s="9">
        <v>0.66666666666666663</v>
      </c>
      <c r="D69" t="s">
        <v>251</v>
      </c>
      <c r="E69" t="s">
        <v>229</v>
      </c>
      <c r="F69">
        <v>26</v>
      </c>
      <c r="G69" t="s">
        <v>354</v>
      </c>
      <c r="I69" t="s">
        <v>304</v>
      </c>
      <c r="L69">
        <v>8</v>
      </c>
      <c r="M69" t="s">
        <v>353</v>
      </c>
      <c r="N69">
        <v>5383</v>
      </c>
      <c r="Q69" t="s">
        <v>226</v>
      </c>
    </row>
    <row r="70" spans="1:22" x14ac:dyDescent="0.2">
      <c r="A70" s="3">
        <v>45887</v>
      </c>
      <c r="B70" s="3">
        <f t="shared" si="1"/>
        <v>45870</v>
      </c>
      <c r="C70" s="9">
        <v>0.625</v>
      </c>
      <c r="D70" t="s">
        <v>259</v>
      </c>
      <c r="E70" t="s">
        <v>229</v>
      </c>
      <c r="F70">
        <v>32</v>
      </c>
      <c r="G70" t="s">
        <v>352</v>
      </c>
      <c r="I70" t="s">
        <v>257</v>
      </c>
      <c r="L70">
        <v>10</v>
      </c>
      <c r="M70" t="s">
        <v>351</v>
      </c>
      <c r="Q70" t="s">
        <v>226</v>
      </c>
    </row>
    <row r="71" spans="1:22" x14ac:dyDescent="0.2">
      <c r="A71" s="3">
        <v>45889</v>
      </c>
      <c r="B71" s="3">
        <f t="shared" si="1"/>
        <v>45870</v>
      </c>
      <c r="C71" s="9">
        <v>0.5</v>
      </c>
      <c r="D71" t="s">
        <v>235</v>
      </c>
      <c r="E71" t="s">
        <v>229</v>
      </c>
      <c r="F71">
        <v>24</v>
      </c>
      <c r="G71" t="s">
        <v>161</v>
      </c>
      <c r="I71" t="s">
        <v>257</v>
      </c>
      <c r="J71" t="s">
        <v>247</v>
      </c>
      <c r="L71">
        <v>4</v>
      </c>
      <c r="M71" t="s">
        <v>350</v>
      </c>
      <c r="N71">
        <v>5453</v>
      </c>
      <c r="Q71" t="s">
        <v>226</v>
      </c>
    </row>
    <row r="72" spans="1:22" x14ac:dyDescent="0.2">
      <c r="A72" s="3">
        <v>45889</v>
      </c>
      <c r="B72" s="3">
        <f t="shared" si="1"/>
        <v>45870</v>
      </c>
      <c r="C72" s="9">
        <v>0.5</v>
      </c>
      <c r="D72" t="s">
        <v>281</v>
      </c>
      <c r="E72" t="s">
        <v>229</v>
      </c>
      <c r="F72">
        <v>27</v>
      </c>
      <c r="G72" t="s">
        <v>349</v>
      </c>
      <c r="I72" t="s">
        <v>304</v>
      </c>
      <c r="L72">
        <v>10</v>
      </c>
      <c r="Q72" t="s">
        <v>226</v>
      </c>
    </row>
    <row r="73" spans="1:22" ht="289" x14ac:dyDescent="0.2">
      <c r="A73" s="3">
        <v>45891</v>
      </c>
      <c r="B73" s="3">
        <f t="shared" si="1"/>
        <v>45870</v>
      </c>
      <c r="C73" s="9">
        <v>0.58333333333333337</v>
      </c>
      <c r="D73" t="s">
        <v>294</v>
      </c>
      <c r="E73" t="s">
        <v>229</v>
      </c>
      <c r="F73">
        <v>20</v>
      </c>
      <c r="G73" t="s">
        <v>118</v>
      </c>
      <c r="I73" t="s">
        <v>232</v>
      </c>
      <c r="L73">
        <v>10</v>
      </c>
      <c r="M73" s="8" t="s">
        <v>348</v>
      </c>
      <c r="N73">
        <v>5504</v>
      </c>
      <c r="Q73" t="s">
        <v>226</v>
      </c>
    </row>
    <row r="74" spans="1:22" x14ac:dyDescent="0.2">
      <c r="A74" s="3">
        <v>45891</v>
      </c>
      <c r="B74" s="3">
        <f t="shared" si="1"/>
        <v>45870</v>
      </c>
      <c r="C74" s="9">
        <v>0.66666666666666663</v>
      </c>
      <c r="D74" t="s">
        <v>293</v>
      </c>
      <c r="E74" t="s">
        <v>229</v>
      </c>
      <c r="F74">
        <v>28</v>
      </c>
      <c r="G74" t="s">
        <v>334</v>
      </c>
      <c r="I74" t="s">
        <v>232</v>
      </c>
      <c r="L74">
        <v>9</v>
      </c>
      <c r="M74" t="s">
        <v>347</v>
      </c>
      <c r="N74">
        <v>5506</v>
      </c>
      <c r="Q74" t="s">
        <v>226</v>
      </c>
    </row>
    <row r="75" spans="1:22" x14ac:dyDescent="0.2">
      <c r="A75" s="3">
        <v>45901</v>
      </c>
      <c r="B75" s="3">
        <f t="shared" si="1"/>
        <v>45901</v>
      </c>
      <c r="C75" s="9">
        <v>0.625</v>
      </c>
      <c r="D75" t="s">
        <v>259</v>
      </c>
      <c r="E75" t="s">
        <v>229</v>
      </c>
      <c r="F75">
        <v>32</v>
      </c>
      <c r="G75" t="s">
        <v>298</v>
      </c>
      <c r="I75" t="s">
        <v>272</v>
      </c>
      <c r="L75">
        <v>9</v>
      </c>
      <c r="M75" t="s">
        <v>346</v>
      </c>
      <c r="N75">
        <v>5586</v>
      </c>
      <c r="Q75" t="s">
        <v>226</v>
      </c>
      <c r="V75" t="s">
        <v>345</v>
      </c>
    </row>
    <row r="76" spans="1:22" x14ac:dyDescent="0.2">
      <c r="A76" s="3">
        <v>45909</v>
      </c>
      <c r="B76" s="3">
        <f t="shared" si="1"/>
        <v>45901</v>
      </c>
      <c r="C76" s="9">
        <v>0.52083333333333337</v>
      </c>
      <c r="D76" t="s">
        <v>291</v>
      </c>
      <c r="E76" t="s">
        <v>229</v>
      </c>
      <c r="F76">
        <v>31</v>
      </c>
      <c r="G76" t="s">
        <v>298</v>
      </c>
      <c r="I76" t="s">
        <v>272</v>
      </c>
      <c r="L76">
        <v>8</v>
      </c>
      <c r="M76" t="s">
        <v>344</v>
      </c>
      <c r="N76">
        <v>5686</v>
      </c>
      <c r="Q76" t="s">
        <v>226</v>
      </c>
    </row>
    <row r="77" spans="1:22" ht="323" x14ac:dyDescent="0.2">
      <c r="A77" s="3">
        <v>45910</v>
      </c>
      <c r="B77" s="3">
        <f t="shared" si="1"/>
        <v>45901</v>
      </c>
      <c r="C77" s="9">
        <v>0.45833333333333331</v>
      </c>
      <c r="D77" t="s">
        <v>238</v>
      </c>
      <c r="E77" t="s">
        <v>229</v>
      </c>
      <c r="F77">
        <v>12</v>
      </c>
      <c r="G77" t="s">
        <v>62</v>
      </c>
      <c r="I77" t="s">
        <v>272</v>
      </c>
      <c r="L77">
        <v>8</v>
      </c>
      <c r="M77" s="8" t="s">
        <v>343</v>
      </c>
      <c r="N77">
        <v>5699</v>
      </c>
      <c r="Q77" t="s">
        <v>226</v>
      </c>
    </row>
    <row r="78" spans="1:22" x14ac:dyDescent="0.2">
      <c r="A78" s="3">
        <v>45912</v>
      </c>
      <c r="B78" s="3">
        <f t="shared" si="1"/>
        <v>45901</v>
      </c>
      <c r="C78" s="9">
        <v>0.58333333333333337</v>
      </c>
      <c r="D78" t="s">
        <v>294</v>
      </c>
      <c r="E78" t="s">
        <v>229</v>
      </c>
      <c r="F78">
        <v>20</v>
      </c>
      <c r="G78" t="s">
        <v>313</v>
      </c>
      <c r="I78" t="s">
        <v>228</v>
      </c>
      <c r="J78" t="s">
        <v>232</v>
      </c>
      <c r="L78">
        <v>10</v>
      </c>
      <c r="M78" t="s">
        <v>342</v>
      </c>
      <c r="N78">
        <v>5758</v>
      </c>
      <c r="Q78" t="s">
        <v>226</v>
      </c>
    </row>
    <row r="79" spans="1:22" ht="409.6" x14ac:dyDescent="0.2">
      <c r="A79" s="3">
        <v>45912</v>
      </c>
      <c r="B79" s="3">
        <f t="shared" si="1"/>
        <v>45901</v>
      </c>
      <c r="C79" s="9">
        <v>0.66666666666666663</v>
      </c>
      <c r="D79" t="s">
        <v>244</v>
      </c>
      <c r="E79" t="s">
        <v>229</v>
      </c>
      <c r="F79">
        <v>23</v>
      </c>
      <c r="G79" t="s">
        <v>155</v>
      </c>
      <c r="I79" t="s">
        <v>228</v>
      </c>
      <c r="L79">
        <v>8</v>
      </c>
      <c r="M79" s="8" t="s">
        <v>341</v>
      </c>
      <c r="N79">
        <v>5762</v>
      </c>
      <c r="Q79" t="s">
        <v>226</v>
      </c>
    </row>
    <row r="80" spans="1:22" ht="409.6" x14ac:dyDescent="0.2">
      <c r="A80" s="3">
        <v>45915</v>
      </c>
      <c r="B80" s="3">
        <f t="shared" si="1"/>
        <v>45901</v>
      </c>
      <c r="C80" s="9">
        <v>0.5</v>
      </c>
      <c r="D80" t="s">
        <v>340</v>
      </c>
      <c r="E80" t="s">
        <v>229</v>
      </c>
      <c r="F80" t="s">
        <v>339</v>
      </c>
      <c r="G80" t="s">
        <v>338</v>
      </c>
      <c r="I80" t="s">
        <v>232</v>
      </c>
      <c r="J80" t="s">
        <v>228</v>
      </c>
      <c r="L80">
        <v>10</v>
      </c>
      <c r="M80" s="8" t="s">
        <v>337</v>
      </c>
      <c r="N80">
        <v>5772</v>
      </c>
      <c r="Q80" t="s">
        <v>226</v>
      </c>
    </row>
    <row r="81" spans="1:17" ht="409.6" x14ac:dyDescent="0.2">
      <c r="A81" s="3">
        <v>45917</v>
      </c>
      <c r="B81" s="3">
        <f t="shared" si="1"/>
        <v>45901</v>
      </c>
      <c r="C81" s="9">
        <v>0.5</v>
      </c>
      <c r="D81" t="s">
        <v>235</v>
      </c>
      <c r="E81" t="s">
        <v>229</v>
      </c>
      <c r="F81">
        <v>24</v>
      </c>
      <c r="G81" t="s">
        <v>313</v>
      </c>
      <c r="I81" t="s">
        <v>232</v>
      </c>
      <c r="J81" t="s">
        <v>228</v>
      </c>
      <c r="L81">
        <v>10</v>
      </c>
      <c r="M81" s="8" t="s">
        <v>336</v>
      </c>
      <c r="N81">
        <v>5813</v>
      </c>
      <c r="Q81" t="s">
        <v>226</v>
      </c>
    </row>
    <row r="82" spans="1:17" x14ac:dyDescent="0.2">
      <c r="A82" s="3">
        <v>45917</v>
      </c>
      <c r="B82" s="3">
        <f t="shared" si="1"/>
        <v>45901</v>
      </c>
      <c r="C82" s="9">
        <v>0.5</v>
      </c>
      <c r="D82" t="s">
        <v>281</v>
      </c>
      <c r="E82" t="s">
        <v>229</v>
      </c>
      <c r="F82">
        <v>27</v>
      </c>
      <c r="G82" t="s">
        <v>334</v>
      </c>
      <c r="I82" t="s">
        <v>304</v>
      </c>
      <c r="L82">
        <v>10</v>
      </c>
      <c r="M82" t="s">
        <v>335</v>
      </c>
      <c r="N82">
        <v>5814</v>
      </c>
      <c r="Q82" t="s">
        <v>226</v>
      </c>
    </row>
    <row r="83" spans="1:17" x14ac:dyDescent="0.2">
      <c r="A83" s="3">
        <v>45922</v>
      </c>
      <c r="B83" s="3">
        <f t="shared" si="1"/>
        <v>45901</v>
      </c>
      <c r="C83" s="9">
        <v>0.58333333333333337</v>
      </c>
      <c r="D83" t="s">
        <v>251</v>
      </c>
      <c r="E83" t="s">
        <v>229</v>
      </c>
      <c r="F83">
        <v>26</v>
      </c>
      <c r="G83" t="s">
        <v>334</v>
      </c>
      <c r="I83" t="s">
        <v>228</v>
      </c>
      <c r="L83">
        <v>8</v>
      </c>
      <c r="M83" t="s">
        <v>333</v>
      </c>
      <c r="N83">
        <v>5876</v>
      </c>
      <c r="Q83" t="s">
        <v>226</v>
      </c>
    </row>
    <row r="84" spans="1:17" ht="409.6" x14ac:dyDescent="0.2">
      <c r="A84" s="3">
        <v>45926</v>
      </c>
      <c r="B84" s="3">
        <f t="shared" si="1"/>
        <v>45901</v>
      </c>
      <c r="C84" s="9">
        <v>0.66666666666666663</v>
      </c>
      <c r="D84" t="s">
        <v>244</v>
      </c>
      <c r="E84" t="s">
        <v>229</v>
      </c>
      <c r="F84">
        <v>23</v>
      </c>
      <c r="G84" t="s">
        <v>313</v>
      </c>
      <c r="I84" t="s">
        <v>228</v>
      </c>
      <c r="L84">
        <v>9</v>
      </c>
      <c r="M84" s="8" t="s">
        <v>332</v>
      </c>
      <c r="N84">
        <v>5971</v>
      </c>
      <c r="Q84" t="s">
        <v>226</v>
      </c>
    </row>
    <row r="85" spans="1:17" x14ac:dyDescent="0.2">
      <c r="A85" s="3">
        <v>45929</v>
      </c>
      <c r="B85" s="3">
        <f t="shared" si="1"/>
        <v>45901</v>
      </c>
      <c r="C85" s="9">
        <v>0.54166666666666663</v>
      </c>
      <c r="D85" t="s">
        <v>294</v>
      </c>
      <c r="E85" t="s">
        <v>229</v>
      </c>
      <c r="F85">
        <v>20</v>
      </c>
      <c r="G85" t="s">
        <v>306</v>
      </c>
      <c r="I85" t="s">
        <v>228</v>
      </c>
      <c r="J85" t="s">
        <v>232</v>
      </c>
      <c r="L85" t="s">
        <v>256</v>
      </c>
      <c r="M85" t="s">
        <v>331</v>
      </c>
      <c r="Q85" t="s">
        <v>226</v>
      </c>
    </row>
    <row r="86" spans="1:17" x14ac:dyDescent="0.2">
      <c r="A86" s="3">
        <v>45929</v>
      </c>
      <c r="B86" s="3">
        <f t="shared" si="1"/>
        <v>45901</v>
      </c>
      <c r="C86" s="9">
        <v>0.63541666666666663</v>
      </c>
      <c r="D86" t="s">
        <v>259</v>
      </c>
      <c r="E86" t="s">
        <v>229</v>
      </c>
      <c r="F86">
        <v>32</v>
      </c>
      <c r="G86" t="s">
        <v>313</v>
      </c>
      <c r="I86" t="s">
        <v>237</v>
      </c>
      <c r="L86">
        <v>10</v>
      </c>
      <c r="M86" t="s">
        <v>330</v>
      </c>
      <c r="N86">
        <v>5990</v>
      </c>
      <c r="Q86" t="s">
        <v>226</v>
      </c>
    </row>
    <row r="87" spans="1:17" ht="289" x14ac:dyDescent="0.2">
      <c r="A87" s="3">
        <v>45930</v>
      </c>
      <c r="B87" s="3">
        <f t="shared" si="1"/>
        <v>45901</v>
      </c>
      <c r="C87" s="9">
        <v>0.52083333333333337</v>
      </c>
      <c r="D87" t="s">
        <v>291</v>
      </c>
      <c r="E87" t="s">
        <v>229</v>
      </c>
      <c r="F87">
        <v>31</v>
      </c>
      <c r="G87" t="s">
        <v>313</v>
      </c>
      <c r="I87" t="s">
        <v>232</v>
      </c>
      <c r="L87">
        <v>9</v>
      </c>
      <c r="M87" s="8" t="s">
        <v>329</v>
      </c>
      <c r="N87">
        <v>6003</v>
      </c>
      <c r="Q87" t="s">
        <v>226</v>
      </c>
    </row>
    <row r="88" spans="1:17" x14ac:dyDescent="0.2">
      <c r="A88" s="3">
        <v>45939</v>
      </c>
      <c r="B88" s="3">
        <f t="shared" si="1"/>
        <v>45931</v>
      </c>
      <c r="C88" s="9">
        <v>0.45833333333333331</v>
      </c>
      <c r="D88" t="s">
        <v>238</v>
      </c>
      <c r="E88" t="s">
        <v>229</v>
      </c>
      <c r="F88">
        <v>12</v>
      </c>
      <c r="G88" t="s">
        <v>313</v>
      </c>
      <c r="I88" t="s">
        <v>272</v>
      </c>
      <c r="L88">
        <v>10</v>
      </c>
      <c r="M88" t="s">
        <v>328</v>
      </c>
      <c r="N88">
        <v>6250</v>
      </c>
      <c r="Q88" t="s">
        <v>226</v>
      </c>
    </row>
    <row r="89" spans="1:17" x14ac:dyDescent="0.2">
      <c r="A89" s="3">
        <v>45940</v>
      </c>
      <c r="B89" s="3">
        <f t="shared" si="1"/>
        <v>45931</v>
      </c>
      <c r="C89" s="9">
        <v>0.45833333333333331</v>
      </c>
      <c r="D89" t="s">
        <v>293</v>
      </c>
      <c r="E89" t="s">
        <v>229</v>
      </c>
      <c r="F89">
        <v>28</v>
      </c>
      <c r="G89" t="s">
        <v>313</v>
      </c>
      <c r="I89" t="s">
        <v>304</v>
      </c>
      <c r="K89" t="s">
        <v>327</v>
      </c>
      <c r="L89">
        <v>8</v>
      </c>
      <c r="M89" t="s">
        <v>326</v>
      </c>
      <c r="N89">
        <v>6271</v>
      </c>
      <c r="Q89" t="s">
        <v>226</v>
      </c>
    </row>
    <row r="90" spans="1:17" x14ac:dyDescent="0.2">
      <c r="A90" s="3">
        <v>45940</v>
      </c>
      <c r="B90" s="3">
        <f t="shared" si="1"/>
        <v>45931</v>
      </c>
      <c r="C90" s="9">
        <v>0.66666666666666663</v>
      </c>
      <c r="D90" t="s">
        <v>244</v>
      </c>
      <c r="E90" t="s">
        <v>229</v>
      </c>
      <c r="F90">
        <v>23</v>
      </c>
      <c r="G90" t="s">
        <v>306</v>
      </c>
      <c r="I90" t="s">
        <v>228</v>
      </c>
      <c r="L90">
        <v>10</v>
      </c>
      <c r="M90" t="s">
        <v>325</v>
      </c>
      <c r="Q90" t="s">
        <v>226</v>
      </c>
    </row>
    <row r="91" spans="1:17" x14ac:dyDescent="0.2">
      <c r="A91" s="3">
        <v>45943</v>
      </c>
      <c r="B91" s="3">
        <f t="shared" si="1"/>
        <v>45931</v>
      </c>
      <c r="C91" s="9">
        <v>0.625</v>
      </c>
      <c r="D91" t="s">
        <v>259</v>
      </c>
      <c r="E91" t="s">
        <v>229</v>
      </c>
      <c r="F91">
        <v>32</v>
      </c>
      <c r="G91" t="s">
        <v>306</v>
      </c>
      <c r="I91" t="s">
        <v>237</v>
      </c>
      <c r="L91">
        <v>10</v>
      </c>
      <c r="M91" t="s">
        <v>324</v>
      </c>
      <c r="Q91" t="s">
        <v>226</v>
      </c>
    </row>
    <row r="92" spans="1:17" x14ac:dyDescent="0.2">
      <c r="A92" s="3">
        <v>45944</v>
      </c>
      <c r="B92" s="3">
        <f t="shared" si="1"/>
        <v>45931</v>
      </c>
      <c r="C92" s="9">
        <v>0.52083333333333337</v>
      </c>
      <c r="D92" t="s">
        <v>291</v>
      </c>
      <c r="E92" t="s">
        <v>229</v>
      </c>
      <c r="F92">
        <v>31</v>
      </c>
      <c r="G92" t="s">
        <v>306</v>
      </c>
      <c r="I92" t="s">
        <v>228</v>
      </c>
      <c r="L92" t="s">
        <v>256</v>
      </c>
      <c r="Q92" t="s">
        <v>226</v>
      </c>
    </row>
    <row r="93" spans="1:17" ht="170" x14ac:dyDescent="0.2">
      <c r="A93" s="3">
        <v>45945</v>
      </c>
      <c r="B93" s="3">
        <f t="shared" si="1"/>
        <v>45931</v>
      </c>
      <c r="C93" s="9">
        <v>0.5</v>
      </c>
      <c r="D93" t="s">
        <v>235</v>
      </c>
      <c r="E93" t="s">
        <v>229</v>
      </c>
      <c r="F93">
        <v>24</v>
      </c>
      <c r="G93" t="s">
        <v>306</v>
      </c>
      <c r="I93" t="s">
        <v>232</v>
      </c>
      <c r="K93" s="8" t="s">
        <v>323</v>
      </c>
      <c r="L93" t="s">
        <v>256</v>
      </c>
      <c r="Q93" t="s">
        <v>226</v>
      </c>
    </row>
    <row r="94" spans="1:17" ht="289" x14ac:dyDescent="0.2">
      <c r="A94" s="3">
        <v>45945</v>
      </c>
      <c r="B94" s="3">
        <f t="shared" si="1"/>
        <v>45931</v>
      </c>
      <c r="C94" s="9">
        <v>0.54166666666666663</v>
      </c>
      <c r="D94" t="s">
        <v>249</v>
      </c>
      <c r="E94" t="s">
        <v>229</v>
      </c>
      <c r="F94">
        <v>9</v>
      </c>
      <c r="G94" t="s">
        <v>313</v>
      </c>
      <c r="I94" t="s">
        <v>228</v>
      </c>
      <c r="K94" s="8" t="s">
        <v>322</v>
      </c>
      <c r="L94">
        <v>10</v>
      </c>
      <c r="M94" t="s">
        <v>321</v>
      </c>
      <c r="N94">
        <v>6310</v>
      </c>
      <c r="Q94" t="s">
        <v>226</v>
      </c>
    </row>
    <row r="95" spans="1:17" ht="68" x14ac:dyDescent="0.2">
      <c r="A95" s="3">
        <v>45947</v>
      </c>
      <c r="B95" s="3">
        <f t="shared" si="1"/>
        <v>45931</v>
      </c>
      <c r="C95" s="9">
        <v>0.58333333333333337</v>
      </c>
      <c r="D95" t="s">
        <v>294</v>
      </c>
      <c r="E95" t="s">
        <v>229</v>
      </c>
      <c r="F95">
        <v>20</v>
      </c>
      <c r="G95" t="s">
        <v>320</v>
      </c>
      <c r="I95" t="s">
        <v>232</v>
      </c>
      <c r="K95" s="8" t="s">
        <v>319</v>
      </c>
      <c r="L95">
        <v>8</v>
      </c>
      <c r="M95" t="s">
        <v>318</v>
      </c>
      <c r="N95">
        <v>6354</v>
      </c>
      <c r="Q95" t="s">
        <v>226</v>
      </c>
    </row>
    <row r="96" spans="1:17" x14ac:dyDescent="0.2">
      <c r="A96" s="3">
        <v>45951</v>
      </c>
      <c r="B96" s="3">
        <f t="shared" si="1"/>
        <v>45931</v>
      </c>
      <c r="C96" s="9">
        <v>0.5</v>
      </c>
      <c r="D96" t="s">
        <v>251</v>
      </c>
      <c r="E96" t="s">
        <v>229</v>
      </c>
      <c r="F96">
        <v>26</v>
      </c>
      <c r="G96" t="s">
        <v>313</v>
      </c>
      <c r="I96" t="s">
        <v>228</v>
      </c>
      <c r="K96" t="s">
        <v>317</v>
      </c>
      <c r="L96">
        <v>9</v>
      </c>
      <c r="M96" t="s">
        <v>316</v>
      </c>
      <c r="N96">
        <v>6391</v>
      </c>
      <c r="Q96" t="s">
        <v>226</v>
      </c>
    </row>
    <row r="97" spans="1:17" x14ac:dyDescent="0.2">
      <c r="A97" s="3">
        <v>45957</v>
      </c>
      <c r="B97" s="3">
        <f t="shared" si="1"/>
        <v>45931</v>
      </c>
      <c r="C97" s="9">
        <v>0.625</v>
      </c>
      <c r="D97" t="s">
        <v>259</v>
      </c>
      <c r="E97" t="s">
        <v>229</v>
      </c>
      <c r="F97">
        <v>32</v>
      </c>
      <c r="G97" t="s">
        <v>315</v>
      </c>
      <c r="I97" t="s">
        <v>237</v>
      </c>
      <c r="K97" t="s">
        <v>308</v>
      </c>
      <c r="L97">
        <v>8</v>
      </c>
      <c r="M97" t="s">
        <v>314</v>
      </c>
      <c r="N97">
        <v>6464</v>
      </c>
      <c r="Q97" t="s">
        <v>226</v>
      </c>
    </row>
    <row r="98" spans="1:17" x14ac:dyDescent="0.2">
      <c r="A98" s="3">
        <v>45959</v>
      </c>
      <c r="B98" s="3">
        <f t="shared" si="1"/>
        <v>45931</v>
      </c>
      <c r="C98" s="9">
        <v>0.5</v>
      </c>
      <c r="D98" t="s">
        <v>281</v>
      </c>
      <c r="E98" t="s">
        <v>229</v>
      </c>
      <c r="F98">
        <v>27</v>
      </c>
      <c r="G98" t="s">
        <v>313</v>
      </c>
      <c r="I98" t="s">
        <v>232</v>
      </c>
      <c r="K98" t="s">
        <v>312</v>
      </c>
      <c r="L98">
        <v>10</v>
      </c>
      <c r="M98" t="s">
        <v>311</v>
      </c>
      <c r="N98">
        <v>6484</v>
      </c>
      <c r="Q98" t="s">
        <v>226</v>
      </c>
    </row>
    <row r="99" spans="1:17" ht="409.6" x14ac:dyDescent="0.2">
      <c r="A99" s="3">
        <v>45965</v>
      </c>
      <c r="B99" s="3">
        <f t="shared" si="1"/>
        <v>45962</v>
      </c>
      <c r="C99" s="9">
        <v>0.5</v>
      </c>
      <c r="D99" t="s">
        <v>291</v>
      </c>
      <c r="E99" t="s">
        <v>229</v>
      </c>
      <c r="F99">
        <v>31</v>
      </c>
      <c r="G99" t="s">
        <v>73</v>
      </c>
      <c r="I99" t="s">
        <v>304</v>
      </c>
      <c r="K99" t="s">
        <v>308</v>
      </c>
      <c r="L99">
        <v>7</v>
      </c>
      <c r="M99" s="8" t="s">
        <v>310</v>
      </c>
      <c r="N99">
        <v>6578</v>
      </c>
      <c r="Q99" t="s">
        <v>226</v>
      </c>
    </row>
    <row r="100" spans="1:17" x14ac:dyDescent="0.2">
      <c r="A100" s="3">
        <v>45975</v>
      </c>
      <c r="B100" s="3">
        <f t="shared" si="1"/>
        <v>45962</v>
      </c>
      <c r="C100" s="9">
        <v>0.58333333333333337</v>
      </c>
      <c r="D100" t="s">
        <v>294</v>
      </c>
      <c r="E100" t="s">
        <v>229</v>
      </c>
      <c r="F100">
        <v>20</v>
      </c>
      <c r="G100" t="s">
        <v>155</v>
      </c>
      <c r="I100" t="s">
        <v>237</v>
      </c>
      <c r="K100" t="s">
        <v>309</v>
      </c>
      <c r="L100">
        <v>9</v>
      </c>
      <c r="Q100" t="s">
        <v>226</v>
      </c>
    </row>
    <row r="101" spans="1:17" x14ac:dyDescent="0.2">
      <c r="A101" s="3">
        <v>45978</v>
      </c>
      <c r="B101" s="3">
        <f t="shared" si="1"/>
        <v>45962</v>
      </c>
      <c r="C101" s="9">
        <v>0.54166666666666663</v>
      </c>
      <c r="D101" t="s">
        <v>251</v>
      </c>
      <c r="E101" t="s">
        <v>229</v>
      </c>
      <c r="F101">
        <v>26</v>
      </c>
      <c r="G101" t="s">
        <v>306</v>
      </c>
      <c r="I101" t="s">
        <v>228</v>
      </c>
      <c r="K101" t="s">
        <v>308</v>
      </c>
      <c r="L101" t="s">
        <v>256</v>
      </c>
      <c r="M101" t="s">
        <v>307</v>
      </c>
      <c r="Q101" t="s">
        <v>226</v>
      </c>
    </row>
    <row r="102" spans="1:17" x14ac:dyDescent="0.2">
      <c r="A102" s="3">
        <v>45980</v>
      </c>
      <c r="B102" s="3">
        <f t="shared" si="1"/>
        <v>45962</v>
      </c>
      <c r="C102" s="9">
        <v>0.54166666666666663</v>
      </c>
      <c r="D102" t="s">
        <v>249</v>
      </c>
      <c r="E102" t="s">
        <v>229</v>
      </c>
      <c r="F102">
        <v>9</v>
      </c>
      <c r="G102" t="s">
        <v>306</v>
      </c>
      <c r="I102" t="s">
        <v>228</v>
      </c>
      <c r="L102" t="s">
        <v>256</v>
      </c>
      <c r="M102" t="s">
        <v>305</v>
      </c>
      <c r="Q102" t="s">
        <v>226</v>
      </c>
    </row>
    <row r="103" spans="1:17" x14ac:dyDescent="0.2">
      <c r="A103" s="3">
        <v>45982</v>
      </c>
      <c r="B103" s="3">
        <f t="shared" si="1"/>
        <v>45962</v>
      </c>
      <c r="C103" s="9">
        <v>0.54166666666666663</v>
      </c>
      <c r="D103" t="s">
        <v>244</v>
      </c>
      <c r="E103" t="s">
        <v>229</v>
      </c>
      <c r="F103">
        <v>23</v>
      </c>
      <c r="G103" t="s">
        <v>278</v>
      </c>
      <c r="I103" t="s">
        <v>304</v>
      </c>
      <c r="K103" t="s">
        <v>303</v>
      </c>
      <c r="L103">
        <v>7</v>
      </c>
      <c r="M103" t="s">
        <v>302</v>
      </c>
      <c r="N103">
        <v>6865</v>
      </c>
      <c r="Q103" t="s">
        <v>226</v>
      </c>
    </row>
    <row r="104" spans="1:17" ht="409.6" x14ac:dyDescent="0.2">
      <c r="A104" s="3">
        <v>45985</v>
      </c>
      <c r="B104" s="3">
        <f t="shared" si="1"/>
        <v>45962</v>
      </c>
      <c r="C104" s="9">
        <v>0.625</v>
      </c>
      <c r="D104" t="s">
        <v>259</v>
      </c>
      <c r="E104" t="s">
        <v>229</v>
      </c>
      <c r="F104">
        <v>32</v>
      </c>
      <c r="G104" t="s">
        <v>278</v>
      </c>
      <c r="I104" t="s">
        <v>232</v>
      </c>
      <c r="L104">
        <v>10</v>
      </c>
      <c r="M104" s="8" t="s">
        <v>301</v>
      </c>
      <c r="N104">
        <v>6871</v>
      </c>
      <c r="Q104" t="s">
        <v>226</v>
      </c>
    </row>
    <row r="105" spans="1:17" x14ac:dyDescent="0.2">
      <c r="A105" s="3">
        <v>45986</v>
      </c>
      <c r="B105" s="3">
        <f t="shared" si="1"/>
        <v>45962</v>
      </c>
      <c r="C105" s="9">
        <v>0.45833333333333331</v>
      </c>
      <c r="D105" t="s">
        <v>238</v>
      </c>
      <c r="E105" t="s">
        <v>229</v>
      </c>
      <c r="F105">
        <v>12</v>
      </c>
      <c r="G105" t="s">
        <v>92</v>
      </c>
      <c r="I105" t="s">
        <v>228</v>
      </c>
      <c r="L105">
        <v>8</v>
      </c>
      <c r="M105" t="s">
        <v>300</v>
      </c>
      <c r="N105">
        <v>6881</v>
      </c>
      <c r="Q105" t="s">
        <v>226</v>
      </c>
    </row>
    <row r="106" spans="1:17" ht="340" x14ac:dyDescent="0.2">
      <c r="A106" s="3">
        <v>45987</v>
      </c>
      <c r="B106" s="3">
        <f t="shared" si="1"/>
        <v>45962</v>
      </c>
      <c r="C106" s="9">
        <v>0.5</v>
      </c>
      <c r="D106" t="s">
        <v>235</v>
      </c>
      <c r="E106" t="s">
        <v>229</v>
      </c>
      <c r="F106">
        <v>24</v>
      </c>
      <c r="G106" t="s">
        <v>278</v>
      </c>
      <c r="I106" t="s">
        <v>232</v>
      </c>
      <c r="L106">
        <v>10</v>
      </c>
      <c r="M106" s="8" t="s">
        <v>299</v>
      </c>
      <c r="N106">
        <v>6910</v>
      </c>
      <c r="Q106" t="s">
        <v>226</v>
      </c>
    </row>
    <row r="107" spans="1:17" ht="136" x14ac:dyDescent="0.2">
      <c r="A107" s="3">
        <v>46003</v>
      </c>
      <c r="B107" s="3">
        <f t="shared" si="1"/>
        <v>45992</v>
      </c>
      <c r="C107" s="9">
        <v>0.45833333333333331</v>
      </c>
      <c r="D107" t="s">
        <v>293</v>
      </c>
      <c r="E107" t="s">
        <v>229</v>
      </c>
      <c r="F107">
        <v>28</v>
      </c>
      <c r="G107" t="s">
        <v>298</v>
      </c>
      <c r="I107" t="s">
        <v>272</v>
      </c>
      <c r="K107" s="8" t="s">
        <v>297</v>
      </c>
      <c r="L107">
        <v>10</v>
      </c>
      <c r="M107" t="s">
        <v>296</v>
      </c>
      <c r="N107">
        <v>7114</v>
      </c>
      <c r="Q107" t="s">
        <v>226</v>
      </c>
    </row>
    <row r="108" spans="1:17" x14ac:dyDescent="0.2">
      <c r="A108" s="3">
        <v>46008</v>
      </c>
      <c r="B108" s="3">
        <f t="shared" si="1"/>
        <v>45992</v>
      </c>
      <c r="C108" s="9">
        <v>0.54166666666666663</v>
      </c>
      <c r="D108" t="s">
        <v>249</v>
      </c>
      <c r="E108" t="s">
        <v>229</v>
      </c>
      <c r="F108">
        <v>9</v>
      </c>
      <c r="G108" t="s">
        <v>133</v>
      </c>
      <c r="I108" t="s">
        <v>237</v>
      </c>
      <c r="L108">
        <v>9</v>
      </c>
      <c r="M108" t="s">
        <v>295</v>
      </c>
      <c r="N108">
        <v>7184</v>
      </c>
      <c r="Q108" t="s">
        <v>226</v>
      </c>
    </row>
    <row r="109" spans="1:17" x14ac:dyDescent="0.2">
      <c r="A109" s="3">
        <v>46008</v>
      </c>
      <c r="B109" s="3">
        <f t="shared" si="1"/>
        <v>45992</v>
      </c>
      <c r="C109" s="9">
        <v>0.58333333333333337</v>
      </c>
      <c r="D109" t="s">
        <v>294</v>
      </c>
      <c r="E109" t="s">
        <v>229</v>
      </c>
      <c r="F109">
        <v>20</v>
      </c>
      <c r="G109" t="s">
        <v>258</v>
      </c>
      <c r="I109" t="s">
        <v>257</v>
      </c>
      <c r="J109" t="s">
        <v>232</v>
      </c>
      <c r="L109" t="s">
        <v>256</v>
      </c>
      <c r="Q109" t="s">
        <v>226</v>
      </c>
    </row>
    <row r="110" spans="1:17" x14ac:dyDescent="0.2">
      <c r="A110" s="3">
        <v>46031</v>
      </c>
      <c r="B110" s="3">
        <f t="shared" si="1"/>
        <v>46023</v>
      </c>
      <c r="C110" s="9">
        <v>0.45833333333333331</v>
      </c>
      <c r="D110" t="s">
        <v>293</v>
      </c>
      <c r="E110" t="s">
        <v>229</v>
      </c>
      <c r="F110">
        <v>28</v>
      </c>
      <c r="G110" t="s">
        <v>278</v>
      </c>
      <c r="I110" t="s">
        <v>228</v>
      </c>
      <c r="L110">
        <v>9</v>
      </c>
      <c r="M110" t="s">
        <v>292</v>
      </c>
      <c r="N110">
        <v>7345</v>
      </c>
      <c r="Q110" t="s">
        <v>226</v>
      </c>
    </row>
    <row r="111" spans="1:17" x14ac:dyDescent="0.2">
      <c r="A111" s="3">
        <v>46031</v>
      </c>
      <c r="B111" s="3">
        <f t="shared" si="1"/>
        <v>46023</v>
      </c>
      <c r="C111" s="9">
        <v>0.54166666666666663</v>
      </c>
      <c r="D111" t="s">
        <v>230</v>
      </c>
      <c r="E111" t="s">
        <v>229</v>
      </c>
      <c r="F111">
        <v>8</v>
      </c>
      <c r="G111" t="s">
        <v>276</v>
      </c>
      <c r="I111" t="s">
        <v>257</v>
      </c>
      <c r="L111" t="s">
        <v>256</v>
      </c>
      <c r="Q111" t="s">
        <v>226</v>
      </c>
    </row>
    <row r="112" spans="1:17" x14ac:dyDescent="0.2">
      <c r="A112" s="3">
        <v>46035</v>
      </c>
      <c r="B112" s="3">
        <f t="shared" si="1"/>
        <v>46023</v>
      </c>
      <c r="C112" s="9">
        <v>0.5</v>
      </c>
      <c r="D112" t="s">
        <v>291</v>
      </c>
      <c r="E112" t="s">
        <v>229</v>
      </c>
      <c r="F112">
        <v>31</v>
      </c>
      <c r="G112" t="s">
        <v>278</v>
      </c>
      <c r="I112" t="s">
        <v>228</v>
      </c>
      <c r="J112" t="s">
        <v>290</v>
      </c>
      <c r="K112" t="s">
        <v>289</v>
      </c>
      <c r="L112">
        <v>9</v>
      </c>
      <c r="M112" t="s">
        <v>288</v>
      </c>
      <c r="N112">
        <v>7389</v>
      </c>
      <c r="Q112" t="s">
        <v>226</v>
      </c>
    </row>
    <row r="113" spans="1:17" ht="102" x14ac:dyDescent="0.2">
      <c r="A113" s="3">
        <v>46036</v>
      </c>
      <c r="B113" s="3">
        <f t="shared" si="1"/>
        <v>46023</v>
      </c>
      <c r="C113" s="9">
        <v>0.54166666666666663</v>
      </c>
      <c r="D113" t="s">
        <v>249</v>
      </c>
      <c r="E113" t="s">
        <v>229</v>
      </c>
      <c r="F113">
        <v>9</v>
      </c>
      <c r="G113" t="s">
        <v>278</v>
      </c>
      <c r="I113" t="s">
        <v>232</v>
      </c>
      <c r="K113" s="8" t="s">
        <v>287</v>
      </c>
      <c r="L113">
        <v>8</v>
      </c>
      <c r="M113" t="s">
        <v>286</v>
      </c>
      <c r="N113">
        <v>7406</v>
      </c>
      <c r="Q113" t="s">
        <v>226</v>
      </c>
    </row>
    <row r="114" spans="1:17" x14ac:dyDescent="0.2">
      <c r="A114" s="3">
        <v>46038</v>
      </c>
      <c r="B114" s="3">
        <f t="shared" si="1"/>
        <v>46023</v>
      </c>
      <c r="C114" s="9">
        <v>0.58333333333333337</v>
      </c>
      <c r="D114" t="s">
        <v>230</v>
      </c>
      <c r="E114" t="s">
        <v>229</v>
      </c>
      <c r="F114">
        <v>8</v>
      </c>
      <c r="G114" t="s">
        <v>268</v>
      </c>
      <c r="I114" t="s">
        <v>232</v>
      </c>
      <c r="L114">
        <v>10</v>
      </c>
      <c r="M114" t="s">
        <v>285</v>
      </c>
      <c r="N114">
        <v>7451</v>
      </c>
      <c r="Q114" t="s">
        <v>226</v>
      </c>
    </row>
    <row r="115" spans="1:17" x14ac:dyDescent="0.2">
      <c r="A115" s="3">
        <v>46043</v>
      </c>
      <c r="B115" s="3">
        <f t="shared" si="1"/>
        <v>46023</v>
      </c>
      <c r="C115" s="9">
        <v>0.45833333333333331</v>
      </c>
      <c r="D115" t="s">
        <v>238</v>
      </c>
      <c r="E115" t="s">
        <v>229</v>
      </c>
      <c r="F115">
        <v>12</v>
      </c>
      <c r="G115" t="s">
        <v>278</v>
      </c>
      <c r="I115" t="s">
        <v>272</v>
      </c>
      <c r="J115" t="s">
        <v>284</v>
      </c>
      <c r="K115" t="s">
        <v>283</v>
      </c>
      <c r="L115">
        <v>8</v>
      </c>
      <c r="M115" t="s">
        <v>282</v>
      </c>
      <c r="Q115" t="s">
        <v>226</v>
      </c>
    </row>
    <row r="116" spans="1:17" ht="238" x14ac:dyDescent="0.2">
      <c r="A116" s="3">
        <v>46043</v>
      </c>
      <c r="B116" s="3">
        <f t="shared" si="1"/>
        <v>46023</v>
      </c>
      <c r="C116" s="9">
        <v>0.5</v>
      </c>
      <c r="D116" t="s">
        <v>281</v>
      </c>
      <c r="E116" t="s">
        <v>229</v>
      </c>
      <c r="F116">
        <v>27</v>
      </c>
      <c r="G116" t="s">
        <v>278</v>
      </c>
      <c r="I116" t="s">
        <v>237</v>
      </c>
      <c r="J116" t="s">
        <v>228</v>
      </c>
      <c r="L116">
        <v>9</v>
      </c>
      <c r="M116" s="8" t="s">
        <v>280</v>
      </c>
      <c r="N116">
        <v>7483</v>
      </c>
      <c r="Q116" t="s">
        <v>226</v>
      </c>
    </row>
    <row r="117" spans="1:17" x14ac:dyDescent="0.2">
      <c r="A117" s="3">
        <v>46044</v>
      </c>
      <c r="B117" s="3">
        <f t="shared" si="1"/>
        <v>46023</v>
      </c>
      <c r="C117" s="9">
        <v>0.58333333333333337</v>
      </c>
      <c r="D117" t="s">
        <v>230</v>
      </c>
      <c r="E117" t="s">
        <v>229</v>
      </c>
      <c r="F117">
        <v>8</v>
      </c>
      <c r="G117" t="s">
        <v>265</v>
      </c>
      <c r="H117" t="s">
        <v>233</v>
      </c>
      <c r="I117" t="s">
        <v>257</v>
      </c>
      <c r="L117">
        <v>7</v>
      </c>
      <c r="M117" t="s">
        <v>279</v>
      </c>
      <c r="N117">
        <v>7506</v>
      </c>
      <c r="Q117" t="s">
        <v>226</v>
      </c>
    </row>
    <row r="118" spans="1:17" x14ac:dyDescent="0.2">
      <c r="A118" s="3">
        <v>46045</v>
      </c>
      <c r="B118" s="3">
        <f t="shared" si="1"/>
        <v>46023</v>
      </c>
      <c r="C118" s="9">
        <v>0.45833333333333331</v>
      </c>
      <c r="D118" t="s">
        <v>251</v>
      </c>
      <c r="E118" t="s">
        <v>229</v>
      </c>
      <c r="F118">
        <v>26</v>
      </c>
      <c r="G118" t="s">
        <v>278</v>
      </c>
      <c r="I118" t="s">
        <v>228</v>
      </c>
      <c r="L118">
        <v>9</v>
      </c>
      <c r="M118" t="s">
        <v>277</v>
      </c>
      <c r="N118">
        <v>7516</v>
      </c>
      <c r="Q118" t="s">
        <v>226</v>
      </c>
    </row>
    <row r="119" spans="1:17" x14ac:dyDescent="0.2">
      <c r="A119" s="3">
        <v>46045</v>
      </c>
      <c r="B119" s="3">
        <f t="shared" si="1"/>
        <v>46023</v>
      </c>
      <c r="C119" s="9">
        <v>0.625</v>
      </c>
      <c r="D119" t="s">
        <v>241</v>
      </c>
      <c r="E119" t="s">
        <v>229</v>
      </c>
      <c r="F119">
        <v>7</v>
      </c>
      <c r="G119" t="s">
        <v>276</v>
      </c>
      <c r="I119" t="s">
        <v>257</v>
      </c>
      <c r="L119" t="s">
        <v>256</v>
      </c>
      <c r="Q119" t="s">
        <v>226</v>
      </c>
    </row>
    <row r="120" spans="1:17" x14ac:dyDescent="0.2">
      <c r="A120" s="3">
        <v>46048</v>
      </c>
      <c r="B120" s="3">
        <f t="shared" si="1"/>
        <v>46023</v>
      </c>
      <c r="C120" s="9">
        <v>0.625</v>
      </c>
      <c r="D120" t="s">
        <v>259</v>
      </c>
      <c r="E120" t="s">
        <v>229</v>
      </c>
      <c r="F120">
        <v>32</v>
      </c>
      <c r="G120" t="s">
        <v>275</v>
      </c>
      <c r="I120" t="s">
        <v>237</v>
      </c>
      <c r="K120" t="s">
        <v>274</v>
      </c>
      <c r="L120">
        <v>10</v>
      </c>
      <c r="M120" t="s">
        <v>273</v>
      </c>
      <c r="Q120" t="s">
        <v>226</v>
      </c>
    </row>
    <row r="121" spans="1:17" x14ac:dyDescent="0.2">
      <c r="A121" s="3">
        <v>46050</v>
      </c>
      <c r="B121" s="3">
        <f t="shared" si="1"/>
        <v>46023</v>
      </c>
      <c r="C121" s="9">
        <v>0.5</v>
      </c>
      <c r="D121" t="s">
        <v>235</v>
      </c>
      <c r="E121" t="s">
        <v>229</v>
      </c>
      <c r="F121">
        <v>24</v>
      </c>
      <c r="G121" t="s">
        <v>118</v>
      </c>
      <c r="I121" t="s">
        <v>272</v>
      </c>
      <c r="K121" t="s">
        <v>271</v>
      </c>
      <c r="L121" t="s">
        <v>256</v>
      </c>
      <c r="M121" t="s">
        <v>270</v>
      </c>
      <c r="N121">
        <v>7545</v>
      </c>
      <c r="Q121" t="s">
        <v>226</v>
      </c>
    </row>
    <row r="122" spans="1:17" x14ac:dyDescent="0.2">
      <c r="A122" s="3">
        <v>46051</v>
      </c>
      <c r="B122" s="3">
        <f t="shared" si="1"/>
        <v>46023</v>
      </c>
      <c r="C122" s="9">
        <v>0.58333333333333337</v>
      </c>
      <c r="D122" t="s">
        <v>230</v>
      </c>
      <c r="E122" t="s">
        <v>229</v>
      </c>
      <c r="F122">
        <v>8</v>
      </c>
      <c r="G122" t="s">
        <v>255</v>
      </c>
      <c r="I122" t="s">
        <v>228</v>
      </c>
      <c r="L122">
        <v>9</v>
      </c>
      <c r="M122" t="s">
        <v>269</v>
      </c>
      <c r="N122">
        <v>7561</v>
      </c>
      <c r="Q122" t="s">
        <v>226</v>
      </c>
    </row>
    <row r="123" spans="1:17" x14ac:dyDescent="0.2">
      <c r="A123" s="3">
        <v>46052</v>
      </c>
      <c r="B123" s="3">
        <f t="shared" si="1"/>
        <v>46023</v>
      </c>
      <c r="C123" s="9">
        <v>0.625</v>
      </c>
      <c r="D123" t="s">
        <v>241</v>
      </c>
      <c r="E123" t="s">
        <v>229</v>
      </c>
      <c r="F123">
        <v>7</v>
      </c>
      <c r="G123" t="s">
        <v>268</v>
      </c>
      <c r="I123" t="s">
        <v>237</v>
      </c>
      <c r="L123">
        <v>10</v>
      </c>
      <c r="M123" t="s">
        <v>267</v>
      </c>
      <c r="N123">
        <v>7579</v>
      </c>
      <c r="Q123" t="s">
        <v>226</v>
      </c>
    </row>
    <row r="124" spans="1:17" x14ac:dyDescent="0.2">
      <c r="A124" s="3">
        <v>46058</v>
      </c>
      <c r="B124" s="3">
        <f t="shared" si="1"/>
        <v>46054</v>
      </c>
      <c r="C124" s="9">
        <v>0.58333333333333337</v>
      </c>
      <c r="D124" t="s">
        <v>230</v>
      </c>
      <c r="E124" t="s">
        <v>229</v>
      </c>
      <c r="F124">
        <v>8</v>
      </c>
      <c r="G124" t="s">
        <v>161</v>
      </c>
      <c r="I124" t="s">
        <v>228</v>
      </c>
      <c r="L124">
        <v>7</v>
      </c>
      <c r="M124" t="s">
        <v>266</v>
      </c>
      <c r="N124">
        <v>7635</v>
      </c>
      <c r="Q124" t="s">
        <v>226</v>
      </c>
    </row>
    <row r="125" spans="1:17" ht="170" x14ac:dyDescent="0.2">
      <c r="A125" s="3">
        <v>46059</v>
      </c>
      <c r="B125" s="3">
        <f t="shared" si="1"/>
        <v>46054</v>
      </c>
      <c r="C125" s="9">
        <v>0.625</v>
      </c>
      <c r="D125" t="s">
        <v>241</v>
      </c>
      <c r="E125" t="s">
        <v>229</v>
      </c>
      <c r="F125">
        <v>7</v>
      </c>
      <c r="G125" t="s">
        <v>265</v>
      </c>
      <c r="H125" t="s">
        <v>233</v>
      </c>
      <c r="I125" t="s">
        <v>257</v>
      </c>
      <c r="L125">
        <v>10</v>
      </c>
      <c r="M125" s="8" t="s">
        <v>264</v>
      </c>
      <c r="N125">
        <v>7657</v>
      </c>
      <c r="Q125" t="s">
        <v>226</v>
      </c>
    </row>
    <row r="126" spans="1:17" x14ac:dyDescent="0.2">
      <c r="A126" s="3">
        <v>46071</v>
      </c>
      <c r="B126" s="3">
        <f t="shared" si="1"/>
        <v>46054</v>
      </c>
      <c r="C126" s="9">
        <v>0.4375</v>
      </c>
      <c r="D126" t="s">
        <v>263</v>
      </c>
      <c r="E126" t="s">
        <v>229</v>
      </c>
      <c r="F126" t="s">
        <v>262</v>
      </c>
      <c r="G126" t="s">
        <v>261</v>
      </c>
      <c r="I126" t="s">
        <v>232</v>
      </c>
      <c r="J126" t="s">
        <v>260</v>
      </c>
      <c r="L126" t="s">
        <v>256</v>
      </c>
      <c r="Q126" t="s">
        <v>226</v>
      </c>
    </row>
    <row r="127" spans="1:17" x14ac:dyDescent="0.2">
      <c r="A127" s="3">
        <v>46086</v>
      </c>
      <c r="B127" s="3">
        <f t="shared" si="1"/>
        <v>46082</v>
      </c>
      <c r="C127" s="9">
        <v>0.625</v>
      </c>
      <c r="D127" t="s">
        <v>230</v>
      </c>
      <c r="E127" t="s">
        <v>229</v>
      </c>
      <c r="F127">
        <v>8</v>
      </c>
      <c r="G127" t="s">
        <v>240</v>
      </c>
      <c r="H127" t="s">
        <v>233</v>
      </c>
      <c r="I127" t="s">
        <v>247</v>
      </c>
      <c r="K127" t="s">
        <v>252</v>
      </c>
      <c r="L127">
        <v>10</v>
      </c>
      <c r="N127">
        <v>7895</v>
      </c>
      <c r="Q127" t="s">
        <v>226</v>
      </c>
    </row>
    <row r="128" spans="1:17" x14ac:dyDescent="0.2">
      <c r="A128" s="3">
        <v>46087</v>
      </c>
      <c r="B128" s="3">
        <f t="shared" si="1"/>
        <v>46082</v>
      </c>
      <c r="C128" s="9">
        <v>0.58333333333333337</v>
      </c>
      <c r="D128" t="s">
        <v>259</v>
      </c>
      <c r="E128" t="s">
        <v>229</v>
      </c>
      <c r="F128">
        <v>32</v>
      </c>
      <c r="G128" t="s">
        <v>258</v>
      </c>
      <c r="I128" t="s">
        <v>257</v>
      </c>
      <c r="L128" t="s">
        <v>256</v>
      </c>
      <c r="Q128" t="s">
        <v>226</v>
      </c>
    </row>
    <row r="129" spans="1:17" x14ac:dyDescent="0.2">
      <c r="A129" s="3">
        <v>46087</v>
      </c>
      <c r="B129" s="3">
        <f t="shared" si="1"/>
        <v>46082</v>
      </c>
      <c r="C129" s="9">
        <v>0.625</v>
      </c>
      <c r="D129" t="s">
        <v>241</v>
      </c>
      <c r="E129" t="s">
        <v>229</v>
      </c>
      <c r="F129">
        <v>7</v>
      </c>
      <c r="G129" t="s">
        <v>255</v>
      </c>
      <c r="I129" t="s">
        <v>228</v>
      </c>
      <c r="L129">
        <v>10</v>
      </c>
      <c r="M129" t="s">
        <v>254</v>
      </c>
      <c r="N129">
        <v>7909</v>
      </c>
      <c r="Q129" t="s">
        <v>226</v>
      </c>
    </row>
    <row r="130" spans="1:17" x14ac:dyDescent="0.2">
      <c r="A130" s="3">
        <v>46094</v>
      </c>
      <c r="B130" s="3">
        <f t="shared" si="1"/>
        <v>46082</v>
      </c>
      <c r="C130" s="9">
        <v>0.625</v>
      </c>
      <c r="D130" t="s">
        <v>241</v>
      </c>
      <c r="E130" t="s">
        <v>229</v>
      </c>
      <c r="F130">
        <v>7</v>
      </c>
      <c r="G130" t="s">
        <v>253</v>
      </c>
      <c r="H130" t="s">
        <v>233</v>
      </c>
      <c r="I130" t="s">
        <v>237</v>
      </c>
      <c r="K130" t="s">
        <v>252</v>
      </c>
      <c r="L130">
        <v>9</v>
      </c>
      <c r="N130">
        <v>8008</v>
      </c>
      <c r="Q130" t="s">
        <v>226</v>
      </c>
    </row>
    <row r="131" spans="1:17" x14ac:dyDescent="0.2">
      <c r="A131" s="3">
        <v>46097</v>
      </c>
      <c r="B131" s="3">
        <f t="shared" ref="B131:B138" si="2">DATE(YEAR(A131), MONTH(A131), 1)</f>
        <v>46082</v>
      </c>
      <c r="C131" s="9">
        <v>0.54166666666666663</v>
      </c>
      <c r="D131" t="s">
        <v>251</v>
      </c>
      <c r="E131" t="s">
        <v>229</v>
      </c>
      <c r="F131">
        <v>26</v>
      </c>
      <c r="G131" t="s">
        <v>118</v>
      </c>
      <c r="I131" t="s">
        <v>228</v>
      </c>
      <c r="L131">
        <v>8</v>
      </c>
      <c r="M131" t="s">
        <v>250</v>
      </c>
      <c r="N131">
        <v>8032</v>
      </c>
      <c r="Q131" t="s">
        <v>226</v>
      </c>
    </row>
    <row r="132" spans="1:17" x14ac:dyDescent="0.2">
      <c r="A132" s="3">
        <v>46099</v>
      </c>
      <c r="B132" s="3">
        <f t="shared" si="2"/>
        <v>46082</v>
      </c>
      <c r="C132" s="9">
        <v>0.54166666666666663</v>
      </c>
      <c r="D132" t="s">
        <v>249</v>
      </c>
      <c r="E132" t="s">
        <v>229</v>
      </c>
      <c r="F132">
        <v>9</v>
      </c>
      <c r="G132" t="s">
        <v>92</v>
      </c>
      <c r="I132" t="s">
        <v>232</v>
      </c>
      <c r="L132">
        <v>8</v>
      </c>
      <c r="M132" t="s">
        <v>248</v>
      </c>
      <c r="N132">
        <v>8073</v>
      </c>
      <c r="Q132" t="s">
        <v>226</v>
      </c>
    </row>
    <row r="133" spans="1:17" x14ac:dyDescent="0.2">
      <c r="A133" s="3">
        <v>46100</v>
      </c>
      <c r="B133" s="3">
        <f t="shared" si="2"/>
        <v>46082</v>
      </c>
      <c r="C133" s="9">
        <v>0.54166666666666663</v>
      </c>
      <c r="D133" t="s">
        <v>230</v>
      </c>
      <c r="E133" t="s">
        <v>229</v>
      </c>
      <c r="F133">
        <v>8</v>
      </c>
      <c r="G133" t="s">
        <v>73</v>
      </c>
      <c r="I133" t="s">
        <v>247</v>
      </c>
      <c r="L133">
        <v>8</v>
      </c>
      <c r="M133" t="s">
        <v>246</v>
      </c>
      <c r="N133">
        <v>8089</v>
      </c>
      <c r="O133" t="s">
        <v>245</v>
      </c>
      <c r="Q133" t="s">
        <v>226</v>
      </c>
    </row>
    <row r="134" spans="1:17" ht="388" x14ac:dyDescent="0.2">
      <c r="A134" s="3">
        <v>46101</v>
      </c>
      <c r="B134" s="3">
        <f t="shared" si="2"/>
        <v>46082</v>
      </c>
      <c r="C134" s="9">
        <v>0.66666666666666663</v>
      </c>
      <c r="D134" t="s">
        <v>244</v>
      </c>
      <c r="E134" t="s">
        <v>229</v>
      </c>
      <c r="F134">
        <v>23</v>
      </c>
      <c r="G134" t="s">
        <v>234</v>
      </c>
      <c r="H134" t="s">
        <v>233</v>
      </c>
      <c r="I134" t="s">
        <v>228</v>
      </c>
      <c r="K134" s="8" t="s">
        <v>243</v>
      </c>
      <c r="L134">
        <v>8</v>
      </c>
      <c r="M134" t="s">
        <v>242</v>
      </c>
      <c r="N134">
        <v>8108</v>
      </c>
      <c r="Q134" t="s">
        <v>226</v>
      </c>
    </row>
    <row r="135" spans="1:17" x14ac:dyDescent="0.2">
      <c r="A135" s="3">
        <v>46108</v>
      </c>
      <c r="B135" s="3">
        <f t="shared" si="2"/>
        <v>46082</v>
      </c>
      <c r="C135" s="9">
        <v>0.625</v>
      </c>
      <c r="D135" t="s">
        <v>241</v>
      </c>
      <c r="E135" t="s">
        <v>229</v>
      </c>
      <c r="F135">
        <v>7</v>
      </c>
      <c r="G135" t="s">
        <v>240</v>
      </c>
      <c r="H135" t="s">
        <v>233</v>
      </c>
      <c r="I135" t="s">
        <v>239</v>
      </c>
      <c r="L135">
        <v>10</v>
      </c>
      <c r="Q135" t="s">
        <v>226</v>
      </c>
    </row>
    <row r="136" spans="1:17" x14ac:dyDescent="0.2">
      <c r="A136" s="3">
        <v>46120</v>
      </c>
      <c r="B136" s="3">
        <f t="shared" si="2"/>
        <v>46113</v>
      </c>
      <c r="C136" s="9">
        <v>0.45833333333333331</v>
      </c>
      <c r="D136" t="s">
        <v>238</v>
      </c>
      <c r="E136" t="s">
        <v>229</v>
      </c>
      <c r="F136">
        <v>12</v>
      </c>
      <c r="G136" t="s">
        <v>234</v>
      </c>
      <c r="H136" t="s">
        <v>233</v>
      </c>
      <c r="I136" t="s">
        <v>237</v>
      </c>
      <c r="L136">
        <v>7</v>
      </c>
      <c r="M136" t="s">
        <v>236</v>
      </c>
      <c r="N136">
        <v>8348</v>
      </c>
      <c r="Q136" t="s">
        <v>226</v>
      </c>
    </row>
    <row r="137" spans="1:17" ht="170" x14ac:dyDescent="0.2">
      <c r="A137" s="3">
        <v>46120</v>
      </c>
      <c r="B137" s="3">
        <f t="shared" si="2"/>
        <v>46113</v>
      </c>
      <c r="C137" s="9">
        <v>0.5</v>
      </c>
      <c r="D137" t="s">
        <v>235</v>
      </c>
      <c r="E137" t="s">
        <v>229</v>
      </c>
      <c r="F137">
        <v>24</v>
      </c>
      <c r="G137" t="s">
        <v>234</v>
      </c>
      <c r="H137" t="s">
        <v>233</v>
      </c>
      <c r="I137" t="s">
        <v>232</v>
      </c>
      <c r="L137">
        <v>10</v>
      </c>
      <c r="M137" s="8" t="s">
        <v>231</v>
      </c>
      <c r="N137">
        <v>8350</v>
      </c>
      <c r="Q137" t="s">
        <v>226</v>
      </c>
    </row>
    <row r="138" spans="1:17" ht="409.6" x14ac:dyDescent="0.2">
      <c r="A138" s="3">
        <v>46121</v>
      </c>
      <c r="B138" s="3">
        <f t="shared" si="2"/>
        <v>46113</v>
      </c>
      <c r="C138" s="9">
        <v>0.58333333333333337</v>
      </c>
      <c r="D138" t="s">
        <v>230</v>
      </c>
      <c r="E138" t="s">
        <v>229</v>
      </c>
      <c r="F138">
        <v>8</v>
      </c>
      <c r="G138" t="s">
        <v>92</v>
      </c>
      <c r="I138" t="s">
        <v>228</v>
      </c>
      <c r="L138">
        <v>8</v>
      </c>
      <c r="M138" s="8" t="s">
        <v>227</v>
      </c>
      <c r="N138">
        <v>8370</v>
      </c>
      <c r="Q138" t="s">
        <v>226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235C-6C9B-A044-9DAF-DC6C1909A34D}">
  <dimension ref="A1:B16"/>
  <sheetViews>
    <sheetView workbookViewId="0">
      <selection activeCell="K13" sqref="K13"/>
    </sheetView>
  </sheetViews>
  <sheetFormatPr baseColWidth="10" defaultRowHeight="16" x14ac:dyDescent="0.2"/>
  <cols>
    <col min="1" max="1" width="16.83203125" bestFit="1" customWidth="1"/>
    <col min="2" max="2" width="20" bestFit="1" customWidth="1"/>
  </cols>
  <sheetData>
    <row r="1" spans="1:2" x14ac:dyDescent="0.2">
      <c r="A1" s="4" t="s">
        <v>221</v>
      </c>
      <c r="B1" t="s">
        <v>225</v>
      </c>
    </row>
    <row r="3" spans="1:2" x14ac:dyDescent="0.2">
      <c r="A3" s="4" t="s">
        <v>222</v>
      </c>
      <c r="B3" t="s">
        <v>224</v>
      </c>
    </row>
    <row r="4" spans="1:2" x14ac:dyDescent="0.2">
      <c r="A4" s="5" t="s">
        <v>199</v>
      </c>
      <c r="B4" s="6">
        <v>7</v>
      </c>
    </row>
    <row r="5" spans="1:2" x14ac:dyDescent="0.2">
      <c r="A5" s="5" t="s">
        <v>208</v>
      </c>
      <c r="B5" s="6">
        <v>5</v>
      </c>
    </row>
    <row r="6" spans="1:2" x14ac:dyDescent="0.2">
      <c r="A6" s="5" t="s">
        <v>179</v>
      </c>
      <c r="B6" s="6">
        <v>3</v>
      </c>
    </row>
    <row r="7" spans="1:2" x14ac:dyDescent="0.2">
      <c r="A7" s="5" t="s">
        <v>47</v>
      </c>
      <c r="B7" s="6">
        <v>2</v>
      </c>
    </row>
    <row r="8" spans="1:2" x14ac:dyDescent="0.2">
      <c r="A8" s="5" t="s">
        <v>63</v>
      </c>
      <c r="B8" s="6">
        <v>2</v>
      </c>
    </row>
    <row r="9" spans="1:2" x14ac:dyDescent="0.2">
      <c r="A9" s="5" t="s">
        <v>146</v>
      </c>
      <c r="B9" s="6">
        <v>2</v>
      </c>
    </row>
    <row r="10" spans="1:2" x14ac:dyDescent="0.2">
      <c r="A10" s="5" t="s">
        <v>85</v>
      </c>
      <c r="B10" s="6">
        <v>2</v>
      </c>
    </row>
    <row r="11" spans="1:2" x14ac:dyDescent="0.2">
      <c r="A11" s="5" t="s">
        <v>105</v>
      </c>
      <c r="B11" s="6">
        <v>2</v>
      </c>
    </row>
    <row r="12" spans="1:2" x14ac:dyDescent="0.2">
      <c r="A12" s="5" t="s">
        <v>81</v>
      </c>
      <c r="B12" s="6">
        <v>1</v>
      </c>
    </row>
    <row r="13" spans="1:2" x14ac:dyDescent="0.2">
      <c r="A13" s="5" t="s">
        <v>74</v>
      </c>
      <c r="B13" s="6">
        <v>1</v>
      </c>
    </row>
    <row r="14" spans="1:2" x14ac:dyDescent="0.2">
      <c r="A14" s="5" t="s">
        <v>57</v>
      </c>
      <c r="B14" s="6">
        <v>1</v>
      </c>
    </row>
    <row r="15" spans="1:2" x14ac:dyDescent="0.2">
      <c r="A15" s="5" t="s">
        <v>70</v>
      </c>
      <c r="B15" s="6">
        <v>1</v>
      </c>
    </row>
    <row r="16" spans="1:2" x14ac:dyDescent="0.2">
      <c r="A16" s="5" t="s">
        <v>223</v>
      </c>
      <c r="B16" s="6">
        <v>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69FCE-B715-5344-9830-2BB1046646A7}">
  <dimension ref="A1:AS114"/>
  <sheetViews>
    <sheetView workbookViewId="0">
      <selection sqref="A1:XFD1048576"/>
    </sheetView>
  </sheetViews>
  <sheetFormatPr baseColWidth="10" defaultRowHeight="16" x14ac:dyDescent="0.2"/>
  <sheetData>
    <row r="1" spans="1:45" x14ac:dyDescent="0.2">
      <c r="A1" t="s">
        <v>0</v>
      </c>
      <c r="B1" t="s">
        <v>221</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
      <c r="A2" t="s">
        <v>44</v>
      </c>
      <c r="B2" s="3">
        <f>DATE(YEAR(DATEVALUE(LEFT(A2,10))), MONTH(DATEVALUE(LEFT(A2,10))), 1)</f>
        <v>45658</v>
      </c>
      <c r="C2" t="s">
        <v>45</v>
      </c>
      <c r="D2" s="1">
        <v>1.3900462962962963E-2</v>
      </c>
      <c r="E2">
        <v>4</v>
      </c>
      <c r="F2" t="s">
        <v>46</v>
      </c>
      <c r="G2" t="s">
        <v>47</v>
      </c>
      <c r="H2" t="s">
        <v>48</v>
      </c>
      <c r="I2" s="2" t="s">
        <v>49</v>
      </c>
      <c r="J2" s="2" t="s">
        <v>50</v>
      </c>
      <c r="K2" s="2" t="s">
        <v>49</v>
      </c>
      <c r="L2" s="2" t="s">
        <v>51</v>
      </c>
      <c r="M2" s="2" t="s">
        <v>52</v>
      </c>
      <c r="N2">
        <v>1</v>
      </c>
      <c r="O2">
        <v>0</v>
      </c>
      <c r="P2">
        <v>0</v>
      </c>
      <c r="Q2">
        <v>0</v>
      </c>
      <c r="R2">
        <v>0</v>
      </c>
      <c r="S2">
        <v>0</v>
      </c>
      <c r="T2">
        <v>0</v>
      </c>
      <c r="U2">
        <v>0</v>
      </c>
      <c r="V2">
        <v>0</v>
      </c>
      <c r="W2">
        <v>0</v>
      </c>
      <c r="X2">
        <v>0</v>
      </c>
      <c r="Y2">
        <v>0</v>
      </c>
      <c r="Z2">
        <v>0</v>
      </c>
      <c r="AA2">
        <v>0</v>
      </c>
      <c r="AB2">
        <v>1</v>
      </c>
      <c r="AC2">
        <v>0</v>
      </c>
      <c r="AD2">
        <v>1</v>
      </c>
      <c r="AE2">
        <v>0</v>
      </c>
      <c r="AF2">
        <v>1</v>
      </c>
      <c r="AG2">
        <v>0</v>
      </c>
      <c r="AH2">
        <v>0</v>
      </c>
      <c r="AI2">
        <v>0</v>
      </c>
      <c r="AJ2">
        <v>0</v>
      </c>
      <c r="AK2">
        <v>0</v>
      </c>
      <c r="AL2">
        <v>0</v>
      </c>
      <c r="AM2" t="s">
        <v>53</v>
      </c>
      <c r="AN2">
        <v>1</v>
      </c>
      <c r="AO2">
        <v>4</v>
      </c>
      <c r="AP2">
        <v>1</v>
      </c>
      <c r="AQ2">
        <v>1</v>
      </c>
      <c r="AR2">
        <v>1</v>
      </c>
      <c r="AS2">
        <v>1</v>
      </c>
    </row>
    <row r="3" spans="1:45" x14ac:dyDescent="0.2">
      <c r="A3" t="s">
        <v>54</v>
      </c>
      <c r="B3" s="3">
        <f t="shared" ref="B3:B66" si="0">DATE(YEAR(DATEVALUE(LEFT(A3,10))), MONTH(DATEVALUE(LEFT(A3,10))), 1)</f>
        <v>45658</v>
      </c>
      <c r="C3" t="s">
        <v>55</v>
      </c>
      <c r="D3" s="1">
        <v>1.3912037037037037E-2</v>
      </c>
      <c r="E3">
        <v>6</v>
      </c>
      <c r="F3" t="s">
        <v>56</v>
      </c>
      <c r="G3" t="s">
        <v>57</v>
      </c>
      <c r="H3" t="s">
        <v>48</v>
      </c>
      <c r="I3" s="2" t="s">
        <v>58</v>
      </c>
      <c r="J3" s="2" t="s">
        <v>59</v>
      </c>
      <c r="K3" s="2" t="s">
        <v>59</v>
      </c>
      <c r="L3" s="2" t="s">
        <v>60</v>
      </c>
      <c r="M3" s="2" t="s">
        <v>61</v>
      </c>
      <c r="N3">
        <v>0</v>
      </c>
      <c r="O3">
        <v>0</v>
      </c>
      <c r="P3">
        <v>0</v>
      </c>
      <c r="Q3">
        <v>0</v>
      </c>
      <c r="R3">
        <v>0</v>
      </c>
      <c r="S3">
        <v>0</v>
      </c>
      <c r="T3">
        <v>0</v>
      </c>
      <c r="U3">
        <v>0</v>
      </c>
      <c r="V3">
        <v>1</v>
      </c>
      <c r="W3">
        <v>0</v>
      </c>
      <c r="X3">
        <v>0</v>
      </c>
      <c r="Y3">
        <v>0</v>
      </c>
      <c r="Z3">
        <v>0</v>
      </c>
      <c r="AA3">
        <v>0</v>
      </c>
      <c r="AB3">
        <v>0</v>
      </c>
      <c r="AC3">
        <v>0</v>
      </c>
      <c r="AD3">
        <v>0</v>
      </c>
      <c r="AE3">
        <v>0</v>
      </c>
      <c r="AF3">
        <v>0</v>
      </c>
      <c r="AG3">
        <v>1</v>
      </c>
      <c r="AH3">
        <v>1</v>
      </c>
      <c r="AI3">
        <v>1</v>
      </c>
      <c r="AJ3">
        <v>0</v>
      </c>
      <c r="AK3">
        <v>0</v>
      </c>
      <c r="AL3">
        <v>0</v>
      </c>
      <c r="AM3" t="s">
        <v>53</v>
      </c>
      <c r="AN3">
        <v>0</v>
      </c>
      <c r="AO3">
        <v>2</v>
      </c>
      <c r="AP3">
        <v>0</v>
      </c>
      <c r="AQ3">
        <v>2</v>
      </c>
      <c r="AR3">
        <v>0</v>
      </c>
      <c r="AS3">
        <v>0</v>
      </c>
    </row>
    <row r="4" spans="1:45" x14ac:dyDescent="0.2">
      <c r="A4" t="s">
        <v>54</v>
      </c>
      <c r="B4" s="3">
        <f t="shared" si="0"/>
        <v>45658</v>
      </c>
      <c r="C4" t="s">
        <v>55</v>
      </c>
      <c r="D4" s="1">
        <v>1.6620370370370369E-2</v>
      </c>
      <c r="E4">
        <v>18</v>
      </c>
      <c r="F4" t="s">
        <v>62</v>
      </c>
      <c r="G4" t="s">
        <v>63</v>
      </c>
      <c r="H4" t="s">
        <v>64</v>
      </c>
      <c r="I4" s="2" t="s">
        <v>65</v>
      </c>
      <c r="J4" s="2" t="s">
        <v>50</v>
      </c>
      <c r="K4" s="2" t="s">
        <v>49</v>
      </c>
      <c r="L4" s="2" t="s">
        <v>66</v>
      </c>
      <c r="M4" s="2" t="s">
        <v>52</v>
      </c>
      <c r="N4">
        <v>0</v>
      </c>
      <c r="O4">
        <v>0</v>
      </c>
      <c r="P4">
        <v>0</v>
      </c>
      <c r="Q4">
        <v>0</v>
      </c>
      <c r="R4">
        <v>1</v>
      </c>
      <c r="S4">
        <v>0</v>
      </c>
      <c r="T4">
        <v>1</v>
      </c>
      <c r="U4">
        <v>1</v>
      </c>
      <c r="V4">
        <v>0</v>
      </c>
      <c r="W4">
        <v>0</v>
      </c>
      <c r="X4">
        <v>0</v>
      </c>
      <c r="Y4">
        <v>1</v>
      </c>
      <c r="Z4">
        <v>0</v>
      </c>
      <c r="AA4">
        <v>0</v>
      </c>
      <c r="AB4">
        <v>0</v>
      </c>
      <c r="AC4">
        <v>0</v>
      </c>
      <c r="AD4">
        <v>0</v>
      </c>
      <c r="AE4">
        <v>0</v>
      </c>
      <c r="AF4">
        <v>0</v>
      </c>
      <c r="AG4">
        <v>0</v>
      </c>
      <c r="AH4">
        <v>0</v>
      </c>
      <c r="AI4">
        <v>0</v>
      </c>
      <c r="AJ4">
        <v>0</v>
      </c>
      <c r="AK4">
        <v>1</v>
      </c>
      <c r="AL4">
        <v>0</v>
      </c>
      <c r="AM4" t="s">
        <v>53</v>
      </c>
      <c r="AN4">
        <v>0</v>
      </c>
      <c r="AO4">
        <v>3</v>
      </c>
      <c r="AP4">
        <v>1</v>
      </c>
      <c r="AQ4">
        <v>0</v>
      </c>
      <c r="AR4">
        <v>1</v>
      </c>
      <c r="AS4">
        <v>1</v>
      </c>
    </row>
    <row r="5" spans="1:45" x14ac:dyDescent="0.2">
      <c r="A5" t="s">
        <v>67</v>
      </c>
      <c r="B5" s="3">
        <f t="shared" si="0"/>
        <v>45658</v>
      </c>
      <c r="C5" t="s">
        <v>68</v>
      </c>
      <c r="D5" s="1">
        <v>1.7384259259259259E-2</v>
      </c>
      <c r="E5">
        <v>8</v>
      </c>
      <c r="F5" t="s">
        <v>69</v>
      </c>
      <c r="G5" t="s">
        <v>70</v>
      </c>
      <c r="H5" t="s">
        <v>48</v>
      </c>
      <c r="I5" s="2" t="s">
        <v>65</v>
      </c>
      <c r="J5" s="2" t="s">
        <v>50</v>
      </c>
      <c r="K5" s="2" t="s">
        <v>71</v>
      </c>
      <c r="L5" s="2" t="s">
        <v>51</v>
      </c>
      <c r="M5" s="2" t="s">
        <v>52</v>
      </c>
      <c r="N5">
        <v>0</v>
      </c>
      <c r="O5">
        <v>0</v>
      </c>
      <c r="P5">
        <v>0</v>
      </c>
      <c r="Q5">
        <v>0</v>
      </c>
      <c r="R5">
        <v>0</v>
      </c>
      <c r="S5">
        <v>0</v>
      </c>
      <c r="T5">
        <v>0</v>
      </c>
      <c r="U5">
        <v>1</v>
      </c>
      <c r="V5">
        <v>0</v>
      </c>
      <c r="W5">
        <v>0</v>
      </c>
      <c r="X5">
        <v>0</v>
      </c>
      <c r="Y5">
        <v>0</v>
      </c>
      <c r="Z5">
        <v>1</v>
      </c>
      <c r="AA5">
        <v>0</v>
      </c>
      <c r="AB5">
        <v>0</v>
      </c>
      <c r="AC5">
        <v>0</v>
      </c>
      <c r="AD5">
        <v>0</v>
      </c>
      <c r="AE5">
        <v>0</v>
      </c>
      <c r="AF5">
        <v>0</v>
      </c>
      <c r="AG5">
        <v>0</v>
      </c>
      <c r="AH5">
        <v>0</v>
      </c>
      <c r="AI5">
        <v>0</v>
      </c>
      <c r="AJ5">
        <v>0</v>
      </c>
      <c r="AK5">
        <v>1</v>
      </c>
      <c r="AL5">
        <v>0</v>
      </c>
      <c r="AM5" t="s">
        <v>53</v>
      </c>
      <c r="AN5">
        <v>0</v>
      </c>
      <c r="AO5">
        <v>1</v>
      </c>
      <c r="AP5">
        <v>2</v>
      </c>
      <c r="AQ5">
        <v>0</v>
      </c>
      <c r="AR5">
        <v>0</v>
      </c>
      <c r="AS5">
        <v>1</v>
      </c>
    </row>
    <row r="6" spans="1:45" x14ac:dyDescent="0.2">
      <c r="A6" t="s">
        <v>72</v>
      </c>
      <c r="B6" s="3">
        <f t="shared" si="0"/>
        <v>45658</v>
      </c>
      <c r="C6" t="s">
        <v>55</v>
      </c>
      <c r="D6" s="1">
        <v>1.3912037037037037E-2</v>
      </c>
      <c r="E6">
        <v>16</v>
      </c>
      <c r="F6" t="s">
        <v>73</v>
      </c>
      <c r="G6" t="s">
        <v>74</v>
      </c>
      <c r="H6" t="s">
        <v>48</v>
      </c>
      <c r="I6" s="2" t="s">
        <v>75</v>
      </c>
      <c r="J6" s="2" t="s">
        <v>50</v>
      </c>
      <c r="K6" s="2" t="s">
        <v>76</v>
      </c>
      <c r="L6" s="2" t="s">
        <v>77</v>
      </c>
      <c r="M6" s="2" t="s">
        <v>78</v>
      </c>
      <c r="N6">
        <v>0</v>
      </c>
      <c r="O6">
        <v>0</v>
      </c>
      <c r="P6">
        <v>0</v>
      </c>
      <c r="Q6">
        <v>1</v>
      </c>
      <c r="R6">
        <v>0</v>
      </c>
      <c r="S6">
        <v>0</v>
      </c>
      <c r="T6">
        <v>0</v>
      </c>
      <c r="U6">
        <v>0</v>
      </c>
      <c r="V6">
        <v>0</v>
      </c>
      <c r="W6">
        <v>0</v>
      </c>
      <c r="X6">
        <v>0</v>
      </c>
      <c r="Y6">
        <v>0</v>
      </c>
      <c r="Z6">
        <v>0</v>
      </c>
      <c r="AA6">
        <v>1</v>
      </c>
      <c r="AB6">
        <v>0</v>
      </c>
      <c r="AC6">
        <v>0</v>
      </c>
      <c r="AD6">
        <v>0</v>
      </c>
      <c r="AE6">
        <v>0</v>
      </c>
      <c r="AF6">
        <v>0</v>
      </c>
      <c r="AG6">
        <v>0</v>
      </c>
      <c r="AH6">
        <v>0</v>
      </c>
      <c r="AI6">
        <v>0</v>
      </c>
      <c r="AJ6">
        <v>0</v>
      </c>
      <c r="AK6">
        <v>0</v>
      </c>
      <c r="AL6">
        <v>0</v>
      </c>
      <c r="AM6" t="s">
        <v>53</v>
      </c>
      <c r="AN6">
        <v>0</v>
      </c>
      <c r="AO6">
        <v>1</v>
      </c>
      <c r="AP6">
        <v>0</v>
      </c>
      <c r="AQ6">
        <v>0</v>
      </c>
      <c r="AR6">
        <v>1</v>
      </c>
      <c r="AS6">
        <v>0</v>
      </c>
    </row>
    <row r="7" spans="1:45" x14ac:dyDescent="0.2">
      <c r="A7" t="s">
        <v>79</v>
      </c>
      <c r="B7" s="3">
        <f t="shared" si="0"/>
        <v>45658</v>
      </c>
      <c r="C7" t="s">
        <v>80</v>
      </c>
      <c r="D7" s="1">
        <v>1.7500000000000002E-2</v>
      </c>
      <c r="E7">
        <v>18</v>
      </c>
      <c r="F7" t="s">
        <v>62</v>
      </c>
      <c r="G7" t="s">
        <v>81</v>
      </c>
      <c r="H7" t="s">
        <v>64</v>
      </c>
      <c r="I7" s="2" t="s">
        <v>76</v>
      </c>
      <c r="J7" s="2" t="s">
        <v>50</v>
      </c>
      <c r="K7" s="2" t="s">
        <v>71</v>
      </c>
      <c r="L7" s="2" t="s">
        <v>77</v>
      </c>
      <c r="M7" s="2" t="s">
        <v>52</v>
      </c>
      <c r="N7">
        <v>0</v>
      </c>
      <c r="O7">
        <v>0</v>
      </c>
      <c r="P7">
        <v>0</v>
      </c>
      <c r="Q7">
        <v>0</v>
      </c>
      <c r="R7">
        <v>1</v>
      </c>
      <c r="S7">
        <v>0</v>
      </c>
      <c r="T7">
        <v>1</v>
      </c>
      <c r="U7">
        <v>1</v>
      </c>
      <c r="V7">
        <v>0</v>
      </c>
      <c r="W7">
        <v>0</v>
      </c>
      <c r="X7">
        <v>0</v>
      </c>
      <c r="Y7">
        <v>1</v>
      </c>
      <c r="Z7">
        <v>0</v>
      </c>
      <c r="AA7">
        <v>0</v>
      </c>
      <c r="AB7">
        <v>0</v>
      </c>
      <c r="AC7">
        <v>0</v>
      </c>
      <c r="AD7">
        <v>0</v>
      </c>
      <c r="AE7">
        <v>0</v>
      </c>
      <c r="AF7">
        <v>0</v>
      </c>
      <c r="AG7">
        <v>0</v>
      </c>
      <c r="AH7">
        <v>0</v>
      </c>
      <c r="AI7">
        <v>0</v>
      </c>
      <c r="AJ7">
        <v>0</v>
      </c>
      <c r="AK7">
        <v>1</v>
      </c>
      <c r="AL7">
        <v>0</v>
      </c>
      <c r="AM7" t="s">
        <v>53</v>
      </c>
      <c r="AN7">
        <v>0</v>
      </c>
      <c r="AO7">
        <v>3</v>
      </c>
      <c r="AP7">
        <v>1</v>
      </c>
      <c r="AQ7">
        <v>0</v>
      </c>
      <c r="AR7">
        <v>1</v>
      </c>
      <c r="AS7">
        <v>1</v>
      </c>
    </row>
    <row r="8" spans="1:45" x14ac:dyDescent="0.2">
      <c r="A8" t="s">
        <v>82</v>
      </c>
      <c r="B8" s="3">
        <f t="shared" si="0"/>
        <v>45658</v>
      </c>
      <c r="C8" t="s">
        <v>55</v>
      </c>
      <c r="D8" s="1">
        <v>1.3310185185185185E-2</v>
      </c>
      <c r="E8">
        <v>4</v>
      </c>
      <c r="F8" t="s">
        <v>46</v>
      </c>
      <c r="G8" t="s">
        <v>57</v>
      </c>
      <c r="H8" t="s">
        <v>64</v>
      </c>
      <c r="I8" s="2" t="s">
        <v>75</v>
      </c>
      <c r="J8" s="2" t="s">
        <v>50</v>
      </c>
      <c r="K8" s="2" t="s">
        <v>59</v>
      </c>
      <c r="L8" s="2" t="s">
        <v>60</v>
      </c>
      <c r="M8" s="2" t="s">
        <v>52</v>
      </c>
      <c r="N8">
        <v>1</v>
      </c>
      <c r="O8">
        <v>0</v>
      </c>
      <c r="P8">
        <v>0</v>
      </c>
      <c r="Q8">
        <v>0</v>
      </c>
      <c r="R8">
        <v>0</v>
      </c>
      <c r="S8">
        <v>0</v>
      </c>
      <c r="T8">
        <v>0</v>
      </c>
      <c r="U8">
        <v>0</v>
      </c>
      <c r="V8">
        <v>0</v>
      </c>
      <c r="W8">
        <v>0</v>
      </c>
      <c r="X8">
        <v>0</v>
      </c>
      <c r="Y8">
        <v>0</v>
      </c>
      <c r="Z8">
        <v>0</v>
      </c>
      <c r="AA8">
        <v>0</v>
      </c>
      <c r="AB8">
        <v>1</v>
      </c>
      <c r="AC8">
        <v>0</v>
      </c>
      <c r="AD8">
        <v>1</v>
      </c>
      <c r="AE8">
        <v>0</v>
      </c>
      <c r="AF8">
        <v>1</v>
      </c>
      <c r="AG8">
        <v>0</v>
      </c>
      <c r="AH8">
        <v>0</v>
      </c>
      <c r="AI8">
        <v>0</v>
      </c>
      <c r="AJ8">
        <v>0</v>
      </c>
      <c r="AK8">
        <v>0</v>
      </c>
      <c r="AL8">
        <v>0</v>
      </c>
      <c r="AM8" t="s">
        <v>53</v>
      </c>
      <c r="AN8">
        <v>1</v>
      </c>
      <c r="AO8">
        <v>4</v>
      </c>
      <c r="AP8">
        <v>1</v>
      </c>
      <c r="AQ8">
        <v>1</v>
      </c>
      <c r="AR8">
        <v>1</v>
      </c>
      <c r="AS8">
        <v>1</v>
      </c>
    </row>
    <row r="9" spans="1:45" x14ac:dyDescent="0.2">
      <c r="A9" t="s">
        <v>83</v>
      </c>
      <c r="B9" s="3">
        <f t="shared" si="0"/>
        <v>45658</v>
      </c>
      <c r="C9" t="s">
        <v>68</v>
      </c>
      <c r="D9" s="1">
        <v>1.5185185185185185E-2</v>
      </c>
      <c r="E9">
        <v>18</v>
      </c>
      <c r="F9" t="s">
        <v>62</v>
      </c>
      <c r="G9" t="s">
        <v>70</v>
      </c>
      <c r="H9" t="s">
        <v>64</v>
      </c>
      <c r="I9" s="2" t="s">
        <v>76</v>
      </c>
      <c r="J9" s="2" t="s">
        <v>50</v>
      </c>
      <c r="K9" s="2" t="s">
        <v>71</v>
      </c>
      <c r="L9" s="2" t="s">
        <v>51</v>
      </c>
      <c r="M9" s="2" t="s">
        <v>52</v>
      </c>
      <c r="N9">
        <v>0</v>
      </c>
      <c r="O9">
        <v>0</v>
      </c>
      <c r="P9">
        <v>0</v>
      </c>
      <c r="Q9">
        <v>0</v>
      </c>
      <c r="R9">
        <v>1</v>
      </c>
      <c r="S9">
        <v>0</v>
      </c>
      <c r="T9">
        <v>1</v>
      </c>
      <c r="U9">
        <v>1</v>
      </c>
      <c r="V9">
        <v>0</v>
      </c>
      <c r="W9">
        <v>0</v>
      </c>
      <c r="X9">
        <v>0</v>
      </c>
      <c r="Y9">
        <v>1</v>
      </c>
      <c r="Z9">
        <v>0</v>
      </c>
      <c r="AA9">
        <v>0</v>
      </c>
      <c r="AB9">
        <v>0</v>
      </c>
      <c r="AC9">
        <v>0</v>
      </c>
      <c r="AD9">
        <v>0</v>
      </c>
      <c r="AE9">
        <v>0</v>
      </c>
      <c r="AF9">
        <v>0</v>
      </c>
      <c r="AG9">
        <v>0</v>
      </c>
      <c r="AH9">
        <v>0</v>
      </c>
      <c r="AI9">
        <v>0</v>
      </c>
      <c r="AJ9">
        <v>0</v>
      </c>
      <c r="AK9">
        <v>1</v>
      </c>
      <c r="AL9">
        <v>0</v>
      </c>
      <c r="AM9" t="s">
        <v>53</v>
      </c>
      <c r="AN9">
        <v>0</v>
      </c>
      <c r="AO9">
        <v>3</v>
      </c>
      <c r="AP9">
        <v>1</v>
      </c>
      <c r="AQ9">
        <v>0</v>
      </c>
      <c r="AR9">
        <v>1</v>
      </c>
      <c r="AS9">
        <v>1</v>
      </c>
    </row>
    <row r="10" spans="1:45" x14ac:dyDescent="0.2">
      <c r="A10" t="s">
        <v>84</v>
      </c>
      <c r="B10" s="3">
        <f t="shared" si="0"/>
        <v>45658</v>
      </c>
      <c r="C10" t="s">
        <v>55</v>
      </c>
      <c r="D10" s="1">
        <v>1.3969907407407407E-2</v>
      </c>
      <c r="E10">
        <v>4</v>
      </c>
      <c r="F10" t="s">
        <v>46</v>
      </c>
      <c r="G10" t="s">
        <v>74</v>
      </c>
      <c r="H10" t="s">
        <v>64</v>
      </c>
      <c r="I10" s="2" t="s">
        <v>75</v>
      </c>
      <c r="J10" s="2" t="s">
        <v>50</v>
      </c>
      <c r="K10" s="2" t="s">
        <v>49</v>
      </c>
      <c r="L10" s="2" t="s">
        <v>76</v>
      </c>
      <c r="M10" s="2" t="s">
        <v>78</v>
      </c>
      <c r="N10">
        <v>1</v>
      </c>
      <c r="O10">
        <v>0</v>
      </c>
      <c r="P10">
        <v>0</v>
      </c>
      <c r="Q10">
        <v>0</v>
      </c>
      <c r="R10">
        <v>0</v>
      </c>
      <c r="S10">
        <v>0</v>
      </c>
      <c r="T10">
        <v>0</v>
      </c>
      <c r="U10">
        <v>0</v>
      </c>
      <c r="V10">
        <v>0</v>
      </c>
      <c r="W10">
        <v>0</v>
      </c>
      <c r="X10">
        <v>0</v>
      </c>
      <c r="Y10">
        <v>0</v>
      </c>
      <c r="Z10">
        <v>0</v>
      </c>
      <c r="AA10">
        <v>0</v>
      </c>
      <c r="AB10">
        <v>1</v>
      </c>
      <c r="AC10">
        <v>0</v>
      </c>
      <c r="AD10">
        <v>1</v>
      </c>
      <c r="AE10">
        <v>0</v>
      </c>
      <c r="AF10">
        <v>1</v>
      </c>
      <c r="AG10">
        <v>0</v>
      </c>
      <c r="AH10">
        <v>0</v>
      </c>
      <c r="AI10">
        <v>0</v>
      </c>
      <c r="AJ10">
        <v>0</v>
      </c>
      <c r="AK10">
        <v>0</v>
      </c>
      <c r="AL10">
        <v>0</v>
      </c>
      <c r="AM10" t="s">
        <v>53</v>
      </c>
      <c r="AN10">
        <v>1</v>
      </c>
      <c r="AO10">
        <v>4</v>
      </c>
      <c r="AP10">
        <v>1</v>
      </c>
      <c r="AQ10">
        <v>1</v>
      </c>
      <c r="AR10">
        <v>1</v>
      </c>
      <c r="AS10">
        <v>1</v>
      </c>
    </row>
    <row r="11" spans="1:45" x14ac:dyDescent="0.2">
      <c r="A11" t="s">
        <v>84</v>
      </c>
      <c r="B11" s="3">
        <f t="shared" si="0"/>
        <v>45658</v>
      </c>
      <c r="C11" t="s">
        <v>55</v>
      </c>
      <c r="D11" s="1">
        <v>1.7372685185185185E-2</v>
      </c>
      <c r="E11">
        <v>8</v>
      </c>
      <c r="F11" t="s">
        <v>69</v>
      </c>
      <c r="G11" t="s">
        <v>85</v>
      </c>
      <c r="H11" t="s">
        <v>48</v>
      </c>
      <c r="I11" s="2" t="s">
        <v>65</v>
      </c>
      <c r="J11" s="2" t="s">
        <v>50</v>
      </c>
      <c r="K11" s="2" t="s">
        <v>49</v>
      </c>
      <c r="L11" s="2" t="s">
        <v>66</v>
      </c>
      <c r="M11" s="2" t="s">
        <v>52</v>
      </c>
      <c r="N11">
        <v>0</v>
      </c>
      <c r="O11">
        <v>0</v>
      </c>
      <c r="P11">
        <v>0</v>
      </c>
      <c r="Q11">
        <v>0</v>
      </c>
      <c r="R11">
        <v>0</v>
      </c>
      <c r="S11">
        <v>0</v>
      </c>
      <c r="T11">
        <v>0</v>
      </c>
      <c r="U11">
        <v>1</v>
      </c>
      <c r="V11">
        <v>0</v>
      </c>
      <c r="W11">
        <v>0</v>
      </c>
      <c r="X11">
        <v>0</v>
      </c>
      <c r="Y11">
        <v>0</v>
      </c>
      <c r="Z11">
        <v>1</v>
      </c>
      <c r="AA11">
        <v>0</v>
      </c>
      <c r="AB11">
        <v>0</v>
      </c>
      <c r="AC11">
        <v>0</v>
      </c>
      <c r="AD11">
        <v>0</v>
      </c>
      <c r="AE11">
        <v>0</v>
      </c>
      <c r="AF11">
        <v>0</v>
      </c>
      <c r="AG11">
        <v>0</v>
      </c>
      <c r="AH11">
        <v>0</v>
      </c>
      <c r="AI11">
        <v>0</v>
      </c>
      <c r="AJ11">
        <v>0</v>
      </c>
      <c r="AK11">
        <v>1</v>
      </c>
      <c r="AL11">
        <v>0</v>
      </c>
      <c r="AM11" t="s">
        <v>53</v>
      </c>
      <c r="AN11">
        <v>0</v>
      </c>
      <c r="AO11">
        <v>1</v>
      </c>
      <c r="AP11">
        <v>2</v>
      </c>
      <c r="AQ11">
        <v>0</v>
      </c>
      <c r="AR11">
        <v>0</v>
      </c>
      <c r="AS11">
        <v>1</v>
      </c>
    </row>
    <row r="12" spans="1:45" x14ac:dyDescent="0.2">
      <c r="A12" t="s">
        <v>86</v>
      </c>
      <c r="B12" s="3">
        <f t="shared" si="0"/>
        <v>45689</v>
      </c>
      <c r="C12" t="s">
        <v>45</v>
      </c>
      <c r="D12" s="1">
        <v>1.2280092592592592E-2</v>
      </c>
      <c r="E12">
        <v>16</v>
      </c>
      <c r="F12" t="s">
        <v>73</v>
      </c>
      <c r="G12" t="s">
        <v>47</v>
      </c>
      <c r="H12" t="s">
        <v>64</v>
      </c>
      <c r="I12" s="2" t="s">
        <v>75</v>
      </c>
      <c r="J12" s="2" t="s">
        <v>50</v>
      </c>
      <c r="K12" s="2" t="s">
        <v>49</v>
      </c>
      <c r="L12" s="2" t="s">
        <v>60</v>
      </c>
      <c r="M12" s="2" t="s">
        <v>78</v>
      </c>
      <c r="N12">
        <v>0</v>
      </c>
      <c r="O12">
        <v>0</v>
      </c>
      <c r="P12">
        <v>0</v>
      </c>
      <c r="Q12">
        <v>1</v>
      </c>
      <c r="R12">
        <v>0</v>
      </c>
      <c r="S12">
        <v>0</v>
      </c>
      <c r="T12">
        <v>0</v>
      </c>
      <c r="U12">
        <v>0</v>
      </c>
      <c r="V12">
        <v>0</v>
      </c>
      <c r="W12">
        <v>0</v>
      </c>
      <c r="X12">
        <v>0</v>
      </c>
      <c r="Y12">
        <v>0</v>
      </c>
      <c r="Z12">
        <v>0</v>
      </c>
      <c r="AA12">
        <v>1</v>
      </c>
      <c r="AB12">
        <v>0</v>
      </c>
      <c r="AC12">
        <v>0</v>
      </c>
      <c r="AD12">
        <v>0</v>
      </c>
      <c r="AE12">
        <v>0</v>
      </c>
      <c r="AF12">
        <v>0</v>
      </c>
      <c r="AG12">
        <v>0</v>
      </c>
      <c r="AH12">
        <v>0</v>
      </c>
      <c r="AI12">
        <v>0</v>
      </c>
      <c r="AJ12">
        <v>0</v>
      </c>
      <c r="AK12">
        <v>0</v>
      </c>
      <c r="AL12">
        <v>0</v>
      </c>
      <c r="AM12" t="s">
        <v>53</v>
      </c>
      <c r="AN12">
        <v>0</v>
      </c>
      <c r="AO12">
        <v>1</v>
      </c>
      <c r="AP12">
        <v>0</v>
      </c>
      <c r="AQ12">
        <v>0</v>
      </c>
      <c r="AR12">
        <v>1</v>
      </c>
      <c r="AS12">
        <v>0</v>
      </c>
    </row>
    <row r="13" spans="1:45" x14ac:dyDescent="0.2">
      <c r="A13" t="s">
        <v>87</v>
      </c>
      <c r="B13" s="3">
        <f t="shared" si="0"/>
        <v>45689</v>
      </c>
      <c r="C13" t="s">
        <v>88</v>
      </c>
      <c r="D13" s="1">
        <v>1.7372685185185185E-2</v>
      </c>
      <c r="E13">
        <v>17</v>
      </c>
      <c r="F13" t="s">
        <v>89</v>
      </c>
      <c r="G13" t="s">
        <v>63</v>
      </c>
      <c r="H13" t="s">
        <v>48</v>
      </c>
      <c r="I13" s="2" t="s">
        <v>65</v>
      </c>
      <c r="J13" s="2" t="s">
        <v>50</v>
      </c>
      <c r="K13" s="2" t="s">
        <v>59</v>
      </c>
      <c r="L13" s="2" t="s">
        <v>90</v>
      </c>
      <c r="M13" s="2" t="s">
        <v>61</v>
      </c>
      <c r="N13">
        <v>0</v>
      </c>
      <c r="O13">
        <v>0</v>
      </c>
      <c r="P13">
        <v>0</v>
      </c>
      <c r="Q13">
        <v>0</v>
      </c>
      <c r="R13">
        <v>1</v>
      </c>
      <c r="S13">
        <v>0</v>
      </c>
      <c r="T13">
        <v>1</v>
      </c>
      <c r="U13">
        <v>0</v>
      </c>
      <c r="V13">
        <v>0</v>
      </c>
      <c r="W13">
        <v>0</v>
      </c>
      <c r="X13">
        <v>0</v>
      </c>
      <c r="Y13">
        <v>1</v>
      </c>
      <c r="Z13">
        <v>0</v>
      </c>
      <c r="AA13">
        <v>0</v>
      </c>
      <c r="AB13">
        <v>0</v>
      </c>
      <c r="AC13">
        <v>0</v>
      </c>
      <c r="AD13">
        <v>0</v>
      </c>
      <c r="AE13">
        <v>0</v>
      </c>
      <c r="AF13">
        <v>0</v>
      </c>
      <c r="AG13">
        <v>0</v>
      </c>
      <c r="AH13">
        <v>0</v>
      </c>
      <c r="AI13">
        <v>0</v>
      </c>
      <c r="AJ13">
        <v>0</v>
      </c>
      <c r="AK13">
        <v>0</v>
      </c>
      <c r="AL13">
        <v>0</v>
      </c>
      <c r="AM13" t="s">
        <v>53</v>
      </c>
      <c r="AN13">
        <v>0</v>
      </c>
      <c r="AO13">
        <v>2</v>
      </c>
      <c r="AP13">
        <v>0</v>
      </c>
      <c r="AQ13">
        <v>0</v>
      </c>
      <c r="AR13">
        <v>1</v>
      </c>
      <c r="AS13">
        <v>0</v>
      </c>
    </row>
    <row r="14" spans="1:45" x14ac:dyDescent="0.2">
      <c r="A14" t="s">
        <v>91</v>
      </c>
      <c r="B14" s="3">
        <f t="shared" si="0"/>
        <v>45689</v>
      </c>
      <c r="C14" t="s">
        <v>45</v>
      </c>
      <c r="D14" s="1">
        <v>1.3993055555555555E-2</v>
      </c>
      <c r="E14">
        <v>26</v>
      </c>
      <c r="F14" t="s">
        <v>92</v>
      </c>
      <c r="G14" t="s">
        <v>57</v>
      </c>
      <c r="H14" t="s">
        <v>64</v>
      </c>
      <c r="I14" s="2" t="s">
        <v>49</v>
      </c>
      <c r="J14" s="2" t="s">
        <v>50</v>
      </c>
      <c r="K14" s="2" t="s">
        <v>71</v>
      </c>
      <c r="L14" s="2" t="s">
        <v>66</v>
      </c>
      <c r="M14" s="2" t="s">
        <v>61</v>
      </c>
      <c r="N14">
        <v>0</v>
      </c>
      <c r="O14">
        <v>0</v>
      </c>
      <c r="P14">
        <v>0</v>
      </c>
      <c r="Q14">
        <v>0</v>
      </c>
      <c r="R14">
        <v>0</v>
      </c>
      <c r="S14">
        <v>0</v>
      </c>
      <c r="T14">
        <v>1</v>
      </c>
      <c r="U14">
        <v>0</v>
      </c>
      <c r="V14">
        <v>0</v>
      </c>
      <c r="W14">
        <v>0</v>
      </c>
      <c r="X14">
        <v>0</v>
      </c>
      <c r="Y14">
        <v>1</v>
      </c>
      <c r="Z14">
        <v>0</v>
      </c>
      <c r="AA14">
        <v>0</v>
      </c>
      <c r="AB14">
        <v>0</v>
      </c>
      <c r="AC14">
        <v>1</v>
      </c>
      <c r="AD14">
        <v>0</v>
      </c>
      <c r="AE14">
        <v>0</v>
      </c>
      <c r="AF14">
        <v>0</v>
      </c>
      <c r="AG14">
        <v>0</v>
      </c>
      <c r="AH14">
        <v>0</v>
      </c>
      <c r="AI14">
        <v>0</v>
      </c>
      <c r="AJ14">
        <v>0</v>
      </c>
      <c r="AK14">
        <v>0</v>
      </c>
      <c r="AL14">
        <v>0</v>
      </c>
      <c r="AM14" t="s">
        <v>53</v>
      </c>
      <c r="AN14">
        <v>0</v>
      </c>
      <c r="AO14">
        <v>2</v>
      </c>
      <c r="AP14">
        <v>0</v>
      </c>
      <c r="AQ14">
        <v>0</v>
      </c>
      <c r="AR14">
        <v>0</v>
      </c>
      <c r="AS14">
        <v>0</v>
      </c>
    </row>
    <row r="15" spans="1:45" x14ac:dyDescent="0.2">
      <c r="A15" t="s">
        <v>93</v>
      </c>
      <c r="B15" s="3">
        <f t="shared" si="0"/>
        <v>45689</v>
      </c>
      <c r="C15" t="s">
        <v>55</v>
      </c>
      <c r="D15" s="1">
        <v>1.7372685185185185E-2</v>
      </c>
      <c r="E15">
        <v>8</v>
      </c>
      <c r="F15" t="s">
        <v>69</v>
      </c>
      <c r="G15" t="s">
        <v>74</v>
      </c>
      <c r="H15" t="s">
        <v>48</v>
      </c>
      <c r="I15" s="2" t="s">
        <v>65</v>
      </c>
      <c r="J15" s="2" t="s">
        <v>50</v>
      </c>
      <c r="K15" s="2" t="s">
        <v>49</v>
      </c>
      <c r="L15" s="2" t="s">
        <v>94</v>
      </c>
      <c r="M15" s="2" t="s">
        <v>95</v>
      </c>
      <c r="N15">
        <v>0</v>
      </c>
      <c r="O15">
        <v>0</v>
      </c>
      <c r="P15">
        <v>0</v>
      </c>
      <c r="Q15">
        <v>0</v>
      </c>
      <c r="R15">
        <v>0</v>
      </c>
      <c r="S15">
        <v>0</v>
      </c>
      <c r="T15">
        <v>0</v>
      </c>
      <c r="U15">
        <v>1</v>
      </c>
      <c r="V15">
        <v>0</v>
      </c>
      <c r="W15">
        <v>0</v>
      </c>
      <c r="X15">
        <v>0</v>
      </c>
      <c r="Y15">
        <v>0</v>
      </c>
      <c r="Z15">
        <v>1</v>
      </c>
      <c r="AA15">
        <v>0</v>
      </c>
      <c r="AB15">
        <v>0</v>
      </c>
      <c r="AC15">
        <v>0</v>
      </c>
      <c r="AD15">
        <v>0</v>
      </c>
      <c r="AE15">
        <v>0</v>
      </c>
      <c r="AF15">
        <v>0</v>
      </c>
      <c r="AG15">
        <v>0</v>
      </c>
      <c r="AH15">
        <v>0</v>
      </c>
      <c r="AI15">
        <v>0</v>
      </c>
      <c r="AJ15">
        <v>0</v>
      </c>
      <c r="AK15">
        <v>1</v>
      </c>
      <c r="AL15">
        <v>0</v>
      </c>
      <c r="AM15" t="s">
        <v>53</v>
      </c>
      <c r="AN15">
        <v>0</v>
      </c>
      <c r="AO15">
        <v>1</v>
      </c>
      <c r="AP15">
        <v>2</v>
      </c>
      <c r="AQ15">
        <v>0</v>
      </c>
      <c r="AR15">
        <v>0</v>
      </c>
      <c r="AS15">
        <v>1</v>
      </c>
    </row>
    <row r="16" spans="1:45" x14ac:dyDescent="0.2">
      <c r="A16" t="s">
        <v>96</v>
      </c>
      <c r="B16" s="3">
        <f t="shared" si="0"/>
        <v>45689</v>
      </c>
      <c r="C16" t="s">
        <v>45</v>
      </c>
      <c r="D16" s="1">
        <v>1.3263888888888889E-2</v>
      </c>
      <c r="E16">
        <v>26</v>
      </c>
      <c r="F16" t="s">
        <v>92</v>
      </c>
      <c r="G16" t="s">
        <v>47</v>
      </c>
      <c r="H16" t="s">
        <v>64</v>
      </c>
      <c r="I16" s="2" t="s">
        <v>97</v>
      </c>
      <c r="J16" s="2" t="s">
        <v>50</v>
      </c>
      <c r="K16" s="2" t="s">
        <v>71</v>
      </c>
      <c r="L16" s="2" t="s">
        <v>51</v>
      </c>
      <c r="M16" s="2" t="s">
        <v>78</v>
      </c>
      <c r="N16">
        <v>0</v>
      </c>
      <c r="O16">
        <v>0</v>
      </c>
      <c r="P16">
        <v>0</v>
      </c>
      <c r="Q16">
        <v>0</v>
      </c>
      <c r="R16">
        <v>0</v>
      </c>
      <c r="S16">
        <v>0</v>
      </c>
      <c r="T16">
        <v>1</v>
      </c>
      <c r="U16">
        <v>0</v>
      </c>
      <c r="V16">
        <v>0</v>
      </c>
      <c r="W16">
        <v>0</v>
      </c>
      <c r="X16">
        <v>0</v>
      </c>
      <c r="Y16">
        <v>1</v>
      </c>
      <c r="Z16">
        <v>0</v>
      </c>
      <c r="AA16">
        <v>0</v>
      </c>
      <c r="AB16">
        <v>0</v>
      </c>
      <c r="AC16">
        <v>1</v>
      </c>
      <c r="AD16">
        <v>0</v>
      </c>
      <c r="AE16">
        <v>0</v>
      </c>
      <c r="AF16">
        <v>0</v>
      </c>
      <c r="AG16">
        <v>0</v>
      </c>
      <c r="AH16">
        <v>0</v>
      </c>
      <c r="AI16">
        <v>0</v>
      </c>
      <c r="AJ16">
        <v>0</v>
      </c>
      <c r="AK16">
        <v>0</v>
      </c>
      <c r="AL16">
        <v>0</v>
      </c>
      <c r="AM16" t="s">
        <v>53</v>
      </c>
      <c r="AN16">
        <v>0</v>
      </c>
      <c r="AO16">
        <v>2</v>
      </c>
      <c r="AP16">
        <v>0</v>
      </c>
      <c r="AQ16">
        <v>0</v>
      </c>
      <c r="AR16">
        <v>0</v>
      </c>
      <c r="AS16">
        <v>0</v>
      </c>
    </row>
    <row r="17" spans="1:45" x14ac:dyDescent="0.2">
      <c r="A17" t="s">
        <v>98</v>
      </c>
      <c r="B17" s="3">
        <f t="shared" si="0"/>
        <v>45689</v>
      </c>
      <c r="C17" t="s">
        <v>68</v>
      </c>
      <c r="D17" s="1">
        <v>1.7951388888888888E-2</v>
      </c>
      <c r="E17">
        <v>26</v>
      </c>
      <c r="F17" t="s">
        <v>92</v>
      </c>
      <c r="G17" t="s">
        <v>70</v>
      </c>
      <c r="H17" t="s">
        <v>64</v>
      </c>
      <c r="I17" s="2" t="s">
        <v>49</v>
      </c>
      <c r="J17" s="2" t="s">
        <v>50</v>
      </c>
      <c r="K17" s="2" t="s">
        <v>49</v>
      </c>
      <c r="L17" s="2" t="s">
        <v>99</v>
      </c>
      <c r="M17" s="2" t="s">
        <v>52</v>
      </c>
      <c r="N17">
        <v>0</v>
      </c>
      <c r="O17">
        <v>0</v>
      </c>
      <c r="P17">
        <v>0</v>
      </c>
      <c r="Q17">
        <v>0</v>
      </c>
      <c r="R17">
        <v>0</v>
      </c>
      <c r="S17">
        <v>0</v>
      </c>
      <c r="T17">
        <v>1</v>
      </c>
      <c r="U17">
        <v>0</v>
      </c>
      <c r="V17">
        <v>0</v>
      </c>
      <c r="W17">
        <v>0</v>
      </c>
      <c r="X17">
        <v>0</v>
      </c>
      <c r="Y17">
        <v>1</v>
      </c>
      <c r="Z17">
        <v>0</v>
      </c>
      <c r="AA17">
        <v>0</v>
      </c>
      <c r="AB17">
        <v>0</v>
      </c>
      <c r="AC17">
        <v>1</v>
      </c>
      <c r="AD17">
        <v>0</v>
      </c>
      <c r="AE17">
        <v>0</v>
      </c>
      <c r="AF17">
        <v>0</v>
      </c>
      <c r="AG17">
        <v>0</v>
      </c>
      <c r="AH17">
        <v>0</v>
      </c>
      <c r="AI17">
        <v>0</v>
      </c>
      <c r="AJ17">
        <v>0</v>
      </c>
      <c r="AK17">
        <v>0</v>
      </c>
      <c r="AL17">
        <v>0</v>
      </c>
      <c r="AM17" t="s">
        <v>53</v>
      </c>
      <c r="AN17">
        <v>0</v>
      </c>
      <c r="AO17">
        <v>2</v>
      </c>
      <c r="AP17">
        <v>0</v>
      </c>
      <c r="AQ17">
        <v>0</v>
      </c>
      <c r="AR17">
        <v>0</v>
      </c>
      <c r="AS17">
        <v>0</v>
      </c>
    </row>
    <row r="18" spans="1:45" x14ac:dyDescent="0.2">
      <c r="A18" t="s">
        <v>100</v>
      </c>
      <c r="B18" s="3">
        <f t="shared" si="0"/>
        <v>45689</v>
      </c>
      <c r="C18" t="s">
        <v>88</v>
      </c>
      <c r="D18" s="1">
        <v>2.1076388888888888E-2</v>
      </c>
      <c r="E18">
        <v>26</v>
      </c>
      <c r="F18" t="s">
        <v>92</v>
      </c>
      <c r="G18" t="s">
        <v>63</v>
      </c>
      <c r="H18" t="s">
        <v>64</v>
      </c>
      <c r="I18" s="2" t="s">
        <v>97</v>
      </c>
      <c r="J18" s="2" t="s">
        <v>50</v>
      </c>
      <c r="K18" s="2" t="s">
        <v>49</v>
      </c>
      <c r="L18" s="2" t="s">
        <v>60</v>
      </c>
      <c r="M18" s="2" t="s">
        <v>52</v>
      </c>
      <c r="N18">
        <v>0</v>
      </c>
      <c r="O18">
        <v>0</v>
      </c>
      <c r="P18">
        <v>0</v>
      </c>
      <c r="Q18">
        <v>0</v>
      </c>
      <c r="R18">
        <v>0</v>
      </c>
      <c r="S18">
        <v>0</v>
      </c>
      <c r="T18">
        <v>1</v>
      </c>
      <c r="U18">
        <v>0</v>
      </c>
      <c r="V18">
        <v>0</v>
      </c>
      <c r="W18">
        <v>0</v>
      </c>
      <c r="X18">
        <v>0</v>
      </c>
      <c r="Y18">
        <v>1</v>
      </c>
      <c r="Z18">
        <v>0</v>
      </c>
      <c r="AA18">
        <v>0</v>
      </c>
      <c r="AB18">
        <v>0</v>
      </c>
      <c r="AC18">
        <v>1</v>
      </c>
      <c r="AD18">
        <v>0</v>
      </c>
      <c r="AE18">
        <v>0</v>
      </c>
      <c r="AF18">
        <v>0</v>
      </c>
      <c r="AG18">
        <v>0</v>
      </c>
      <c r="AH18">
        <v>0</v>
      </c>
      <c r="AI18">
        <v>0</v>
      </c>
      <c r="AJ18">
        <v>0</v>
      </c>
      <c r="AK18">
        <v>0</v>
      </c>
      <c r="AL18">
        <v>0</v>
      </c>
      <c r="AM18" t="s">
        <v>53</v>
      </c>
      <c r="AN18">
        <v>0</v>
      </c>
      <c r="AO18">
        <v>2</v>
      </c>
      <c r="AP18">
        <v>0</v>
      </c>
      <c r="AQ18">
        <v>0</v>
      </c>
      <c r="AR18">
        <v>0</v>
      </c>
      <c r="AS18">
        <v>0</v>
      </c>
    </row>
    <row r="19" spans="1:45" x14ac:dyDescent="0.2">
      <c r="A19" t="s">
        <v>101</v>
      </c>
      <c r="B19" s="3">
        <f t="shared" si="0"/>
        <v>45717</v>
      </c>
      <c r="C19" t="s">
        <v>80</v>
      </c>
      <c r="D19" s="1">
        <v>1.4965277777777777E-2</v>
      </c>
      <c r="E19">
        <v>26</v>
      </c>
      <c r="F19" t="s">
        <v>92</v>
      </c>
      <c r="G19" t="s">
        <v>81</v>
      </c>
      <c r="H19" t="s">
        <v>64</v>
      </c>
      <c r="I19" s="2" t="s">
        <v>97</v>
      </c>
      <c r="J19" s="2" t="s">
        <v>50</v>
      </c>
      <c r="K19" s="2" t="s">
        <v>49</v>
      </c>
      <c r="L19" s="2" t="s">
        <v>49</v>
      </c>
      <c r="M19" s="2" t="s">
        <v>102</v>
      </c>
      <c r="N19">
        <v>0</v>
      </c>
      <c r="O19">
        <v>0</v>
      </c>
      <c r="P19">
        <v>0</v>
      </c>
      <c r="Q19">
        <v>0</v>
      </c>
      <c r="R19">
        <v>0</v>
      </c>
      <c r="S19">
        <v>0</v>
      </c>
      <c r="T19">
        <v>1</v>
      </c>
      <c r="U19">
        <v>0</v>
      </c>
      <c r="V19">
        <v>0</v>
      </c>
      <c r="W19">
        <v>0</v>
      </c>
      <c r="X19">
        <v>0</v>
      </c>
      <c r="Y19">
        <v>1</v>
      </c>
      <c r="Z19">
        <v>0</v>
      </c>
      <c r="AA19">
        <v>0</v>
      </c>
      <c r="AB19">
        <v>0</v>
      </c>
      <c r="AC19">
        <v>1</v>
      </c>
      <c r="AD19">
        <v>0</v>
      </c>
      <c r="AE19">
        <v>0</v>
      </c>
      <c r="AF19">
        <v>0</v>
      </c>
      <c r="AG19">
        <v>0</v>
      </c>
      <c r="AH19">
        <v>0</v>
      </c>
      <c r="AI19">
        <v>0</v>
      </c>
      <c r="AJ19">
        <v>0</v>
      </c>
      <c r="AK19">
        <v>0</v>
      </c>
      <c r="AL19">
        <v>0</v>
      </c>
      <c r="AM19" t="s">
        <v>53</v>
      </c>
      <c r="AN19">
        <v>0</v>
      </c>
      <c r="AO19">
        <v>2</v>
      </c>
      <c r="AP19">
        <v>0</v>
      </c>
      <c r="AQ19">
        <v>0</v>
      </c>
      <c r="AR19">
        <v>0</v>
      </c>
      <c r="AS19">
        <v>0</v>
      </c>
    </row>
    <row r="20" spans="1:45" x14ac:dyDescent="0.2">
      <c r="A20" t="s">
        <v>103</v>
      </c>
      <c r="B20" s="3">
        <f t="shared" si="0"/>
        <v>45717</v>
      </c>
      <c r="C20" t="s">
        <v>55</v>
      </c>
      <c r="D20" s="1">
        <v>2.011574074074074E-2</v>
      </c>
      <c r="E20">
        <v>26</v>
      </c>
      <c r="F20" t="s">
        <v>92</v>
      </c>
      <c r="G20" t="s">
        <v>85</v>
      </c>
      <c r="H20" t="s">
        <v>64</v>
      </c>
      <c r="I20" s="2" t="s">
        <v>75</v>
      </c>
      <c r="J20" s="2" t="s">
        <v>50</v>
      </c>
      <c r="K20" s="2" t="s">
        <v>71</v>
      </c>
      <c r="L20" s="2" t="s">
        <v>66</v>
      </c>
      <c r="M20" s="2" t="s">
        <v>52</v>
      </c>
      <c r="N20">
        <v>0</v>
      </c>
      <c r="O20">
        <v>0</v>
      </c>
      <c r="P20">
        <v>0</v>
      </c>
      <c r="Q20">
        <v>0</v>
      </c>
      <c r="R20">
        <v>0</v>
      </c>
      <c r="S20">
        <v>0</v>
      </c>
      <c r="T20">
        <v>1</v>
      </c>
      <c r="U20">
        <v>0</v>
      </c>
      <c r="V20">
        <v>0</v>
      </c>
      <c r="W20">
        <v>0</v>
      </c>
      <c r="X20">
        <v>0</v>
      </c>
      <c r="Y20">
        <v>1</v>
      </c>
      <c r="Z20">
        <v>0</v>
      </c>
      <c r="AA20">
        <v>0</v>
      </c>
      <c r="AB20">
        <v>0</v>
      </c>
      <c r="AC20">
        <v>1</v>
      </c>
      <c r="AD20">
        <v>0</v>
      </c>
      <c r="AE20">
        <v>0</v>
      </c>
      <c r="AF20">
        <v>0</v>
      </c>
      <c r="AG20">
        <v>0</v>
      </c>
      <c r="AH20">
        <v>0</v>
      </c>
      <c r="AI20">
        <v>0</v>
      </c>
      <c r="AJ20">
        <v>0</v>
      </c>
      <c r="AK20">
        <v>0</v>
      </c>
      <c r="AL20">
        <v>0</v>
      </c>
      <c r="AM20" t="s">
        <v>53</v>
      </c>
      <c r="AN20">
        <v>0</v>
      </c>
      <c r="AO20">
        <v>2</v>
      </c>
      <c r="AP20">
        <v>0</v>
      </c>
      <c r="AQ20">
        <v>0</v>
      </c>
      <c r="AR20">
        <v>0</v>
      </c>
      <c r="AS20">
        <v>0</v>
      </c>
    </row>
    <row r="21" spans="1:45" x14ac:dyDescent="0.2">
      <c r="A21" t="s">
        <v>103</v>
      </c>
      <c r="B21" s="3">
        <f t="shared" si="0"/>
        <v>45717</v>
      </c>
      <c r="C21" t="s">
        <v>55</v>
      </c>
      <c r="D21" s="1">
        <v>1.5914351851851853E-2</v>
      </c>
      <c r="E21">
        <v>26</v>
      </c>
      <c r="F21" t="s">
        <v>92</v>
      </c>
      <c r="G21" t="s">
        <v>74</v>
      </c>
      <c r="H21" t="s">
        <v>64</v>
      </c>
      <c r="I21" s="2" t="s">
        <v>49</v>
      </c>
      <c r="J21" s="2" t="s">
        <v>50</v>
      </c>
      <c r="K21" s="2" t="s">
        <v>49</v>
      </c>
      <c r="L21" s="2" t="s">
        <v>77</v>
      </c>
      <c r="M21" s="2" t="s">
        <v>52</v>
      </c>
      <c r="N21">
        <v>0</v>
      </c>
      <c r="O21">
        <v>0</v>
      </c>
      <c r="P21">
        <v>0</v>
      </c>
      <c r="Q21">
        <v>0</v>
      </c>
      <c r="R21">
        <v>0</v>
      </c>
      <c r="S21">
        <v>0</v>
      </c>
      <c r="T21">
        <v>1</v>
      </c>
      <c r="U21">
        <v>0</v>
      </c>
      <c r="V21">
        <v>0</v>
      </c>
      <c r="W21">
        <v>0</v>
      </c>
      <c r="X21">
        <v>0</v>
      </c>
      <c r="Y21">
        <v>1</v>
      </c>
      <c r="Z21">
        <v>0</v>
      </c>
      <c r="AA21">
        <v>0</v>
      </c>
      <c r="AB21">
        <v>0</v>
      </c>
      <c r="AC21">
        <v>1</v>
      </c>
      <c r="AD21">
        <v>0</v>
      </c>
      <c r="AE21">
        <v>0</v>
      </c>
      <c r="AF21">
        <v>0</v>
      </c>
      <c r="AG21">
        <v>0</v>
      </c>
      <c r="AH21">
        <v>0</v>
      </c>
      <c r="AI21">
        <v>0</v>
      </c>
      <c r="AJ21">
        <v>0</v>
      </c>
      <c r="AK21">
        <v>0</v>
      </c>
      <c r="AL21">
        <v>0</v>
      </c>
      <c r="AM21" t="s">
        <v>53</v>
      </c>
      <c r="AN21">
        <v>0</v>
      </c>
      <c r="AO21">
        <v>2</v>
      </c>
      <c r="AP21">
        <v>0</v>
      </c>
      <c r="AQ21">
        <v>0</v>
      </c>
      <c r="AR21">
        <v>0</v>
      </c>
      <c r="AS21">
        <v>0</v>
      </c>
    </row>
    <row r="22" spans="1:45" x14ac:dyDescent="0.2">
      <c r="A22" t="s">
        <v>104</v>
      </c>
      <c r="B22" s="3">
        <f t="shared" si="0"/>
        <v>45717</v>
      </c>
      <c r="C22" t="s">
        <v>80</v>
      </c>
      <c r="D22" s="1">
        <v>1.5868055555555555E-2</v>
      </c>
      <c r="E22">
        <v>26</v>
      </c>
      <c r="F22" t="s">
        <v>92</v>
      </c>
      <c r="G22" t="s">
        <v>105</v>
      </c>
      <c r="H22" t="s">
        <v>64</v>
      </c>
      <c r="I22" s="2" t="s">
        <v>65</v>
      </c>
      <c r="J22" s="2" t="s">
        <v>50</v>
      </c>
      <c r="K22" s="2" t="s">
        <v>49</v>
      </c>
      <c r="L22" s="2" t="s">
        <v>66</v>
      </c>
      <c r="M22" s="2" t="s">
        <v>61</v>
      </c>
      <c r="N22">
        <v>0</v>
      </c>
      <c r="O22">
        <v>0</v>
      </c>
      <c r="P22">
        <v>0</v>
      </c>
      <c r="Q22">
        <v>0</v>
      </c>
      <c r="R22">
        <v>0</v>
      </c>
      <c r="S22">
        <v>0</v>
      </c>
      <c r="T22">
        <v>1</v>
      </c>
      <c r="U22">
        <v>0</v>
      </c>
      <c r="V22">
        <v>0</v>
      </c>
      <c r="W22">
        <v>0</v>
      </c>
      <c r="X22">
        <v>0</v>
      </c>
      <c r="Y22">
        <v>1</v>
      </c>
      <c r="Z22">
        <v>0</v>
      </c>
      <c r="AA22">
        <v>0</v>
      </c>
      <c r="AB22">
        <v>0</v>
      </c>
      <c r="AC22">
        <v>1</v>
      </c>
      <c r="AD22">
        <v>0</v>
      </c>
      <c r="AE22">
        <v>0</v>
      </c>
      <c r="AF22">
        <v>0</v>
      </c>
      <c r="AG22">
        <v>0</v>
      </c>
      <c r="AH22">
        <v>0</v>
      </c>
      <c r="AI22">
        <v>0</v>
      </c>
      <c r="AJ22">
        <v>0</v>
      </c>
      <c r="AK22">
        <v>0</v>
      </c>
      <c r="AL22">
        <v>0</v>
      </c>
      <c r="AM22" t="s">
        <v>53</v>
      </c>
      <c r="AN22">
        <v>0</v>
      </c>
      <c r="AO22">
        <v>2</v>
      </c>
      <c r="AP22">
        <v>0</v>
      </c>
      <c r="AQ22">
        <v>0</v>
      </c>
      <c r="AR22">
        <v>0</v>
      </c>
      <c r="AS22">
        <v>0</v>
      </c>
    </row>
    <row r="23" spans="1:45" x14ac:dyDescent="0.2">
      <c r="A23" t="s">
        <v>106</v>
      </c>
      <c r="B23" s="3">
        <f t="shared" si="0"/>
        <v>45717</v>
      </c>
      <c r="C23" t="s">
        <v>68</v>
      </c>
      <c r="D23" s="1">
        <v>1.1550925925925926E-2</v>
      </c>
      <c r="E23">
        <v>17</v>
      </c>
      <c r="F23" t="s">
        <v>89</v>
      </c>
      <c r="G23" t="s">
        <v>70</v>
      </c>
      <c r="H23" t="s">
        <v>64</v>
      </c>
      <c r="I23" s="2" t="s">
        <v>65</v>
      </c>
      <c r="J23" s="2" t="s">
        <v>50</v>
      </c>
      <c r="K23" s="2" t="s">
        <v>49</v>
      </c>
      <c r="L23" s="2" t="s">
        <v>51</v>
      </c>
      <c r="M23" s="2" t="s">
        <v>52</v>
      </c>
      <c r="N23">
        <v>0</v>
      </c>
      <c r="O23">
        <v>0</v>
      </c>
      <c r="P23">
        <v>0</v>
      </c>
      <c r="Q23">
        <v>0</v>
      </c>
      <c r="R23">
        <v>1</v>
      </c>
      <c r="S23">
        <v>0</v>
      </c>
      <c r="T23">
        <v>1</v>
      </c>
      <c r="U23">
        <v>0</v>
      </c>
      <c r="V23">
        <v>0</v>
      </c>
      <c r="W23">
        <v>0</v>
      </c>
      <c r="X23">
        <v>0</v>
      </c>
      <c r="Y23">
        <v>1</v>
      </c>
      <c r="Z23">
        <v>0</v>
      </c>
      <c r="AA23">
        <v>0</v>
      </c>
      <c r="AB23">
        <v>0</v>
      </c>
      <c r="AC23">
        <v>0</v>
      </c>
      <c r="AD23">
        <v>0</v>
      </c>
      <c r="AE23">
        <v>0</v>
      </c>
      <c r="AF23">
        <v>0</v>
      </c>
      <c r="AG23">
        <v>0</v>
      </c>
      <c r="AH23">
        <v>0</v>
      </c>
      <c r="AI23">
        <v>0</v>
      </c>
      <c r="AJ23">
        <v>0</v>
      </c>
      <c r="AK23">
        <v>0</v>
      </c>
      <c r="AL23">
        <v>0</v>
      </c>
      <c r="AM23" t="s">
        <v>53</v>
      </c>
      <c r="AN23">
        <v>0</v>
      </c>
      <c r="AO23">
        <v>2</v>
      </c>
      <c r="AP23">
        <v>0</v>
      </c>
      <c r="AQ23">
        <v>0</v>
      </c>
      <c r="AR23">
        <v>1</v>
      </c>
      <c r="AS23">
        <v>0</v>
      </c>
    </row>
    <row r="24" spans="1:45" x14ac:dyDescent="0.2">
      <c r="A24" t="s">
        <v>107</v>
      </c>
      <c r="B24" s="3">
        <f t="shared" si="0"/>
        <v>45748</v>
      </c>
      <c r="C24" t="s">
        <v>55</v>
      </c>
      <c r="D24" s="1">
        <v>1.7372685185185185E-2</v>
      </c>
      <c r="E24">
        <v>8</v>
      </c>
      <c r="F24" t="s">
        <v>69</v>
      </c>
      <c r="G24" t="s">
        <v>57</v>
      </c>
      <c r="H24" t="s">
        <v>48</v>
      </c>
      <c r="I24" s="2" t="s">
        <v>49</v>
      </c>
      <c r="J24" s="2" t="s">
        <v>50</v>
      </c>
      <c r="K24" s="2" t="s">
        <v>59</v>
      </c>
      <c r="L24" s="2" t="s">
        <v>90</v>
      </c>
      <c r="M24" s="2" t="s">
        <v>61</v>
      </c>
      <c r="N24">
        <v>0</v>
      </c>
      <c r="O24">
        <v>0</v>
      </c>
      <c r="P24">
        <v>0</v>
      </c>
      <c r="Q24">
        <v>0</v>
      </c>
      <c r="R24">
        <v>0</v>
      </c>
      <c r="S24">
        <v>0</v>
      </c>
      <c r="T24">
        <v>0</v>
      </c>
      <c r="U24">
        <v>1</v>
      </c>
      <c r="V24">
        <v>0</v>
      </c>
      <c r="W24">
        <v>0</v>
      </c>
      <c r="X24">
        <v>0</v>
      </c>
      <c r="Y24">
        <v>0</v>
      </c>
      <c r="Z24">
        <v>1</v>
      </c>
      <c r="AA24">
        <v>0</v>
      </c>
      <c r="AB24">
        <v>0</v>
      </c>
      <c r="AC24">
        <v>0</v>
      </c>
      <c r="AD24">
        <v>0</v>
      </c>
      <c r="AE24">
        <v>0</v>
      </c>
      <c r="AF24">
        <v>0</v>
      </c>
      <c r="AG24">
        <v>0</v>
      </c>
      <c r="AH24">
        <v>0</v>
      </c>
      <c r="AI24">
        <v>0</v>
      </c>
      <c r="AJ24">
        <v>0</v>
      </c>
      <c r="AK24">
        <v>1</v>
      </c>
      <c r="AL24">
        <v>0</v>
      </c>
      <c r="AM24" t="s">
        <v>53</v>
      </c>
      <c r="AN24">
        <v>0</v>
      </c>
      <c r="AO24">
        <v>1</v>
      </c>
      <c r="AP24">
        <v>2</v>
      </c>
      <c r="AQ24">
        <v>0</v>
      </c>
      <c r="AR24">
        <v>0</v>
      </c>
      <c r="AS24">
        <v>1</v>
      </c>
    </row>
    <row r="25" spans="1:45" x14ac:dyDescent="0.2">
      <c r="A25" t="s">
        <v>107</v>
      </c>
      <c r="B25" s="3">
        <f t="shared" si="0"/>
        <v>45748</v>
      </c>
      <c r="C25" t="s">
        <v>55</v>
      </c>
      <c r="D25" s="1">
        <v>1.7465277777777777E-2</v>
      </c>
      <c r="E25">
        <v>17</v>
      </c>
      <c r="F25" t="s">
        <v>89</v>
      </c>
      <c r="G25" t="s">
        <v>74</v>
      </c>
      <c r="H25" t="s">
        <v>64</v>
      </c>
      <c r="I25" s="2" t="s">
        <v>76</v>
      </c>
      <c r="J25" s="2" t="s">
        <v>50</v>
      </c>
      <c r="K25" s="2" t="s">
        <v>59</v>
      </c>
      <c r="L25" s="2" t="s">
        <v>77</v>
      </c>
      <c r="M25" s="2" t="s">
        <v>108</v>
      </c>
      <c r="N25">
        <v>0</v>
      </c>
      <c r="O25">
        <v>0</v>
      </c>
      <c r="P25">
        <v>0</v>
      </c>
      <c r="Q25">
        <v>0</v>
      </c>
      <c r="R25">
        <v>1</v>
      </c>
      <c r="S25">
        <v>0</v>
      </c>
      <c r="T25">
        <v>1</v>
      </c>
      <c r="U25">
        <v>0</v>
      </c>
      <c r="V25">
        <v>0</v>
      </c>
      <c r="W25">
        <v>0</v>
      </c>
      <c r="X25">
        <v>0</v>
      </c>
      <c r="Y25">
        <v>1</v>
      </c>
      <c r="Z25">
        <v>0</v>
      </c>
      <c r="AA25">
        <v>0</v>
      </c>
      <c r="AB25">
        <v>0</v>
      </c>
      <c r="AC25">
        <v>0</v>
      </c>
      <c r="AD25">
        <v>0</v>
      </c>
      <c r="AE25">
        <v>0</v>
      </c>
      <c r="AF25">
        <v>0</v>
      </c>
      <c r="AG25">
        <v>0</v>
      </c>
      <c r="AH25">
        <v>0</v>
      </c>
      <c r="AI25">
        <v>0</v>
      </c>
      <c r="AJ25">
        <v>0</v>
      </c>
      <c r="AK25">
        <v>0</v>
      </c>
      <c r="AL25">
        <v>0</v>
      </c>
      <c r="AM25" t="s">
        <v>53</v>
      </c>
      <c r="AN25">
        <v>0</v>
      </c>
      <c r="AO25">
        <v>2</v>
      </c>
      <c r="AP25">
        <v>0</v>
      </c>
      <c r="AQ25">
        <v>0</v>
      </c>
      <c r="AR25">
        <v>1</v>
      </c>
      <c r="AS25">
        <v>0</v>
      </c>
    </row>
    <row r="26" spans="1:45" x14ac:dyDescent="0.2">
      <c r="A26" t="s">
        <v>109</v>
      </c>
      <c r="B26" s="3">
        <f t="shared" si="0"/>
        <v>45748</v>
      </c>
      <c r="C26" t="s">
        <v>88</v>
      </c>
      <c r="D26" s="1">
        <v>1.3726851851851851E-2</v>
      </c>
      <c r="E26">
        <v>9</v>
      </c>
      <c r="F26" t="s">
        <v>110</v>
      </c>
      <c r="G26" t="s">
        <v>63</v>
      </c>
      <c r="H26" t="s">
        <v>64</v>
      </c>
      <c r="I26" s="2" t="s">
        <v>65</v>
      </c>
      <c r="J26" s="2" t="s">
        <v>50</v>
      </c>
      <c r="K26" s="2" t="s">
        <v>49</v>
      </c>
      <c r="L26" s="2" t="s">
        <v>60</v>
      </c>
      <c r="M26" s="2" t="s">
        <v>61</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t="s">
        <v>53</v>
      </c>
      <c r="AN26">
        <v>0</v>
      </c>
      <c r="AO26">
        <v>0</v>
      </c>
      <c r="AP26">
        <v>0</v>
      </c>
      <c r="AQ26">
        <v>0</v>
      </c>
      <c r="AR26">
        <v>0</v>
      </c>
      <c r="AS26">
        <v>0</v>
      </c>
    </row>
    <row r="27" spans="1:45" x14ac:dyDescent="0.2">
      <c r="A27" t="s">
        <v>111</v>
      </c>
      <c r="B27" s="3">
        <f t="shared" si="0"/>
        <v>45748</v>
      </c>
      <c r="C27" t="s">
        <v>55</v>
      </c>
      <c r="D27" s="1">
        <v>1.5497685185185186E-2</v>
      </c>
      <c r="E27">
        <v>17</v>
      </c>
      <c r="F27" t="s">
        <v>89</v>
      </c>
      <c r="G27" t="s">
        <v>85</v>
      </c>
      <c r="H27" t="s">
        <v>64</v>
      </c>
      <c r="I27" s="2" t="s">
        <v>49</v>
      </c>
      <c r="J27" s="2" t="s">
        <v>50</v>
      </c>
      <c r="K27" s="2" t="s">
        <v>71</v>
      </c>
      <c r="L27" s="2" t="s">
        <v>60</v>
      </c>
      <c r="M27" s="2" t="s">
        <v>52</v>
      </c>
      <c r="N27">
        <v>0</v>
      </c>
      <c r="O27">
        <v>0</v>
      </c>
      <c r="P27">
        <v>0</v>
      </c>
      <c r="Q27">
        <v>0</v>
      </c>
      <c r="R27">
        <v>1</v>
      </c>
      <c r="S27">
        <v>0</v>
      </c>
      <c r="T27">
        <v>1</v>
      </c>
      <c r="U27">
        <v>0</v>
      </c>
      <c r="V27">
        <v>0</v>
      </c>
      <c r="W27">
        <v>0</v>
      </c>
      <c r="X27">
        <v>0</v>
      </c>
      <c r="Y27">
        <v>1</v>
      </c>
      <c r="Z27">
        <v>0</v>
      </c>
      <c r="AA27">
        <v>0</v>
      </c>
      <c r="AB27">
        <v>0</v>
      </c>
      <c r="AC27">
        <v>0</v>
      </c>
      <c r="AD27">
        <v>0</v>
      </c>
      <c r="AE27">
        <v>0</v>
      </c>
      <c r="AF27">
        <v>0</v>
      </c>
      <c r="AG27">
        <v>0</v>
      </c>
      <c r="AH27">
        <v>0</v>
      </c>
      <c r="AI27">
        <v>0</v>
      </c>
      <c r="AJ27">
        <v>0</v>
      </c>
      <c r="AK27">
        <v>0</v>
      </c>
      <c r="AL27">
        <v>0</v>
      </c>
      <c r="AM27" t="s">
        <v>53</v>
      </c>
      <c r="AN27">
        <v>0</v>
      </c>
      <c r="AO27">
        <v>2</v>
      </c>
      <c r="AP27">
        <v>0</v>
      </c>
      <c r="AQ27">
        <v>0</v>
      </c>
      <c r="AR27">
        <v>1</v>
      </c>
      <c r="AS27">
        <v>0</v>
      </c>
    </row>
    <row r="28" spans="1:45" x14ac:dyDescent="0.2">
      <c r="A28" t="s">
        <v>112</v>
      </c>
      <c r="B28" s="3">
        <f t="shared" si="0"/>
        <v>45748</v>
      </c>
      <c r="C28" t="s">
        <v>68</v>
      </c>
      <c r="D28" s="1">
        <v>1.3900462962962963E-2</v>
      </c>
      <c r="E28">
        <v>9</v>
      </c>
      <c r="F28" t="s">
        <v>110</v>
      </c>
      <c r="G28" t="s">
        <v>70</v>
      </c>
      <c r="H28" t="s">
        <v>48</v>
      </c>
      <c r="I28" s="2" t="s">
        <v>75</v>
      </c>
      <c r="J28" s="2" t="s">
        <v>50</v>
      </c>
      <c r="K28" s="2" t="s">
        <v>59</v>
      </c>
      <c r="L28" s="2" t="s">
        <v>77</v>
      </c>
      <c r="M28" s="2" t="s">
        <v>108</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t="s">
        <v>53</v>
      </c>
      <c r="AN28">
        <v>0</v>
      </c>
      <c r="AO28">
        <v>0</v>
      </c>
      <c r="AP28">
        <v>0</v>
      </c>
      <c r="AQ28">
        <v>0</v>
      </c>
      <c r="AR28">
        <v>0</v>
      </c>
      <c r="AS28">
        <v>0</v>
      </c>
    </row>
    <row r="29" spans="1:45" x14ac:dyDescent="0.2">
      <c r="A29" t="s">
        <v>113</v>
      </c>
      <c r="B29" s="3">
        <f t="shared" si="0"/>
        <v>45748</v>
      </c>
      <c r="C29" t="s">
        <v>80</v>
      </c>
      <c r="D29" s="1">
        <v>9.9421296296296289E-3</v>
      </c>
      <c r="E29">
        <v>14</v>
      </c>
      <c r="F29" t="s">
        <v>114</v>
      </c>
      <c r="G29" t="s">
        <v>105</v>
      </c>
      <c r="H29" t="s">
        <v>64</v>
      </c>
      <c r="I29" s="2" t="s">
        <v>49</v>
      </c>
      <c r="J29" s="2" t="s">
        <v>50</v>
      </c>
      <c r="K29" s="2" t="s">
        <v>49</v>
      </c>
      <c r="L29" s="2" t="s">
        <v>49</v>
      </c>
      <c r="M29" s="2" t="s">
        <v>78</v>
      </c>
      <c r="N29">
        <v>0</v>
      </c>
      <c r="O29">
        <v>0</v>
      </c>
      <c r="P29">
        <v>0</v>
      </c>
      <c r="Q29">
        <v>0</v>
      </c>
      <c r="R29">
        <v>0</v>
      </c>
      <c r="S29">
        <v>0</v>
      </c>
      <c r="T29">
        <v>0</v>
      </c>
      <c r="U29">
        <v>0</v>
      </c>
      <c r="V29">
        <v>1</v>
      </c>
      <c r="W29">
        <v>1</v>
      </c>
      <c r="X29">
        <v>0</v>
      </c>
      <c r="Y29">
        <v>0</v>
      </c>
      <c r="Z29">
        <v>0</v>
      </c>
      <c r="AA29">
        <v>0</v>
      </c>
      <c r="AB29">
        <v>1</v>
      </c>
      <c r="AC29">
        <v>0</v>
      </c>
      <c r="AD29">
        <v>0</v>
      </c>
      <c r="AE29">
        <v>0</v>
      </c>
      <c r="AF29">
        <v>0</v>
      </c>
      <c r="AG29">
        <v>0</v>
      </c>
      <c r="AH29">
        <v>0</v>
      </c>
      <c r="AI29">
        <v>0</v>
      </c>
      <c r="AJ29">
        <v>0</v>
      </c>
      <c r="AK29">
        <v>0</v>
      </c>
      <c r="AL29">
        <v>0</v>
      </c>
      <c r="AM29" t="s">
        <v>53</v>
      </c>
      <c r="AN29">
        <v>1</v>
      </c>
      <c r="AO29">
        <v>2</v>
      </c>
      <c r="AP29">
        <v>1</v>
      </c>
      <c r="AQ29">
        <v>1</v>
      </c>
      <c r="AR29">
        <v>2</v>
      </c>
      <c r="AS29">
        <v>1</v>
      </c>
    </row>
    <row r="30" spans="1:45" x14ac:dyDescent="0.2">
      <c r="A30" t="s">
        <v>115</v>
      </c>
      <c r="B30" s="3">
        <f t="shared" si="0"/>
        <v>45748</v>
      </c>
      <c r="C30" t="s">
        <v>55</v>
      </c>
      <c r="D30" s="1">
        <v>1.2858796296296297E-2</v>
      </c>
      <c r="E30">
        <v>9</v>
      </c>
      <c r="F30" t="s">
        <v>110</v>
      </c>
      <c r="G30" t="s">
        <v>85</v>
      </c>
      <c r="H30" t="s">
        <v>64</v>
      </c>
      <c r="I30" s="2" t="s">
        <v>116</v>
      </c>
      <c r="J30" s="2" t="s">
        <v>50</v>
      </c>
      <c r="K30" s="2" t="s">
        <v>49</v>
      </c>
      <c r="L30" s="2" t="s">
        <v>51</v>
      </c>
      <c r="M30" s="2" t="s">
        <v>78</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t="s">
        <v>53</v>
      </c>
      <c r="AN30">
        <v>0</v>
      </c>
      <c r="AO30">
        <v>0</v>
      </c>
      <c r="AP30">
        <v>0</v>
      </c>
      <c r="AQ30">
        <v>0</v>
      </c>
      <c r="AR30">
        <v>0</v>
      </c>
      <c r="AS30">
        <v>0</v>
      </c>
    </row>
    <row r="31" spans="1:45" x14ac:dyDescent="0.2">
      <c r="A31" t="s">
        <v>117</v>
      </c>
      <c r="B31" s="3">
        <f t="shared" si="0"/>
        <v>45748</v>
      </c>
      <c r="C31" t="s">
        <v>68</v>
      </c>
      <c r="D31" s="1">
        <v>1.8194444444444444E-2</v>
      </c>
      <c r="E31">
        <v>19</v>
      </c>
      <c r="F31" t="s">
        <v>118</v>
      </c>
      <c r="G31" t="s">
        <v>70</v>
      </c>
      <c r="H31" t="s">
        <v>64</v>
      </c>
      <c r="I31" s="2" t="s">
        <v>49</v>
      </c>
      <c r="J31" s="2" t="s">
        <v>50</v>
      </c>
      <c r="K31" s="2" t="s">
        <v>71</v>
      </c>
      <c r="L31" s="2" t="s">
        <v>51</v>
      </c>
      <c r="M31" s="2" t="s">
        <v>61</v>
      </c>
      <c r="N31">
        <v>0</v>
      </c>
      <c r="O31">
        <v>0</v>
      </c>
      <c r="P31">
        <v>0</v>
      </c>
      <c r="Q31">
        <v>0</v>
      </c>
      <c r="R31">
        <v>0</v>
      </c>
      <c r="S31">
        <v>0</v>
      </c>
      <c r="T31">
        <v>1</v>
      </c>
      <c r="U31">
        <v>1</v>
      </c>
      <c r="V31">
        <v>0</v>
      </c>
      <c r="W31">
        <v>0</v>
      </c>
      <c r="X31">
        <v>0</v>
      </c>
      <c r="Y31">
        <v>0</v>
      </c>
      <c r="Z31">
        <v>0</v>
      </c>
      <c r="AA31">
        <v>0</v>
      </c>
      <c r="AB31">
        <v>1</v>
      </c>
      <c r="AC31">
        <v>0</v>
      </c>
      <c r="AD31">
        <v>0</v>
      </c>
      <c r="AE31">
        <v>0</v>
      </c>
      <c r="AF31">
        <v>0</v>
      </c>
      <c r="AG31">
        <v>0</v>
      </c>
      <c r="AH31">
        <v>0</v>
      </c>
      <c r="AI31">
        <v>0</v>
      </c>
      <c r="AJ31">
        <v>0</v>
      </c>
      <c r="AK31">
        <v>0</v>
      </c>
      <c r="AL31">
        <v>0</v>
      </c>
      <c r="AM31" t="s">
        <v>53</v>
      </c>
      <c r="AN31">
        <v>1</v>
      </c>
      <c r="AO31">
        <v>3</v>
      </c>
      <c r="AP31">
        <v>1</v>
      </c>
      <c r="AQ31">
        <v>1</v>
      </c>
      <c r="AR31">
        <v>1</v>
      </c>
      <c r="AS31">
        <v>1</v>
      </c>
    </row>
    <row r="32" spans="1:45" x14ac:dyDescent="0.2">
      <c r="A32" t="s">
        <v>119</v>
      </c>
      <c r="B32" s="3">
        <f t="shared" si="0"/>
        <v>45748</v>
      </c>
      <c r="C32" t="s">
        <v>80</v>
      </c>
      <c r="D32" s="1">
        <v>1.1180555555555555E-2</v>
      </c>
      <c r="E32">
        <v>17</v>
      </c>
      <c r="F32" t="s">
        <v>89</v>
      </c>
      <c r="G32" t="s">
        <v>81</v>
      </c>
      <c r="H32" t="s">
        <v>64</v>
      </c>
      <c r="I32" s="2" t="s">
        <v>75</v>
      </c>
      <c r="J32" s="2" t="s">
        <v>50</v>
      </c>
      <c r="K32" s="2" t="s">
        <v>71</v>
      </c>
      <c r="L32" s="2" t="s">
        <v>120</v>
      </c>
      <c r="M32" s="2" t="s">
        <v>102</v>
      </c>
      <c r="N32">
        <v>0</v>
      </c>
      <c r="O32">
        <v>0</v>
      </c>
      <c r="P32">
        <v>0</v>
      </c>
      <c r="Q32">
        <v>0</v>
      </c>
      <c r="R32">
        <v>1</v>
      </c>
      <c r="S32">
        <v>0</v>
      </c>
      <c r="T32">
        <v>1</v>
      </c>
      <c r="U32">
        <v>0</v>
      </c>
      <c r="V32">
        <v>0</v>
      </c>
      <c r="W32">
        <v>0</v>
      </c>
      <c r="X32">
        <v>0</v>
      </c>
      <c r="Y32">
        <v>1</v>
      </c>
      <c r="Z32">
        <v>0</v>
      </c>
      <c r="AA32">
        <v>0</v>
      </c>
      <c r="AB32">
        <v>0</v>
      </c>
      <c r="AC32">
        <v>0</v>
      </c>
      <c r="AD32">
        <v>0</v>
      </c>
      <c r="AE32">
        <v>0</v>
      </c>
      <c r="AF32">
        <v>0</v>
      </c>
      <c r="AG32">
        <v>0</v>
      </c>
      <c r="AH32">
        <v>0</v>
      </c>
      <c r="AI32">
        <v>0</v>
      </c>
      <c r="AJ32">
        <v>0</v>
      </c>
      <c r="AK32">
        <v>0</v>
      </c>
      <c r="AL32">
        <v>0</v>
      </c>
      <c r="AM32" t="s">
        <v>53</v>
      </c>
      <c r="AN32">
        <v>0</v>
      </c>
      <c r="AO32">
        <v>2</v>
      </c>
      <c r="AP32">
        <v>0</v>
      </c>
      <c r="AQ32">
        <v>0</v>
      </c>
      <c r="AR32">
        <v>1</v>
      </c>
      <c r="AS32">
        <v>0</v>
      </c>
    </row>
    <row r="33" spans="1:45" x14ac:dyDescent="0.2">
      <c r="A33" t="s">
        <v>121</v>
      </c>
      <c r="B33" s="3">
        <f t="shared" si="0"/>
        <v>45778</v>
      </c>
      <c r="C33" t="s">
        <v>55</v>
      </c>
      <c r="D33" s="1">
        <v>1.7372685185185185E-2</v>
      </c>
      <c r="E33">
        <v>18</v>
      </c>
      <c r="F33" t="s">
        <v>62</v>
      </c>
      <c r="G33" t="s">
        <v>74</v>
      </c>
      <c r="H33" t="s">
        <v>48</v>
      </c>
      <c r="I33">
        <v>0</v>
      </c>
      <c r="J33" s="2" t="s">
        <v>59</v>
      </c>
      <c r="K33" s="2" t="s">
        <v>76</v>
      </c>
      <c r="L33" s="2" t="s">
        <v>122</v>
      </c>
      <c r="M33">
        <v>0</v>
      </c>
      <c r="N33">
        <v>0</v>
      </c>
      <c r="O33">
        <v>0</v>
      </c>
      <c r="P33">
        <v>0</v>
      </c>
      <c r="Q33">
        <v>0</v>
      </c>
      <c r="R33">
        <v>1</v>
      </c>
      <c r="S33">
        <v>0</v>
      </c>
      <c r="T33">
        <v>1</v>
      </c>
      <c r="U33">
        <v>1</v>
      </c>
      <c r="V33">
        <v>0</v>
      </c>
      <c r="W33">
        <v>0</v>
      </c>
      <c r="X33">
        <v>0</v>
      </c>
      <c r="Y33">
        <v>1</v>
      </c>
      <c r="Z33">
        <v>0</v>
      </c>
      <c r="AA33">
        <v>0</v>
      </c>
      <c r="AB33">
        <v>0</v>
      </c>
      <c r="AC33">
        <v>0</v>
      </c>
      <c r="AD33">
        <v>0</v>
      </c>
      <c r="AE33">
        <v>0</v>
      </c>
      <c r="AF33">
        <v>0</v>
      </c>
      <c r="AG33">
        <v>0</v>
      </c>
      <c r="AH33">
        <v>0</v>
      </c>
      <c r="AI33">
        <v>0</v>
      </c>
      <c r="AJ33">
        <v>0</v>
      </c>
      <c r="AK33">
        <v>1</v>
      </c>
      <c r="AL33">
        <v>0</v>
      </c>
      <c r="AM33" t="s">
        <v>53</v>
      </c>
      <c r="AN33">
        <v>0</v>
      </c>
      <c r="AO33">
        <v>3</v>
      </c>
      <c r="AP33">
        <v>1</v>
      </c>
      <c r="AQ33">
        <v>0</v>
      </c>
      <c r="AR33">
        <v>1</v>
      </c>
      <c r="AS33">
        <v>1</v>
      </c>
    </row>
    <row r="34" spans="1:45" x14ac:dyDescent="0.2">
      <c r="A34" t="s">
        <v>123</v>
      </c>
      <c r="B34" s="3">
        <f t="shared" si="0"/>
        <v>45778</v>
      </c>
      <c r="C34" t="s">
        <v>88</v>
      </c>
      <c r="D34" s="1">
        <v>1.3912037037037037E-2</v>
      </c>
      <c r="E34">
        <v>5</v>
      </c>
      <c r="F34" t="s">
        <v>124</v>
      </c>
      <c r="G34" t="s">
        <v>63</v>
      </c>
      <c r="H34" t="s">
        <v>48</v>
      </c>
      <c r="I34" s="2" t="s">
        <v>49</v>
      </c>
      <c r="J34" s="2" t="s">
        <v>50</v>
      </c>
      <c r="K34" s="2" t="s">
        <v>50</v>
      </c>
      <c r="L34" s="2" t="s">
        <v>66</v>
      </c>
      <c r="M34" s="2" t="s">
        <v>52</v>
      </c>
      <c r="N34">
        <v>0</v>
      </c>
      <c r="O34">
        <v>0</v>
      </c>
      <c r="P34">
        <v>1</v>
      </c>
      <c r="Q34">
        <v>0</v>
      </c>
      <c r="R34">
        <v>0</v>
      </c>
      <c r="S34">
        <v>0</v>
      </c>
      <c r="T34">
        <v>0</v>
      </c>
      <c r="U34">
        <v>0</v>
      </c>
      <c r="V34">
        <v>0</v>
      </c>
      <c r="W34">
        <v>0</v>
      </c>
      <c r="X34">
        <v>0</v>
      </c>
      <c r="Y34">
        <v>1</v>
      </c>
      <c r="Z34">
        <v>0</v>
      </c>
      <c r="AA34">
        <v>0</v>
      </c>
      <c r="AB34">
        <v>0</v>
      </c>
      <c r="AC34">
        <v>0</v>
      </c>
      <c r="AD34">
        <v>0</v>
      </c>
      <c r="AE34">
        <v>0</v>
      </c>
      <c r="AF34">
        <v>0</v>
      </c>
      <c r="AG34">
        <v>0</v>
      </c>
      <c r="AH34">
        <v>0</v>
      </c>
      <c r="AI34">
        <v>0</v>
      </c>
      <c r="AJ34">
        <v>0</v>
      </c>
      <c r="AK34">
        <v>0</v>
      </c>
      <c r="AL34">
        <v>0</v>
      </c>
      <c r="AM34" t="s">
        <v>53</v>
      </c>
      <c r="AN34">
        <v>0</v>
      </c>
      <c r="AO34">
        <v>1</v>
      </c>
      <c r="AP34">
        <v>1</v>
      </c>
      <c r="AQ34">
        <v>0</v>
      </c>
      <c r="AR34">
        <v>0</v>
      </c>
      <c r="AS34">
        <v>0</v>
      </c>
    </row>
    <row r="35" spans="1:45" x14ac:dyDescent="0.2">
      <c r="A35" t="s">
        <v>125</v>
      </c>
      <c r="B35" s="3">
        <f t="shared" si="0"/>
        <v>45778</v>
      </c>
      <c r="C35" t="s">
        <v>80</v>
      </c>
      <c r="D35" s="1">
        <v>1.4166666666666666E-2</v>
      </c>
      <c r="E35">
        <v>18</v>
      </c>
      <c r="F35" t="s">
        <v>62</v>
      </c>
      <c r="G35" t="s">
        <v>105</v>
      </c>
      <c r="H35" t="s">
        <v>64</v>
      </c>
      <c r="I35" s="2" t="s">
        <v>116</v>
      </c>
      <c r="J35" s="2" t="s">
        <v>50</v>
      </c>
      <c r="K35" s="2" t="s">
        <v>71</v>
      </c>
      <c r="L35" s="2" t="s">
        <v>60</v>
      </c>
      <c r="M35" s="2" t="s">
        <v>126</v>
      </c>
      <c r="N35">
        <v>0</v>
      </c>
      <c r="O35">
        <v>0</v>
      </c>
      <c r="P35">
        <v>0</v>
      </c>
      <c r="Q35">
        <v>0</v>
      </c>
      <c r="R35">
        <v>1</v>
      </c>
      <c r="S35">
        <v>0</v>
      </c>
      <c r="T35">
        <v>1</v>
      </c>
      <c r="U35">
        <v>1</v>
      </c>
      <c r="V35">
        <v>0</v>
      </c>
      <c r="W35">
        <v>0</v>
      </c>
      <c r="X35">
        <v>0</v>
      </c>
      <c r="Y35">
        <v>1</v>
      </c>
      <c r="Z35">
        <v>0</v>
      </c>
      <c r="AA35">
        <v>0</v>
      </c>
      <c r="AB35">
        <v>0</v>
      </c>
      <c r="AC35">
        <v>0</v>
      </c>
      <c r="AD35">
        <v>0</v>
      </c>
      <c r="AE35">
        <v>0</v>
      </c>
      <c r="AF35">
        <v>0</v>
      </c>
      <c r="AG35">
        <v>0</v>
      </c>
      <c r="AH35">
        <v>0</v>
      </c>
      <c r="AI35">
        <v>0</v>
      </c>
      <c r="AJ35">
        <v>0</v>
      </c>
      <c r="AK35">
        <v>1</v>
      </c>
      <c r="AL35">
        <v>0</v>
      </c>
      <c r="AM35" t="s">
        <v>53</v>
      </c>
      <c r="AN35">
        <v>0</v>
      </c>
      <c r="AO35">
        <v>3</v>
      </c>
      <c r="AP35">
        <v>1</v>
      </c>
      <c r="AQ35">
        <v>0</v>
      </c>
      <c r="AR35">
        <v>1</v>
      </c>
      <c r="AS35">
        <v>1</v>
      </c>
    </row>
    <row r="36" spans="1:45" x14ac:dyDescent="0.2">
      <c r="A36" t="s">
        <v>127</v>
      </c>
      <c r="B36" s="3">
        <f t="shared" si="0"/>
        <v>45778</v>
      </c>
      <c r="C36" t="s">
        <v>55</v>
      </c>
      <c r="D36" s="1">
        <v>1.7384259259259259E-2</v>
      </c>
      <c r="E36">
        <v>18</v>
      </c>
      <c r="F36" t="s">
        <v>62</v>
      </c>
      <c r="G36" t="s">
        <v>85</v>
      </c>
      <c r="H36" t="s">
        <v>48</v>
      </c>
      <c r="I36" s="2" t="s">
        <v>58</v>
      </c>
      <c r="J36" s="2" t="s">
        <v>50</v>
      </c>
      <c r="K36" s="2" t="s">
        <v>71</v>
      </c>
      <c r="L36" s="2" t="s">
        <v>66</v>
      </c>
      <c r="M36" s="2" t="s">
        <v>61</v>
      </c>
      <c r="N36">
        <v>0</v>
      </c>
      <c r="O36">
        <v>0</v>
      </c>
      <c r="P36">
        <v>0</v>
      </c>
      <c r="Q36">
        <v>0</v>
      </c>
      <c r="R36">
        <v>1</v>
      </c>
      <c r="S36">
        <v>0</v>
      </c>
      <c r="T36">
        <v>1</v>
      </c>
      <c r="U36">
        <v>1</v>
      </c>
      <c r="V36">
        <v>0</v>
      </c>
      <c r="W36">
        <v>0</v>
      </c>
      <c r="X36">
        <v>0</v>
      </c>
      <c r="Y36">
        <v>1</v>
      </c>
      <c r="Z36">
        <v>0</v>
      </c>
      <c r="AA36">
        <v>0</v>
      </c>
      <c r="AB36">
        <v>0</v>
      </c>
      <c r="AC36">
        <v>0</v>
      </c>
      <c r="AD36">
        <v>0</v>
      </c>
      <c r="AE36">
        <v>0</v>
      </c>
      <c r="AF36">
        <v>0</v>
      </c>
      <c r="AG36">
        <v>0</v>
      </c>
      <c r="AH36">
        <v>0</v>
      </c>
      <c r="AI36">
        <v>0</v>
      </c>
      <c r="AJ36">
        <v>0</v>
      </c>
      <c r="AK36">
        <v>1</v>
      </c>
      <c r="AL36">
        <v>0</v>
      </c>
      <c r="AM36" t="s">
        <v>53</v>
      </c>
      <c r="AN36">
        <v>0</v>
      </c>
      <c r="AO36">
        <v>3</v>
      </c>
      <c r="AP36">
        <v>1</v>
      </c>
      <c r="AQ36">
        <v>0</v>
      </c>
      <c r="AR36">
        <v>1</v>
      </c>
      <c r="AS36">
        <v>1</v>
      </c>
    </row>
    <row r="37" spans="1:45" x14ac:dyDescent="0.2">
      <c r="A37" t="s">
        <v>128</v>
      </c>
      <c r="B37" s="3">
        <f t="shared" si="0"/>
        <v>45778</v>
      </c>
      <c r="C37" t="s">
        <v>55</v>
      </c>
      <c r="D37" s="1">
        <v>1.5081018518518518E-2</v>
      </c>
      <c r="E37">
        <v>18</v>
      </c>
      <c r="F37" t="s">
        <v>62</v>
      </c>
      <c r="G37" t="s">
        <v>57</v>
      </c>
      <c r="H37" t="s">
        <v>64</v>
      </c>
      <c r="I37" s="2" t="s">
        <v>75</v>
      </c>
      <c r="J37" s="2" t="s">
        <v>50</v>
      </c>
      <c r="K37" s="2" t="s">
        <v>49</v>
      </c>
      <c r="L37" s="2" t="s">
        <v>60</v>
      </c>
      <c r="M37" s="2" t="s">
        <v>126</v>
      </c>
      <c r="N37">
        <v>0</v>
      </c>
      <c r="O37">
        <v>0</v>
      </c>
      <c r="P37">
        <v>0</v>
      </c>
      <c r="Q37">
        <v>0</v>
      </c>
      <c r="R37">
        <v>1</v>
      </c>
      <c r="S37">
        <v>0</v>
      </c>
      <c r="T37">
        <v>1</v>
      </c>
      <c r="U37">
        <v>1</v>
      </c>
      <c r="V37">
        <v>0</v>
      </c>
      <c r="W37">
        <v>0</v>
      </c>
      <c r="X37">
        <v>0</v>
      </c>
      <c r="Y37">
        <v>1</v>
      </c>
      <c r="Z37">
        <v>0</v>
      </c>
      <c r="AA37">
        <v>0</v>
      </c>
      <c r="AB37">
        <v>0</v>
      </c>
      <c r="AC37">
        <v>0</v>
      </c>
      <c r="AD37">
        <v>0</v>
      </c>
      <c r="AE37">
        <v>0</v>
      </c>
      <c r="AF37">
        <v>0</v>
      </c>
      <c r="AG37">
        <v>0</v>
      </c>
      <c r="AH37">
        <v>0</v>
      </c>
      <c r="AI37">
        <v>0</v>
      </c>
      <c r="AJ37">
        <v>0</v>
      </c>
      <c r="AK37">
        <v>1</v>
      </c>
      <c r="AL37">
        <v>0</v>
      </c>
      <c r="AM37" t="s">
        <v>53</v>
      </c>
      <c r="AN37">
        <v>0</v>
      </c>
      <c r="AO37">
        <v>3</v>
      </c>
      <c r="AP37">
        <v>1</v>
      </c>
      <c r="AQ37">
        <v>0</v>
      </c>
      <c r="AR37">
        <v>1</v>
      </c>
      <c r="AS37">
        <v>1</v>
      </c>
    </row>
    <row r="38" spans="1:45" x14ac:dyDescent="0.2">
      <c r="A38" t="s">
        <v>128</v>
      </c>
      <c r="B38" s="3">
        <f t="shared" si="0"/>
        <v>45778</v>
      </c>
      <c r="C38" t="s">
        <v>55</v>
      </c>
      <c r="D38" s="1">
        <v>1.3726851851851851E-2</v>
      </c>
      <c r="E38">
        <v>14</v>
      </c>
      <c r="F38" t="s">
        <v>114</v>
      </c>
      <c r="G38" t="s">
        <v>74</v>
      </c>
      <c r="H38" t="s">
        <v>64</v>
      </c>
      <c r="I38" s="2" t="s">
        <v>97</v>
      </c>
      <c r="J38" s="2" t="s">
        <v>50</v>
      </c>
      <c r="K38" s="2" t="s">
        <v>49</v>
      </c>
      <c r="L38" s="2" t="s">
        <v>51</v>
      </c>
      <c r="M38" s="2" t="s">
        <v>102</v>
      </c>
      <c r="N38">
        <v>0</v>
      </c>
      <c r="O38">
        <v>0</v>
      </c>
      <c r="P38">
        <v>0</v>
      </c>
      <c r="Q38">
        <v>0</v>
      </c>
      <c r="R38">
        <v>0</v>
      </c>
      <c r="S38">
        <v>0</v>
      </c>
      <c r="T38">
        <v>0</v>
      </c>
      <c r="U38">
        <v>0</v>
      </c>
      <c r="V38">
        <v>1</v>
      </c>
      <c r="W38">
        <v>1</v>
      </c>
      <c r="X38">
        <v>0</v>
      </c>
      <c r="Y38">
        <v>0</v>
      </c>
      <c r="Z38">
        <v>0</v>
      </c>
      <c r="AA38">
        <v>0</v>
      </c>
      <c r="AB38">
        <v>1</v>
      </c>
      <c r="AC38">
        <v>0</v>
      </c>
      <c r="AD38">
        <v>0</v>
      </c>
      <c r="AE38">
        <v>0</v>
      </c>
      <c r="AF38">
        <v>0</v>
      </c>
      <c r="AG38">
        <v>0</v>
      </c>
      <c r="AH38">
        <v>0</v>
      </c>
      <c r="AI38">
        <v>0</v>
      </c>
      <c r="AJ38">
        <v>0</v>
      </c>
      <c r="AK38">
        <v>0</v>
      </c>
      <c r="AL38">
        <v>0</v>
      </c>
      <c r="AM38" t="s">
        <v>53</v>
      </c>
      <c r="AN38">
        <v>1</v>
      </c>
      <c r="AO38">
        <v>2</v>
      </c>
      <c r="AP38">
        <v>1</v>
      </c>
      <c r="AQ38">
        <v>1</v>
      </c>
      <c r="AR38">
        <v>2</v>
      </c>
      <c r="AS38">
        <v>1</v>
      </c>
    </row>
    <row r="39" spans="1:45" x14ac:dyDescent="0.2">
      <c r="A39" t="s">
        <v>129</v>
      </c>
      <c r="B39" s="3">
        <f t="shared" si="0"/>
        <v>45778</v>
      </c>
      <c r="C39" t="s">
        <v>68</v>
      </c>
      <c r="D39" s="1">
        <v>1.1631944444444445E-2</v>
      </c>
      <c r="E39">
        <v>14</v>
      </c>
      <c r="F39" t="s">
        <v>114</v>
      </c>
      <c r="G39" t="s">
        <v>47</v>
      </c>
      <c r="H39" t="s">
        <v>64</v>
      </c>
      <c r="I39" s="2" t="s">
        <v>49</v>
      </c>
      <c r="J39" s="2" t="s">
        <v>50</v>
      </c>
      <c r="K39" s="2" t="s">
        <v>49</v>
      </c>
      <c r="L39" s="2" t="s">
        <v>66</v>
      </c>
      <c r="M39" s="2" t="s">
        <v>52</v>
      </c>
      <c r="N39">
        <v>0</v>
      </c>
      <c r="O39">
        <v>0</v>
      </c>
      <c r="P39">
        <v>0</v>
      </c>
      <c r="Q39">
        <v>0</v>
      </c>
      <c r="R39">
        <v>0</v>
      </c>
      <c r="S39">
        <v>0</v>
      </c>
      <c r="T39">
        <v>0</v>
      </c>
      <c r="U39">
        <v>0</v>
      </c>
      <c r="V39">
        <v>1</v>
      </c>
      <c r="W39">
        <v>1</v>
      </c>
      <c r="X39">
        <v>0</v>
      </c>
      <c r="Y39">
        <v>0</v>
      </c>
      <c r="Z39">
        <v>0</v>
      </c>
      <c r="AA39">
        <v>0</v>
      </c>
      <c r="AB39">
        <v>1</v>
      </c>
      <c r="AC39">
        <v>0</v>
      </c>
      <c r="AD39">
        <v>0</v>
      </c>
      <c r="AE39">
        <v>0</v>
      </c>
      <c r="AF39">
        <v>0</v>
      </c>
      <c r="AG39">
        <v>0</v>
      </c>
      <c r="AH39">
        <v>0</v>
      </c>
      <c r="AI39">
        <v>0</v>
      </c>
      <c r="AJ39">
        <v>0</v>
      </c>
      <c r="AK39">
        <v>0</v>
      </c>
      <c r="AL39">
        <v>0</v>
      </c>
      <c r="AM39" t="s">
        <v>53</v>
      </c>
      <c r="AN39">
        <v>1</v>
      </c>
      <c r="AO39">
        <v>2</v>
      </c>
      <c r="AP39">
        <v>1</v>
      </c>
      <c r="AQ39">
        <v>1</v>
      </c>
      <c r="AR39">
        <v>2</v>
      </c>
      <c r="AS39">
        <v>1</v>
      </c>
    </row>
    <row r="40" spans="1:45" x14ac:dyDescent="0.2">
      <c r="A40" t="s">
        <v>130</v>
      </c>
      <c r="B40" s="3">
        <f t="shared" si="0"/>
        <v>45778</v>
      </c>
      <c r="C40" t="s">
        <v>88</v>
      </c>
      <c r="D40" s="1">
        <v>1.7187500000000001E-2</v>
      </c>
      <c r="E40">
        <v>19</v>
      </c>
      <c r="F40" t="s">
        <v>118</v>
      </c>
      <c r="G40" t="s">
        <v>63</v>
      </c>
      <c r="H40" t="s">
        <v>64</v>
      </c>
      <c r="I40" s="2" t="s">
        <v>75</v>
      </c>
      <c r="J40" s="2" t="s">
        <v>50</v>
      </c>
      <c r="K40" s="2" t="s">
        <v>71</v>
      </c>
      <c r="L40" s="2" t="s">
        <v>60</v>
      </c>
      <c r="M40" s="2" t="s">
        <v>61</v>
      </c>
      <c r="N40">
        <v>0</v>
      </c>
      <c r="O40">
        <v>0</v>
      </c>
      <c r="P40">
        <v>0</v>
      </c>
      <c r="Q40">
        <v>0</v>
      </c>
      <c r="R40">
        <v>0</v>
      </c>
      <c r="S40">
        <v>0</v>
      </c>
      <c r="T40">
        <v>1</v>
      </c>
      <c r="U40">
        <v>1</v>
      </c>
      <c r="V40">
        <v>0</v>
      </c>
      <c r="W40">
        <v>0</v>
      </c>
      <c r="X40">
        <v>0</v>
      </c>
      <c r="Y40">
        <v>0</v>
      </c>
      <c r="Z40">
        <v>0</v>
      </c>
      <c r="AA40">
        <v>0</v>
      </c>
      <c r="AB40">
        <v>1</v>
      </c>
      <c r="AC40">
        <v>0</v>
      </c>
      <c r="AD40">
        <v>0</v>
      </c>
      <c r="AE40">
        <v>0</v>
      </c>
      <c r="AF40">
        <v>0</v>
      </c>
      <c r="AG40">
        <v>0</v>
      </c>
      <c r="AH40">
        <v>0</v>
      </c>
      <c r="AI40">
        <v>0</v>
      </c>
      <c r="AJ40">
        <v>0</v>
      </c>
      <c r="AK40">
        <v>0</v>
      </c>
      <c r="AL40">
        <v>0</v>
      </c>
      <c r="AM40" t="s">
        <v>53</v>
      </c>
      <c r="AN40">
        <v>1</v>
      </c>
      <c r="AO40">
        <v>3</v>
      </c>
      <c r="AP40">
        <v>1</v>
      </c>
      <c r="AQ40">
        <v>1</v>
      </c>
      <c r="AR40">
        <v>1</v>
      </c>
      <c r="AS40">
        <v>1</v>
      </c>
    </row>
    <row r="41" spans="1:45" x14ac:dyDescent="0.2">
      <c r="A41" t="s">
        <v>131</v>
      </c>
      <c r="B41" s="3">
        <f t="shared" si="0"/>
        <v>45778</v>
      </c>
      <c r="C41" t="s">
        <v>80</v>
      </c>
      <c r="D41" s="1">
        <v>1.074074074074074E-2</v>
      </c>
      <c r="E41">
        <v>17</v>
      </c>
      <c r="F41" t="s">
        <v>89</v>
      </c>
      <c r="G41" t="s">
        <v>105</v>
      </c>
      <c r="H41" t="s">
        <v>64</v>
      </c>
      <c r="I41" s="2" t="s">
        <v>65</v>
      </c>
      <c r="J41" s="2" t="s">
        <v>50</v>
      </c>
      <c r="K41" s="2" t="s">
        <v>59</v>
      </c>
      <c r="L41" s="2" t="s">
        <v>76</v>
      </c>
      <c r="M41" s="2" t="s">
        <v>61</v>
      </c>
      <c r="N41">
        <v>0</v>
      </c>
      <c r="O41">
        <v>0</v>
      </c>
      <c r="P41">
        <v>0</v>
      </c>
      <c r="Q41">
        <v>0</v>
      </c>
      <c r="R41">
        <v>1</v>
      </c>
      <c r="S41">
        <v>0</v>
      </c>
      <c r="T41">
        <v>1</v>
      </c>
      <c r="U41">
        <v>0</v>
      </c>
      <c r="V41">
        <v>0</v>
      </c>
      <c r="W41">
        <v>0</v>
      </c>
      <c r="X41">
        <v>0</v>
      </c>
      <c r="Y41">
        <v>1</v>
      </c>
      <c r="Z41">
        <v>0</v>
      </c>
      <c r="AA41">
        <v>0</v>
      </c>
      <c r="AB41">
        <v>0</v>
      </c>
      <c r="AC41">
        <v>0</v>
      </c>
      <c r="AD41">
        <v>0</v>
      </c>
      <c r="AE41">
        <v>0</v>
      </c>
      <c r="AF41">
        <v>0</v>
      </c>
      <c r="AG41">
        <v>0</v>
      </c>
      <c r="AH41">
        <v>0</v>
      </c>
      <c r="AI41">
        <v>0</v>
      </c>
      <c r="AJ41">
        <v>0</v>
      </c>
      <c r="AK41">
        <v>0</v>
      </c>
      <c r="AL41">
        <v>0</v>
      </c>
      <c r="AM41" t="s">
        <v>53</v>
      </c>
      <c r="AN41">
        <v>0</v>
      </c>
      <c r="AO41">
        <v>2</v>
      </c>
      <c r="AP41">
        <v>0</v>
      </c>
      <c r="AQ41">
        <v>0</v>
      </c>
      <c r="AR41">
        <v>1</v>
      </c>
      <c r="AS41">
        <v>0</v>
      </c>
    </row>
    <row r="42" spans="1:45" x14ac:dyDescent="0.2">
      <c r="A42" t="s">
        <v>132</v>
      </c>
      <c r="B42" s="3">
        <f t="shared" si="0"/>
        <v>45778</v>
      </c>
      <c r="C42" t="s">
        <v>55</v>
      </c>
      <c r="D42" s="1">
        <v>1.1319444444444444E-2</v>
      </c>
      <c r="E42">
        <v>28</v>
      </c>
      <c r="F42" t="s">
        <v>133</v>
      </c>
      <c r="G42" t="s">
        <v>57</v>
      </c>
      <c r="H42" t="s">
        <v>64</v>
      </c>
      <c r="I42" s="2" t="s">
        <v>76</v>
      </c>
      <c r="J42" s="2" t="s">
        <v>59</v>
      </c>
      <c r="K42" s="2" t="s">
        <v>71</v>
      </c>
      <c r="L42" s="2" t="s">
        <v>66</v>
      </c>
      <c r="M42" s="2" t="s">
        <v>78</v>
      </c>
      <c r="N42">
        <v>0</v>
      </c>
      <c r="O42">
        <v>0</v>
      </c>
      <c r="P42">
        <v>0</v>
      </c>
      <c r="Q42">
        <v>0</v>
      </c>
      <c r="R42">
        <v>0</v>
      </c>
      <c r="S42">
        <v>1</v>
      </c>
      <c r="T42">
        <v>1</v>
      </c>
      <c r="U42">
        <v>0</v>
      </c>
      <c r="V42">
        <v>0</v>
      </c>
      <c r="W42">
        <v>0</v>
      </c>
      <c r="X42">
        <v>0</v>
      </c>
      <c r="Y42">
        <v>0</v>
      </c>
      <c r="Z42">
        <v>0</v>
      </c>
      <c r="AA42">
        <v>0</v>
      </c>
      <c r="AB42">
        <v>0</v>
      </c>
      <c r="AC42">
        <v>0</v>
      </c>
      <c r="AD42">
        <v>0</v>
      </c>
      <c r="AE42">
        <v>0</v>
      </c>
      <c r="AF42">
        <v>0</v>
      </c>
      <c r="AG42">
        <v>0</v>
      </c>
      <c r="AH42">
        <v>0</v>
      </c>
      <c r="AI42">
        <v>0</v>
      </c>
      <c r="AJ42">
        <v>0</v>
      </c>
      <c r="AK42">
        <v>1</v>
      </c>
      <c r="AL42">
        <v>0</v>
      </c>
      <c r="AM42" t="s">
        <v>53</v>
      </c>
      <c r="AN42">
        <v>0</v>
      </c>
      <c r="AO42">
        <v>1</v>
      </c>
      <c r="AP42">
        <v>1</v>
      </c>
      <c r="AQ42">
        <v>1</v>
      </c>
      <c r="AR42">
        <v>0</v>
      </c>
      <c r="AS42">
        <v>1</v>
      </c>
    </row>
    <row r="43" spans="1:45" x14ac:dyDescent="0.2">
      <c r="A43" t="s">
        <v>134</v>
      </c>
      <c r="B43" s="3">
        <f t="shared" si="0"/>
        <v>45809</v>
      </c>
      <c r="C43" t="s">
        <v>68</v>
      </c>
      <c r="D43" s="1">
        <v>1.1979166666666667E-2</v>
      </c>
      <c r="E43">
        <v>9</v>
      </c>
      <c r="F43" t="s">
        <v>110</v>
      </c>
      <c r="G43" t="s">
        <v>47</v>
      </c>
      <c r="H43" t="s">
        <v>64</v>
      </c>
      <c r="I43" s="2" t="s">
        <v>49</v>
      </c>
      <c r="J43" s="2" t="s">
        <v>50</v>
      </c>
      <c r="K43" s="2" t="s">
        <v>49</v>
      </c>
      <c r="L43" s="2" t="s">
        <v>51</v>
      </c>
      <c r="M43" s="2" t="s">
        <v>52</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t="s">
        <v>53</v>
      </c>
      <c r="AN43">
        <v>0</v>
      </c>
      <c r="AO43">
        <v>0</v>
      </c>
      <c r="AP43">
        <v>0</v>
      </c>
      <c r="AQ43">
        <v>0</v>
      </c>
      <c r="AR43">
        <v>0</v>
      </c>
      <c r="AS43">
        <v>0</v>
      </c>
    </row>
    <row r="44" spans="1:45" x14ac:dyDescent="0.2">
      <c r="A44" t="s">
        <v>135</v>
      </c>
      <c r="B44" s="3">
        <f t="shared" si="0"/>
        <v>45809</v>
      </c>
      <c r="C44" t="s">
        <v>55</v>
      </c>
      <c r="D44" s="1">
        <v>1.9085648148148147E-2</v>
      </c>
      <c r="E44">
        <v>19</v>
      </c>
      <c r="F44" t="s">
        <v>118</v>
      </c>
      <c r="G44" t="s">
        <v>85</v>
      </c>
      <c r="H44" t="s">
        <v>64</v>
      </c>
      <c r="I44" s="2" t="s">
        <v>49</v>
      </c>
      <c r="J44" s="2" t="s">
        <v>50</v>
      </c>
      <c r="K44" s="2" t="s">
        <v>50</v>
      </c>
      <c r="L44" s="2" t="s">
        <v>51</v>
      </c>
      <c r="M44" s="2" t="s">
        <v>78</v>
      </c>
      <c r="N44">
        <v>0</v>
      </c>
      <c r="O44">
        <v>0</v>
      </c>
      <c r="P44">
        <v>0</v>
      </c>
      <c r="Q44">
        <v>0</v>
      </c>
      <c r="R44">
        <v>0</v>
      </c>
      <c r="S44">
        <v>0</v>
      </c>
      <c r="T44">
        <v>1</v>
      </c>
      <c r="U44">
        <v>1</v>
      </c>
      <c r="V44">
        <v>0</v>
      </c>
      <c r="W44">
        <v>0</v>
      </c>
      <c r="X44">
        <v>0</v>
      </c>
      <c r="Y44">
        <v>0</v>
      </c>
      <c r="Z44">
        <v>0</v>
      </c>
      <c r="AA44">
        <v>0</v>
      </c>
      <c r="AB44">
        <v>1</v>
      </c>
      <c r="AC44">
        <v>0</v>
      </c>
      <c r="AD44">
        <v>0</v>
      </c>
      <c r="AE44">
        <v>0</v>
      </c>
      <c r="AF44">
        <v>0</v>
      </c>
      <c r="AG44">
        <v>0</v>
      </c>
      <c r="AH44">
        <v>0</v>
      </c>
      <c r="AI44">
        <v>0</v>
      </c>
      <c r="AJ44">
        <v>0</v>
      </c>
      <c r="AK44">
        <v>0</v>
      </c>
      <c r="AL44">
        <v>0</v>
      </c>
      <c r="AM44" t="s">
        <v>53</v>
      </c>
      <c r="AN44">
        <v>1</v>
      </c>
      <c r="AO44">
        <v>3</v>
      </c>
      <c r="AP44">
        <v>1</v>
      </c>
      <c r="AQ44">
        <v>1</v>
      </c>
      <c r="AR44">
        <v>1</v>
      </c>
      <c r="AS44">
        <v>1</v>
      </c>
    </row>
    <row r="45" spans="1:45" x14ac:dyDescent="0.2">
      <c r="A45" t="s">
        <v>136</v>
      </c>
      <c r="B45" s="3">
        <f t="shared" si="0"/>
        <v>45809</v>
      </c>
      <c r="C45" t="s">
        <v>80</v>
      </c>
      <c r="D45" s="1">
        <v>1.3715277777777778E-2</v>
      </c>
      <c r="E45">
        <v>9</v>
      </c>
      <c r="F45" t="s">
        <v>110</v>
      </c>
      <c r="G45" t="s">
        <v>81</v>
      </c>
      <c r="H45" t="s">
        <v>64</v>
      </c>
      <c r="I45" s="2" t="s">
        <v>75</v>
      </c>
      <c r="J45" s="2" t="s">
        <v>50</v>
      </c>
      <c r="K45" s="2" t="s">
        <v>71</v>
      </c>
      <c r="L45" s="2" t="s">
        <v>49</v>
      </c>
      <c r="M45" s="2" t="s">
        <v>52</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t="s">
        <v>53</v>
      </c>
      <c r="AN45">
        <v>0</v>
      </c>
      <c r="AO45">
        <v>0</v>
      </c>
      <c r="AP45">
        <v>0</v>
      </c>
      <c r="AQ45">
        <v>0</v>
      </c>
      <c r="AR45">
        <v>0</v>
      </c>
      <c r="AS45">
        <v>0</v>
      </c>
    </row>
    <row r="46" spans="1:45" x14ac:dyDescent="0.2">
      <c r="A46" t="s">
        <v>137</v>
      </c>
      <c r="B46" s="3">
        <f t="shared" si="0"/>
        <v>45809</v>
      </c>
      <c r="C46" t="s">
        <v>55</v>
      </c>
      <c r="D46" s="1">
        <v>2.0844907407407406E-2</v>
      </c>
      <c r="E46">
        <v>28</v>
      </c>
      <c r="F46" t="s">
        <v>133</v>
      </c>
      <c r="G46" t="s">
        <v>74</v>
      </c>
      <c r="H46" t="s">
        <v>48</v>
      </c>
      <c r="I46" s="2" t="s">
        <v>65</v>
      </c>
      <c r="J46" s="2" t="s">
        <v>50</v>
      </c>
      <c r="K46" s="2" t="s">
        <v>49</v>
      </c>
      <c r="L46" s="2" t="s">
        <v>66</v>
      </c>
      <c r="M46" s="2" t="s">
        <v>52</v>
      </c>
      <c r="N46">
        <v>0</v>
      </c>
      <c r="O46">
        <v>0</v>
      </c>
      <c r="P46">
        <v>0</v>
      </c>
      <c r="Q46">
        <v>0</v>
      </c>
      <c r="R46">
        <v>0</v>
      </c>
      <c r="S46">
        <v>1</v>
      </c>
      <c r="T46">
        <v>1</v>
      </c>
      <c r="U46">
        <v>0</v>
      </c>
      <c r="V46">
        <v>0</v>
      </c>
      <c r="W46">
        <v>0</v>
      </c>
      <c r="X46">
        <v>0</v>
      </c>
      <c r="Y46">
        <v>0</v>
      </c>
      <c r="Z46">
        <v>0</v>
      </c>
      <c r="AA46">
        <v>0</v>
      </c>
      <c r="AB46">
        <v>0</v>
      </c>
      <c r="AC46">
        <v>0</v>
      </c>
      <c r="AD46">
        <v>0</v>
      </c>
      <c r="AE46">
        <v>0</v>
      </c>
      <c r="AF46">
        <v>0</v>
      </c>
      <c r="AG46">
        <v>0</v>
      </c>
      <c r="AH46">
        <v>0</v>
      </c>
      <c r="AI46">
        <v>0</v>
      </c>
      <c r="AJ46">
        <v>0</v>
      </c>
      <c r="AK46">
        <v>1</v>
      </c>
      <c r="AL46">
        <v>0</v>
      </c>
      <c r="AM46" t="s">
        <v>53</v>
      </c>
      <c r="AN46">
        <v>0</v>
      </c>
      <c r="AO46">
        <v>1</v>
      </c>
      <c r="AP46">
        <v>1</v>
      </c>
      <c r="AQ46">
        <v>1</v>
      </c>
      <c r="AR46">
        <v>0</v>
      </c>
      <c r="AS46">
        <v>1</v>
      </c>
    </row>
    <row r="47" spans="1:45" x14ac:dyDescent="0.2">
      <c r="A47" t="s">
        <v>138</v>
      </c>
      <c r="B47" s="3">
        <f t="shared" si="0"/>
        <v>45809</v>
      </c>
      <c r="C47" t="s">
        <v>88</v>
      </c>
      <c r="D47" s="1">
        <v>1.7303240740740741E-2</v>
      </c>
      <c r="E47">
        <v>28</v>
      </c>
      <c r="F47" t="s">
        <v>133</v>
      </c>
      <c r="G47" t="s">
        <v>47</v>
      </c>
      <c r="H47" t="s">
        <v>64</v>
      </c>
      <c r="I47" s="2" t="s">
        <v>50</v>
      </c>
      <c r="J47" s="2" t="s">
        <v>50</v>
      </c>
      <c r="K47" s="2" t="s">
        <v>50</v>
      </c>
      <c r="L47" s="2" t="s">
        <v>139</v>
      </c>
      <c r="M47" s="2" t="s">
        <v>140</v>
      </c>
      <c r="N47">
        <v>0</v>
      </c>
      <c r="O47">
        <v>0</v>
      </c>
      <c r="P47">
        <v>0</v>
      </c>
      <c r="Q47">
        <v>0</v>
      </c>
      <c r="R47">
        <v>0</v>
      </c>
      <c r="S47">
        <v>1</v>
      </c>
      <c r="T47">
        <v>1</v>
      </c>
      <c r="U47">
        <v>0</v>
      </c>
      <c r="V47">
        <v>0</v>
      </c>
      <c r="W47">
        <v>0</v>
      </c>
      <c r="X47">
        <v>0</v>
      </c>
      <c r="Y47">
        <v>0</v>
      </c>
      <c r="Z47">
        <v>0</v>
      </c>
      <c r="AA47">
        <v>0</v>
      </c>
      <c r="AB47">
        <v>0</v>
      </c>
      <c r="AC47">
        <v>0</v>
      </c>
      <c r="AD47">
        <v>0</v>
      </c>
      <c r="AE47">
        <v>0</v>
      </c>
      <c r="AF47">
        <v>0</v>
      </c>
      <c r="AG47">
        <v>0</v>
      </c>
      <c r="AH47">
        <v>0</v>
      </c>
      <c r="AI47">
        <v>0</v>
      </c>
      <c r="AJ47">
        <v>0</v>
      </c>
      <c r="AK47">
        <v>1</v>
      </c>
      <c r="AL47">
        <v>0</v>
      </c>
      <c r="AM47" t="s">
        <v>53</v>
      </c>
      <c r="AN47">
        <v>0</v>
      </c>
      <c r="AO47">
        <v>1</v>
      </c>
      <c r="AP47">
        <v>1</v>
      </c>
      <c r="AQ47">
        <v>1</v>
      </c>
      <c r="AR47">
        <v>0</v>
      </c>
      <c r="AS47">
        <v>1</v>
      </c>
    </row>
    <row r="48" spans="1:45" x14ac:dyDescent="0.2">
      <c r="A48" t="s">
        <v>141</v>
      </c>
      <c r="B48" s="3">
        <f t="shared" si="0"/>
        <v>45809</v>
      </c>
      <c r="C48" t="s">
        <v>80</v>
      </c>
      <c r="D48" s="1">
        <v>1.954861111111111E-2</v>
      </c>
      <c r="E48">
        <v>28</v>
      </c>
      <c r="F48" t="s">
        <v>133</v>
      </c>
      <c r="G48" t="s">
        <v>105</v>
      </c>
      <c r="H48" t="s">
        <v>64</v>
      </c>
      <c r="I48" s="2" t="s">
        <v>116</v>
      </c>
      <c r="J48" s="2" t="s">
        <v>50</v>
      </c>
      <c r="K48" s="2" t="s">
        <v>71</v>
      </c>
      <c r="L48" s="2" t="s">
        <v>49</v>
      </c>
      <c r="M48" s="2" t="s">
        <v>102</v>
      </c>
      <c r="N48">
        <v>0</v>
      </c>
      <c r="O48">
        <v>0</v>
      </c>
      <c r="P48">
        <v>0</v>
      </c>
      <c r="Q48">
        <v>0</v>
      </c>
      <c r="R48">
        <v>0</v>
      </c>
      <c r="S48">
        <v>1</v>
      </c>
      <c r="T48">
        <v>1</v>
      </c>
      <c r="U48">
        <v>0</v>
      </c>
      <c r="V48">
        <v>0</v>
      </c>
      <c r="W48">
        <v>0</v>
      </c>
      <c r="X48">
        <v>0</v>
      </c>
      <c r="Y48">
        <v>0</v>
      </c>
      <c r="Z48">
        <v>0</v>
      </c>
      <c r="AA48">
        <v>0</v>
      </c>
      <c r="AB48">
        <v>0</v>
      </c>
      <c r="AC48">
        <v>0</v>
      </c>
      <c r="AD48">
        <v>0</v>
      </c>
      <c r="AE48">
        <v>0</v>
      </c>
      <c r="AF48">
        <v>0</v>
      </c>
      <c r="AG48">
        <v>0</v>
      </c>
      <c r="AH48">
        <v>0</v>
      </c>
      <c r="AI48">
        <v>0</v>
      </c>
      <c r="AJ48">
        <v>0</v>
      </c>
      <c r="AK48">
        <v>1</v>
      </c>
      <c r="AL48">
        <v>0</v>
      </c>
      <c r="AM48" t="s">
        <v>53</v>
      </c>
      <c r="AN48">
        <v>0</v>
      </c>
      <c r="AO48">
        <v>1</v>
      </c>
      <c r="AP48">
        <v>1</v>
      </c>
      <c r="AQ48">
        <v>1</v>
      </c>
      <c r="AR48">
        <v>0</v>
      </c>
      <c r="AS48">
        <v>1</v>
      </c>
    </row>
    <row r="49" spans="1:45" x14ac:dyDescent="0.2">
      <c r="A49" t="s">
        <v>142</v>
      </c>
      <c r="B49" s="3">
        <f t="shared" si="0"/>
        <v>45809</v>
      </c>
      <c r="C49" t="s">
        <v>68</v>
      </c>
      <c r="D49" s="1">
        <v>1.9224537037037037E-2</v>
      </c>
      <c r="E49">
        <v>28</v>
      </c>
      <c r="F49" t="s">
        <v>133</v>
      </c>
      <c r="G49" t="s">
        <v>70</v>
      </c>
      <c r="H49" t="s">
        <v>64</v>
      </c>
      <c r="I49" s="2" t="s">
        <v>49</v>
      </c>
      <c r="J49" s="2" t="s">
        <v>50</v>
      </c>
      <c r="K49" s="2" t="s">
        <v>71</v>
      </c>
      <c r="L49" s="2" t="s">
        <v>49</v>
      </c>
      <c r="M49" s="2" t="s">
        <v>61</v>
      </c>
      <c r="N49">
        <v>0</v>
      </c>
      <c r="O49">
        <v>0</v>
      </c>
      <c r="P49">
        <v>0</v>
      </c>
      <c r="Q49">
        <v>0</v>
      </c>
      <c r="R49">
        <v>0</v>
      </c>
      <c r="S49">
        <v>1</v>
      </c>
      <c r="T49">
        <v>1</v>
      </c>
      <c r="U49">
        <v>0</v>
      </c>
      <c r="V49">
        <v>0</v>
      </c>
      <c r="W49">
        <v>0</v>
      </c>
      <c r="X49">
        <v>0</v>
      </c>
      <c r="Y49">
        <v>0</v>
      </c>
      <c r="Z49">
        <v>0</v>
      </c>
      <c r="AA49">
        <v>0</v>
      </c>
      <c r="AB49">
        <v>0</v>
      </c>
      <c r="AC49">
        <v>0</v>
      </c>
      <c r="AD49">
        <v>0</v>
      </c>
      <c r="AE49">
        <v>0</v>
      </c>
      <c r="AF49">
        <v>0</v>
      </c>
      <c r="AG49">
        <v>0</v>
      </c>
      <c r="AH49">
        <v>0</v>
      </c>
      <c r="AI49">
        <v>0</v>
      </c>
      <c r="AJ49">
        <v>0</v>
      </c>
      <c r="AK49">
        <v>1</v>
      </c>
      <c r="AL49">
        <v>0</v>
      </c>
      <c r="AM49" t="s">
        <v>53</v>
      </c>
      <c r="AN49">
        <v>0</v>
      </c>
      <c r="AO49">
        <v>1</v>
      </c>
      <c r="AP49">
        <v>1</v>
      </c>
      <c r="AQ49">
        <v>1</v>
      </c>
      <c r="AR49">
        <v>0</v>
      </c>
      <c r="AS49">
        <v>1</v>
      </c>
    </row>
    <row r="50" spans="1:45" x14ac:dyDescent="0.2">
      <c r="A50" t="s">
        <v>143</v>
      </c>
      <c r="B50" s="3">
        <f t="shared" si="0"/>
        <v>45809</v>
      </c>
      <c r="C50" t="s">
        <v>80</v>
      </c>
      <c r="D50" s="1">
        <v>1.4814814814814815E-2</v>
      </c>
      <c r="E50">
        <v>28</v>
      </c>
      <c r="F50" t="s">
        <v>133</v>
      </c>
      <c r="G50" t="s">
        <v>81</v>
      </c>
      <c r="H50" t="s">
        <v>64</v>
      </c>
      <c r="I50" s="2" t="s">
        <v>50</v>
      </c>
      <c r="J50" s="2" t="s">
        <v>50</v>
      </c>
      <c r="K50" s="2" t="s">
        <v>49</v>
      </c>
      <c r="L50" s="2" t="s">
        <v>139</v>
      </c>
      <c r="M50" s="2" t="s">
        <v>140</v>
      </c>
      <c r="N50">
        <v>0</v>
      </c>
      <c r="O50">
        <v>0</v>
      </c>
      <c r="P50">
        <v>0</v>
      </c>
      <c r="Q50">
        <v>0</v>
      </c>
      <c r="R50">
        <v>0</v>
      </c>
      <c r="S50">
        <v>1</v>
      </c>
      <c r="T50">
        <v>1</v>
      </c>
      <c r="U50">
        <v>0</v>
      </c>
      <c r="V50">
        <v>0</v>
      </c>
      <c r="W50">
        <v>0</v>
      </c>
      <c r="X50">
        <v>0</v>
      </c>
      <c r="Y50">
        <v>0</v>
      </c>
      <c r="Z50">
        <v>0</v>
      </c>
      <c r="AA50">
        <v>0</v>
      </c>
      <c r="AB50">
        <v>0</v>
      </c>
      <c r="AC50">
        <v>0</v>
      </c>
      <c r="AD50">
        <v>0</v>
      </c>
      <c r="AE50">
        <v>0</v>
      </c>
      <c r="AF50">
        <v>0</v>
      </c>
      <c r="AG50">
        <v>0</v>
      </c>
      <c r="AH50">
        <v>0</v>
      </c>
      <c r="AI50">
        <v>0</v>
      </c>
      <c r="AJ50">
        <v>0</v>
      </c>
      <c r="AK50">
        <v>1</v>
      </c>
      <c r="AL50">
        <v>0</v>
      </c>
      <c r="AM50" t="s">
        <v>53</v>
      </c>
      <c r="AN50">
        <v>0</v>
      </c>
      <c r="AO50">
        <v>1</v>
      </c>
      <c r="AP50">
        <v>1</v>
      </c>
      <c r="AQ50">
        <v>1</v>
      </c>
      <c r="AR50">
        <v>0</v>
      </c>
      <c r="AS50">
        <v>1</v>
      </c>
    </row>
    <row r="51" spans="1:45" x14ac:dyDescent="0.2">
      <c r="A51" t="s">
        <v>144</v>
      </c>
      <c r="B51" s="3">
        <f t="shared" si="0"/>
        <v>45839</v>
      </c>
      <c r="C51" t="s">
        <v>88</v>
      </c>
      <c r="D51" s="1">
        <v>1.7384259259259259E-2</v>
      </c>
      <c r="E51">
        <v>28</v>
      </c>
      <c r="F51" t="s">
        <v>133</v>
      </c>
      <c r="G51" t="s">
        <v>63</v>
      </c>
      <c r="H51" t="s">
        <v>64</v>
      </c>
      <c r="I51" s="2" t="s">
        <v>97</v>
      </c>
      <c r="J51" s="2" t="s">
        <v>50</v>
      </c>
      <c r="K51" s="2" t="s">
        <v>71</v>
      </c>
      <c r="L51" s="2" t="s">
        <v>49</v>
      </c>
      <c r="M51" s="2" t="s">
        <v>102</v>
      </c>
      <c r="N51">
        <v>0</v>
      </c>
      <c r="O51">
        <v>0</v>
      </c>
      <c r="P51">
        <v>0</v>
      </c>
      <c r="Q51">
        <v>0</v>
      </c>
      <c r="R51">
        <v>0</v>
      </c>
      <c r="S51">
        <v>1</v>
      </c>
      <c r="T51">
        <v>1</v>
      </c>
      <c r="U51">
        <v>0</v>
      </c>
      <c r="V51">
        <v>0</v>
      </c>
      <c r="W51">
        <v>0</v>
      </c>
      <c r="X51">
        <v>0</v>
      </c>
      <c r="Y51">
        <v>0</v>
      </c>
      <c r="Z51">
        <v>0</v>
      </c>
      <c r="AA51">
        <v>0</v>
      </c>
      <c r="AB51">
        <v>0</v>
      </c>
      <c r="AC51">
        <v>0</v>
      </c>
      <c r="AD51">
        <v>0</v>
      </c>
      <c r="AE51">
        <v>0</v>
      </c>
      <c r="AF51">
        <v>0</v>
      </c>
      <c r="AG51">
        <v>0</v>
      </c>
      <c r="AH51">
        <v>0</v>
      </c>
      <c r="AI51">
        <v>0</v>
      </c>
      <c r="AJ51">
        <v>0</v>
      </c>
      <c r="AK51">
        <v>1</v>
      </c>
      <c r="AL51">
        <v>0</v>
      </c>
      <c r="AM51" t="s">
        <v>53</v>
      </c>
      <c r="AN51">
        <v>0</v>
      </c>
      <c r="AO51">
        <v>1</v>
      </c>
      <c r="AP51">
        <v>1</v>
      </c>
      <c r="AQ51">
        <v>1</v>
      </c>
      <c r="AR51">
        <v>0</v>
      </c>
      <c r="AS51">
        <v>1</v>
      </c>
    </row>
    <row r="52" spans="1:45" x14ac:dyDescent="0.2">
      <c r="A52" t="s">
        <v>145</v>
      </c>
      <c r="B52" s="3">
        <f t="shared" si="0"/>
        <v>45839</v>
      </c>
      <c r="C52" t="s">
        <v>80</v>
      </c>
      <c r="D52" s="1">
        <v>1.5381944444444445E-2</v>
      </c>
      <c r="E52">
        <v>28</v>
      </c>
      <c r="F52" t="s">
        <v>133</v>
      </c>
      <c r="G52" t="s">
        <v>146</v>
      </c>
      <c r="H52" t="s">
        <v>64</v>
      </c>
      <c r="I52" s="2" t="s">
        <v>50</v>
      </c>
      <c r="J52" s="2" t="s">
        <v>50</v>
      </c>
      <c r="K52" s="2" t="s">
        <v>71</v>
      </c>
      <c r="L52" s="2" t="s">
        <v>139</v>
      </c>
      <c r="M52" s="2" t="s">
        <v>140</v>
      </c>
      <c r="N52">
        <v>0</v>
      </c>
      <c r="O52">
        <v>0</v>
      </c>
      <c r="P52">
        <v>0</v>
      </c>
      <c r="Q52">
        <v>0</v>
      </c>
      <c r="R52">
        <v>0</v>
      </c>
      <c r="S52">
        <v>1</v>
      </c>
      <c r="T52">
        <v>1</v>
      </c>
      <c r="U52">
        <v>0</v>
      </c>
      <c r="V52">
        <v>0</v>
      </c>
      <c r="W52">
        <v>0</v>
      </c>
      <c r="X52">
        <v>0</v>
      </c>
      <c r="Y52">
        <v>0</v>
      </c>
      <c r="Z52">
        <v>0</v>
      </c>
      <c r="AA52">
        <v>0</v>
      </c>
      <c r="AB52">
        <v>0</v>
      </c>
      <c r="AC52">
        <v>0</v>
      </c>
      <c r="AD52">
        <v>0</v>
      </c>
      <c r="AE52">
        <v>0</v>
      </c>
      <c r="AF52">
        <v>0</v>
      </c>
      <c r="AG52">
        <v>0</v>
      </c>
      <c r="AH52">
        <v>0</v>
      </c>
      <c r="AI52">
        <v>0</v>
      </c>
      <c r="AJ52">
        <v>0</v>
      </c>
      <c r="AK52">
        <v>1</v>
      </c>
      <c r="AL52">
        <v>0</v>
      </c>
      <c r="AM52" t="s">
        <v>53</v>
      </c>
      <c r="AN52">
        <v>0</v>
      </c>
      <c r="AO52">
        <v>1</v>
      </c>
      <c r="AP52">
        <v>1</v>
      </c>
      <c r="AQ52">
        <v>1</v>
      </c>
      <c r="AR52">
        <v>0</v>
      </c>
      <c r="AS52">
        <v>1</v>
      </c>
    </row>
    <row r="53" spans="1:45" x14ac:dyDescent="0.2">
      <c r="A53" t="s">
        <v>147</v>
      </c>
      <c r="B53" s="3">
        <f t="shared" si="0"/>
        <v>45839</v>
      </c>
      <c r="C53" t="s">
        <v>55</v>
      </c>
      <c r="D53" s="1">
        <v>1.7534722222222222E-2</v>
      </c>
      <c r="E53">
        <v>28</v>
      </c>
      <c r="F53" t="s">
        <v>133</v>
      </c>
      <c r="G53" t="s">
        <v>85</v>
      </c>
      <c r="H53" t="s">
        <v>64</v>
      </c>
      <c r="I53" s="2" t="s">
        <v>75</v>
      </c>
      <c r="J53" s="2" t="s">
        <v>50</v>
      </c>
      <c r="K53" s="2" t="s">
        <v>59</v>
      </c>
      <c r="L53" s="2" t="s">
        <v>60</v>
      </c>
      <c r="M53" s="2" t="s">
        <v>78</v>
      </c>
      <c r="N53">
        <v>0</v>
      </c>
      <c r="O53">
        <v>0</v>
      </c>
      <c r="P53">
        <v>0</v>
      </c>
      <c r="Q53">
        <v>0</v>
      </c>
      <c r="R53">
        <v>0</v>
      </c>
      <c r="S53">
        <v>1</v>
      </c>
      <c r="T53">
        <v>1</v>
      </c>
      <c r="U53">
        <v>0</v>
      </c>
      <c r="V53">
        <v>0</v>
      </c>
      <c r="W53">
        <v>0</v>
      </c>
      <c r="X53">
        <v>0</v>
      </c>
      <c r="Y53">
        <v>0</v>
      </c>
      <c r="Z53">
        <v>0</v>
      </c>
      <c r="AA53">
        <v>0</v>
      </c>
      <c r="AB53">
        <v>0</v>
      </c>
      <c r="AC53">
        <v>0</v>
      </c>
      <c r="AD53">
        <v>0</v>
      </c>
      <c r="AE53">
        <v>0</v>
      </c>
      <c r="AF53">
        <v>0</v>
      </c>
      <c r="AG53">
        <v>0</v>
      </c>
      <c r="AH53">
        <v>0</v>
      </c>
      <c r="AI53">
        <v>0</v>
      </c>
      <c r="AJ53">
        <v>0</v>
      </c>
      <c r="AK53">
        <v>1</v>
      </c>
      <c r="AL53">
        <v>0</v>
      </c>
      <c r="AM53" t="s">
        <v>53</v>
      </c>
      <c r="AN53">
        <v>0</v>
      </c>
      <c r="AO53">
        <v>1</v>
      </c>
      <c r="AP53">
        <v>1</v>
      </c>
      <c r="AQ53">
        <v>1</v>
      </c>
      <c r="AR53">
        <v>0</v>
      </c>
      <c r="AS53">
        <v>1</v>
      </c>
    </row>
    <row r="54" spans="1:45" x14ac:dyDescent="0.2">
      <c r="A54" t="s">
        <v>148</v>
      </c>
      <c r="B54" s="3">
        <f t="shared" si="0"/>
        <v>45839</v>
      </c>
      <c r="C54" t="s">
        <v>55</v>
      </c>
      <c r="D54" s="1">
        <v>1.3738425925925926E-2</v>
      </c>
      <c r="E54">
        <v>9</v>
      </c>
      <c r="F54" t="s">
        <v>110</v>
      </c>
      <c r="G54" t="s">
        <v>74</v>
      </c>
      <c r="H54" t="s">
        <v>64</v>
      </c>
      <c r="I54" s="2" t="s">
        <v>65</v>
      </c>
      <c r="J54" s="2" t="s">
        <v>50</v>
      </c>
      <c r="K54" s="2" t="s">
        <v>59</v>
      </c>
      <c r="L54" s="2" t="s">
        <v>77</v>
      </c>
      <c r="M54" s="2" t="s">
        <v>61</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t="s">
        <v>53</v>
      </c>
      <c r="AN54">
        <v>0</v>
      </c>
      <c r="AO54">
        <v>0</v>
      </c>
      <c r="AP54">
        <v>0</v>
      </c>
      <c r="AQ54">
        <v>0</v>
      </c>
      <c r="AR54">
        <v>0</v>
      </c>
      <c r="AS54">
        <v>0</v>
      </c>
    </row>
    <row r="55" spans="1:45" x14ac:dyDescent="0.2">
      <c r="A55" t="s">
        <v>149</v>
      </c>
      <c r="B55" s="3">
        <f t="shared" si="0"/>
        <v>45839</v>
      </c>
      <c r="C55" t="s">
        <v>68</v>
      </c>
      <c r="D55" s="1">
        <v>1.3900462962962963E-2</v>
      </c>
      <c r="E55">
        <v>14</v>
      </c>
      <c r="F55" t="s">
        <v>114</v>
      </c>
      <c r="G55" t="s">
        <v>70</v>
      </c>
      <c r="H55" t="s">
        <v>48</v>
      </c>
      <c r="I55" s="2" t="s">
        <v>58</v>
      </c>
      <c r="J55" s="2" t="s">
        <v>50</v>
      </c>
      <c r="K55" s="2" t="s">
        <v>59</v>
      </c>
      <c r="L55" s="2" t="s">
        <v>60</v>
      </c>
      <c r="M55" s="2" t="s">
        <v>78</v>
      </c>
      <c r="N55">
        <v>0</v>
      </c>
      <c r="O55">
        <v>0</v>
      </c>
      <c r="P55">
        <v>0</v>
      </c>
      <c r="Q55">
        <v>0</v>
      </c>
      <c r="R55">
        <v>0</v>
      </c>
      <c r="S55">
        <v>0</v>
      </c>
      <c r="T55">
        <v>0</v>
      </c>
      <c r="U55">
        <v>0</v>
      </c>
      <c r="V55">
        <v>1</v>
      </c>
      <c r="W55">
        <v>1</v>
      </c>
      <c r="X55">
        <v>0</v>
      </c>
      <c r="Y55">
        <v>0</v>
      </c>
      <c r="Z55">
        <v>0</v>
      </c>
      <c r="AA55">
        <v>0</v>
      </c>
      <c r="AB55">
        <v>1</v>
      </c>
      <c r="AC55">
        <v>0</v>
      </c>
      <c r="AD55">
        <v>0</v>
      </c>
      <c r="AE55">
        <v>0</v>
      </c>
      <c r="AF55">
        <v>0</v>
      </c>
      <c r="AG55">
        <v>0</v>
      </c>
      <c r="AH55">
        <v>0</v>
      </c>
      <c r="AI55">
        <v>0</v>
      </c>
      <c r="AJ55">
        <v>0</v>
      </c>
      <c r="AK55">
        <v>0</v>
      </c>
      <c r="AL55">
        <v>0</v>
      </c>
      <c r="AM55" t="s">
        <v>53</v>
      </c>
      <c r="AN55">
        <v>1</v>
      </c>
      <c r="AO55">
        <v>2</v>
      </c>
      <c r="AP55">
        <v>1</v>
      </c>
      <c r="AQ55">
        <v>1</v>
      </c>
      <c r="AR55">
        <v>2</v>
      </c>
      <c r="AS55">
        <v>1</v>
      </c>
    </row>
    <row r="56" spans="1:45" x14ac:dyDescent="0.2">
      <c r="A56" t="s">
        <v>150</v>
      </c>
      <c r="B56" s="3">
        <f t="shared" si="0"/>
        <v>45839</v>
      </c>
      <c r="C56" t="s">
        <v>55</v>
      </c>
      <c r="D56" s="1">
        <v>1.4282407407407407E-2</v>
      </c>
      <c r="E56">
        <v>28</v>
      </c>
      <c r="F56" t="s">
        <v>133</v>
      </c>
      <c r="G56" t="s">
        <v>57</v>
      </c>
      <c r="H56" t="s">
        <v>64</v>
      </c>
      <c r="I56" s="2" t="s">
        <v>76</v>
      </c>
      <c r="J56" s="2" t="s">
        <v>59</v>
      </c>
      <c r="K56" s="2" t="s">
        <v>59</v>
      </c>
      <c r="L56" s="2" t="s">
        <v>77</v>
      </c>
      <c r="M56" s="2" t="s">
        <v>108</v>
      </c>
      <c r="N56">
        <v>0</v>
      </c>
      <c r="O56">
        <v>0</v>
      </c>
      <c r="P56">
        <v>0</v>
      </c>
      <c r="Q56">
        <v>0</v>
      </c>
      <c r="R56">
        <v>0</v>
      </c>
      <c r="S56">
        <v>1</v>
      </c>
      <c r="T56">
        <v>1</v>
      </c>
      <c r="U56">
        <v>0</v>
      </c>
      <c r="V56">
        <v>0</v>
      </c>
      <c r="W56">
        <v>0</v>
      </c>
      <c r="X56">
        <v>0</v>
      </c>
      <c r="Y56">
        <v>0</v>
      </c>
      <c r="Z56">
        <v>0</v>
      </c>
      <c r="AA56">
        <v>0</v>
      </c>
      <c r="AB56">
        <v>0</v>
      </c>
      <c r="AC56">
        <v>0</v>
      </c>
      <c r="AD56">
        <v>0</v>
      </c>
      <c r="AE56">
        <v>0</v>
      </c>
      <c r="AF56">
        <v>0</v>
      </c>
      <c r="AG56">
        <v>0</v>
      </c>
      <c r="AH56">
        <v>0</v>
      </c>
      <c r="AI56">
        <v>0</v>
      </c>
      <c r="AJ56">
        <v>0</v>
      </c>
      <c r="AK56">
        <v>1</v>
      </c>
      <c r="AL56">
        <v>0</v>
      </c>
      <c r="AM56" t="s">
        <v>53</v>
      </c>
      <c r="AN56">
        <v>0</v>
      </c>
      <c r="AO56">
        <v>1</v>
      </c>
      <c r="AP56">
        <v>1</v>
      </c>
      <c r="AQ56">
        <v>1</v>
      </c>
      <c r="AR56">
        <v>0</v>
      </c>
      <c r="AS56">
        <v>1</v>
      </c>
    </row>
    <row r="57" spans="1:45" x14ac:dyDescent="0.2">
      <c r="A57" t="s">
        <v>151</v>
      </c>
      <c r="B57" s="3">
        <f t="shared" si="0"/>
        <v>45839</v>
      </c>
      <c r="C57" t="s">
        <v>68</v>
      </c>
      <c r="D57" s="1">
        <v>1.2060185185185186E-2</v>
      </c>
      <c r="E57">
        <v>17</v>
      </c>
      <c r="F57" t="s">
        <v>89</v>
      </c>
      <c r="G57" t="s">
        <v>47</v>
      </c>
      <c r="H57" t="s">
        <v>64</v>
      </c>
      <c r="I57" s="2" t="s">
        <v>49</v>
      </c>
      <c r="J57" s="2" t="s">
        <v>50</v>
      </c>
      <c r="K57" s="2" t="s">
        <v>59</v>
      </c>
      <c r="L57" s="2" t="s">
        <v>51</v>
      </c>
      <c r="M57" s="2" t="s">
        <v>52</v>
      </c>
      <c r="N57">
        <v>0</v>
      </c>
      <c r="O57">
        <v>0</v>
      </c>
      <c r="P57">
        <v>0</v>
      </c>
      <c r="Q57">
        <v>0</v>
      </c>
      <c r="R57">
        <v>1</v>
      </c>
      <c r="S57">
        <v>0</v>
      </c>
      <c r="T57">
        <v>1</v>
      </c>
      <c r="U57">
        <v>0</v>
      </c>
      <c r="V57">
        <v>0</v>
      </c>
      <c r="W57">
        <v>0</v>
      </c>
      <c r="X57">
        <v>0</v>
      </c>
      <c r="Y57">
        <v>1</v>
      </c>
      <c r="Z57">
        <v>0</v>
      </c>
      <c r="AA57">
        <v>0</v>
      </c>
      <c r="AB57">
        <v>0</v>
      </c>
      <c r="AC57">
        <v>0</v>
      </c>
      <c r="AD57">
        <v>0</v>
      </c>
      <c r="AE57">
        <v>0</v>
      </c>
      <c r="AF57">
        <v>0</v>
      </c>
      <c r="AG57">
        <v>0</v>
      </c>
      <c r="AH57">
        <v>0</v>
      </c>
      <c r="AI57">
        <v>0</v>
      </c>
      <c r="AJ57">
        <v>0</v>
      </c>
      <c r="AK57">
        <v>0</v>
      </c>
      <c r="AL57">
        <v>0</v>
      </c>
      <c r="AM57" t="s">
        <v>53</v>
      </c>
      <c r="AN57">
        <v>0</v>
      </c>
      <c r="AO57">
        <v>2</v>
      </c>
      <c r="AP57">
        <v>0</v>
      </c>
      <c r="AQ57">
        <v>0</v>
      </c>
      <c r="AR57">
        <v>1</v>
      </c>
      <c r="AS57">
        <v>0</v>
      </c>
    </row>
    <row r="58" spans="1:45" x14ac:dyDescent="0.2">
      <c r="A58" t="s">
        <v>152</v>
      </c>
      <c r="B58" s="3">
        <f t="shared" si="0"/>
        <v>45839</v>
      </c>
      <c r="C58" t="s">
        <v>80</v>
      </c>
      <c r="D58" s="1">
        <v>1.1666666666666667E-2</v>
      </c>
      <c r="E58">
        <v>9</v>
      </c>
      <c r="F58" t="s">
        <v>110</v>
      </c>
      <c r="G58" t="s">
        <v>105</v>
      </c>
      <c r="H58" t="s">
        <v>64</v>
      </c>
      <c r="I58" s="2" t="s">
        <v>75</v>
      </c>
      <c r="J58" s="2" t="s">
        <v>50</v>
      </c>
      <c r="K58" s="2" t="s">
        <v>59</v>
      </c>
      <c r="L58" s="2" t="s">
        <v>51</v>
      </c>
      <c r="M58" s="2" t="s">
        <v>78</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t="s">
        <v>53</v>
      </c>
      <c r="AN58">
        <v>0</v>
      </c>
      <c r="AO58">
        <v>0</v>
      </c>
      <c r="AP58">
        <v>0</v>
      </c>
      <c r="AQ58">
        <v>0</v>
      </c>
      <c r="AR58">
        <v>0</v>
      </c>
      <c r="AS58">
        <v>0</v>
      </c>
    </row>
    <row r="59" spans="1:45" x14ac:dyDescent="0.2">
      <c r="A59" t="s">
        <v>153</v>
      </c>
      <c r="B59" s="3">
        <f t="shared" si="0"/>
        <v>45870</v>
      </c>
      <c r="C59" t="s">
        <v>55</v>
      </c>
      <c r="D59" s="1">
        <v>1.9699074074074074E-2</v>
      </c>
      <c r="E59">
        <v>19</v>
      </c>
      <c r="F59" t="s">
        <v>118</v>
      </c>
      <c r="G59" t="s">
        <v>74</v>
      </c>
      <c r="H59" t="s">
        <v>64</v>
      </c>
      <c r="I59" s="2" t="s">
        <v>97</v>
      </c>
      <c r="J59" s="2" t="s">
        <v>50</v>
      </c>
      <c r="K59" s="2" t="s">
        <v>49</v>
      </c>
      <c r="L59" s="2" t="s">
        <v>66</v>
      </c>
      <c r="M59" s="2" t="s">
        <v>78</v>
      </c>
      <c r="N59">
        <v>0</v>
      </c>
      <c r="O59">
        <v>0</v>
      </c>
      <c r="P59">
        <v>0</v>
      </c>
      <c r="Q59">
        <v>0</v>
      </c>
      <c r="R59">
        <v>0</v>
      </c>
      <c r="S59">
        <v>0</v>
      </c>
      <c r="T59">
        <v>1</v>
      </c>
      <c r="U59">
        <v>1</v>
      </c>
      <c r="V59">
        <v>0</v>
      </c>
      <c r="W59">
        <v>0</v>
      </c>
      <c r="X59">
        <v>0</v>
      </c>
      <c r="Y59">
        <v>0</v>
      </c>
      <c r="Z59">
        <v>0</v>
      </c>
      <c r="AA59">
        <v>0</v>
      </c>
      <c r="AB59">
        <v>1</v>
      </c>
      <c r="AC59">
        <v>0</v>
      </c>
      <c r="AD59">
        <v>0</v>
      </c>
      <c r="AE59">
        <v>0</v>
      </c>
      <c r="AF59">
        <v>0</v>
      </c>
      <c r="AG59">
        <v>0</v>
      </c>
      <c r="AH59">
        <v>0</v>
      </c>
      <c r="AI59">
        <v>0</v>
      </c>
      <c r="AJ59">
        <v>0</v>
      </c>
      <c r="AK59">
        <v>0</v>
      </c>
      <c r="AL59">
        <v>0</v>
      </c>
      <c r="AM59" t="s">
        <v>53</v>
      </c>
      <c r="AN59">
        <v>1</v>
      </c>
      <c r="AO59">
        <v>3</v>
      </c>
      <c r="AP59">
        <v>1</v>
      </c>
      <c r="AQ59">
        <v>1</v>
      </c>
      <c r="AR59">
        <v>1</v>
      </c>
      <c r="AS59">
        <v>1</v>
      </c>
    </row>
    <row r="60" spans="1:45" x14ac:dyDescent="0.2">
      <c r="A60" t="s">
        <v>154</v>
      </c>
      <c r="B60" s="3">
        <f t="shared" si="0"/>
        <v>45870</v>
      </c>
      <c r="C60" t="s">
        <v>68</v>
      </c>
      <c r="D60" s="1">
        <v>1.6782407407407409E-2</v>
      </c>
      <c r="E60">
        <v>24</v>
      </c>
      <c r="F60" t="s">
        <v>155</v>
      </c>
      <c r="G60" t="s">
        <v>70</v>
      </c>
      <c r="H60" t="s">
        <v>64</v>
      </c>
      <c r="I60" s="2" t="s">
        <v>65</v>
      </c>
      <c r="J60" s="2" t="s">
        <v>59</v>
      </c>
      <c r="K60" s="2" t="s">
        <v>71</v>
      </c>
      <c r="L60" s="2" t="s">
        <v>120</v>
      </c>
      <c r="M60" s="2" t="s">
        <v>102</v>
      </c>
      <c r="N60">
        <v>0</v>
      </c>
      <c r="O60">
        <v>0</v>
      </c>
      <c r="P60">
        <v>0</v>
      </c>
      <c r="Q60">
        <v>0</v>
      </c>
      <c r="R60">
        <v>0</v>
      </c>
      <c r="S60">
        <v>0</v>
      </c>
      <c r="T60">
        <v>0</v>
      </c>
      <c r="U60">
        <v>0</v>
      </c>
      <c r="V60">
        <v>0</v>
      </c>
      <c r="W60">
        <v>0</v>
      </c>
      <c r="X60">
        <v>0</v>
      </c>
      <c r="Y60">
        <v>0</v>
      </c>
      <c r="Z60">
        <v>0</v>
      </c>
      <c r="AA60">
        <v>0</v>
      </c>
      <c r="AB60">
        <v>1</v>
      </c>
      <c r="AC60">
        <v>0</v>
      </c>
      <c r="AD60">
        <v>0</v>
      </c>
      <c r="AE60">
        <v>0</v>
      </c>
      <c r="AF60">
        <v>0</v>
      </c>
      <c r="AG60">
        <v>0</v>
      </c>
      <c r="AH60">
        <v>0</v>
      </c>
      <c r="AI60">
        <v>0</v>
      </c>
      <c r="AJ60">
        <v>0</v>
      </c>
      <c r="AK60">
        <v>0</v>
      </c>
      <c r="AL60">
        <v>0</v>
      </c>
      <c r="AM60" t="s">
        <v>53</v>
      </c>
      <c r="AN60">
        <v>1</v>
      </c>
      <c r="AO60">
        <v>1</v>
      </c>
      <c r="AP60">
        <v>1</v>
      </c>
      <c r="AQ60">
        <v>1</v>
      </c>
      <c r="AR60">
        <v>1</v>
      </c>
      <c r="AS60">
        <v>1</v>
      </c>
    </row>
    <row r="61" spans="1:45" x14ac:dyDescent="0.2">
      <c r="A61" t="s">
        <v>156</v>
      </c>
      <c r="B61" s="3">
        <f t="shared" si="0"/>
        <v>45870</v>
      </c>
      <c r="C61" t="s">
        <v>80</v>
      </c>
      <c r="D61" s="1">
        <v>1.7418981481481483E-2</v>
      </c>
      <c r="E61">
        <v>19</v>
      </c>
      <c r="F61" t="s">
        <v>118</v>
      </c>
      <c r="G61" t="s">
        <v>81</v>
      </c>
      <c r="H61" t="s">
        <v>64</v>
      </c>
      <c r="I61" s="2" t="s">
        <v>97</v>
      </c>
      <c r="J61" s="2" t="s">
        <v>50</v>
      </c>
      <c r="K61" s="2" t="s">
        <v>49</v>
      </c>
      <c r="L61" s="2" t="s">
        <v>77</v>
      </c>
      <c r="M61" s="2" t="s">
        <v>108</v>
      </c>
      <c r="N61">
        <v>0</v>
      </c>
      <c r="O61">
        <v>0</v>
      </c>
      <c r="P61">
        <v>0</v>
      </c>
      <c r="Q61">
        <v>0</v>
      </c>
      <c r="R61">
        <v>0</v>
      </c>
      <c r="S61">
        <v>0</v>
      </c>
      <c r="T61">
        <v>1</v>
      </c>
      <c r="U61">
        <v>1</v>
      </c>
      <c r="V61">
        <v>0</v>
      </c>
      <c r="W61">
        <v>0</v>
      </c>
      <c r="X61">
        <v>0</v>
      </c>
      <c r="Y61">
        <v>0</v>
      </c>
      <c r="Z61">
        <v>0</v>
      </c>
      <c r="AA61">
        <v>0</v>
      </c>
      <c r="AB61">
        <v>1</v>
      </c>
      <c r="AC61">
        <v>0</v>
      </c>
      <c r="AD61">
        <v>0</v>
      </c>
      <c r="AE61">
        <v>0</v>
      </c>
      <c r="AF61">
        <v>0</v>
      </c>
      <c r="AG61">
        <v>0</v>
      </c>
      <c r="AH61">
        <v>0</v>
      </c>
      <c r="AI61">
        <v>0</v>
      </c>
      <c r="AJ61">
        <v>0</v>
      </c>
      <c r="AK61">
        <v>0</v>
      </c>
      <c r="AL61">
        <v>0</v>
      </c>
      <c r="AM61" t="s">
        <v>53</v>
      </c>
      <c r="AN61">
        <v>1</v>
      </c>
      <c r="AO61">
        <v>3</v>
      </c>
      <c r="AP61">
        <v>1</v>
      </c>
      <c r="AQ61">
        <v>1</v>
      </c>
      <c r="AR61">
        <v>1</v>
      </c>
      <c r="AS61">
        <v>1</v>
      </c>
    </row>
    <row r="62" spans="1:45" x14ac:dyDescent="0.2">
      <c r="A62" t="s">
        <v>157</v>
      </c>
      <c r="B62" s="3">
        <f t="shared" si="0"/>
        <v>45870</v>
      </c>
      <c r="C62" t="s">
        <v>88</v>
      </c>
      <c r="D62" s="1">
        <v>1.3900462962962963E-2</v>
      </c>
      <c r="E62">
        <v>14</v>
      </c>
      <c r="F62" t="s">
        <v>114</v>
      </c>
      <c r="G62" t="s">
        <v>63</v>
      </c>
      <c r="H62" t="s">
        <v>48</v>
      </c>
      <c r="I62" s="2" t="s">
        <v>76</v>
      </c>
      <c r="J62" s="2" t="s">
        <v>50</v>
      </c>
      <c r="K62" s="2" t="s">
        <v>76</v>
      </c>
      <c r="L62" s="2" t="s">
        <v>90</v>
      </c>
      <c r="M62" s="2" t="s">
        <v>52</v>
      </c>
      <c r="N62">
        <v>0</v>
      </c>
      <c r="O62">
        <v>0</v>
      </c>
      <c r="P62">
        <v>0</v>
      </c>
      <c r="Q62">
        <v>0</v>
      </c>
      <c r="R62">
        <v>0</v>
      </c>
      <c r="S62">
        <v>0</v>
      </c>
      <c r="T62">
        <v>0</v>
      </c>
      <c r="U62">
        <v>0</v>
      </c>
      <c r="V62">
        <v>1</v>
      </c>
      <c r="W62">
        <v>1</v>
      </c>
      <c r="X62">
        <v>0</v>
      </c>
      <c r="Y62">
        <v>0</v>
      </c>
      <c r="Z62">
        <v>0</v>
      </c>
      <c r="AA62">
        <v>0</v>
      </c>
      <c r="AB62">
        <v>1</v>
      </c>
      <c r="AC62">
        <v>0</v>
      </c>
      <c r="AD62">
        <v>0</v>
      </c>
      <c r="AE62">
        <v>0</v>
      </c>
      <c r="AF62">
        <v>0</v>
      </c>
      <c r="AG62">
        <v>0</v>
      </c>
      <c r="AH62">
        <v>0</v>
      </c>
      <c r="AI62">
        <v>0</v>
      </c>
      <c r="AJ62">
        <v>0</v>
      </c>
      <c r="AK62">
        <v>0</v>
      </c>
      <c r="AL62">
        <v>0</v>
      </c>
      <c r="AM62" t="s">
        <v>53</v>
      </c>
      <c r="AN62">
        <v>1</v>
      </c>
      <c r="AO62">
        <v>2</v>
      </c>
      <c r="AP62">
        <v>1</v>
      </c>
      <c r="AQ62">
        <v>1</v>
      </c>
      <c r="AR62">
        <v>2</v>
      </c>
      <c r="AS62">
        <v>1</v>
      </c>
    </row>
    <row r="63" spans="1:45" x14ac:dyDescent="0.2">
      <c r="A63" t="s">
        <v>158</v>
      </c>
      <c r="B63" s="3">
        <f t="shared" si="0"/>
        <v>45870</v>
      </c>
      <c r="C63" t="s">
        <v>80</v>
      </c>
      <c r="D63" s="1">
        <v>1.1388888888888889E-2</v>
      </c>
      <c r="E63">
        <v>14</v>
      </c>
      <c r="F63" t="s">
        <v>114</v>
      </c>
      <c r="G63" t="s">
        <v>146</v>
      </c>
      <c r="H63" t="s">
        <v>64</v>
      </c>
      <c r="I63" s="2" t="s">
        <v>75</v>
      </c>
      <c r="J63" s="2" t="s">
        <v>59</v>
      </c>
      <c r="K63" s="2" t="s">
        <v>49</v>
      </c>
      <c r="L63" s="2" t="s">
        <v>76</v>
      </c>
      <c r="M63" s="2" t="s">
        <v>108</v>
      </c>
      <c r="N63">
        <v>0</v>
      </c>
      <c r="O63">
        <v>0</v>
      </c>
      <c r="P63">
        <v>0</v>
      </c>
      <c r="Q63">
        <v>0</v>
      </c>
      <c r="R63">
        <v>0</v>
      </c>
      <c r="S63">
        <v>0</v>
      </c>
      <c r="T63">
        <v>0</v>
      </c>
      <c r="U63">
        <v>0</v>
      </c>
      <c r="V63">
        <v>1</v>
      </c>
      <c r="W63">
        <v>1</v>
      </c>
      <c r="X63">
        <v>0</v>
      </c>
      <c r="Y63">
        <v>0</v>
      </c>
      <c r="Z63">
        <v>0</v>
      </c>
      <c r="AA63">
        <v>0</v>
      </c>
      <c r="AB63">
        <v>1</v>
      </c>
      <c r="AC63">
        <v>0</v>
      </c>
      <c r="AD63">
        <v>0</v>
      </c>
      <c r="AE63">
        <v>0</v>
      </c>
      <c r="AF63">
        <v>0</v>
      </c>
      <c r="AG63">
        <v>0</v>
      </c>
      <c r="AH63">
        <v>0</v>
      </c>
      <c r="AI63">
        <v>0</v>
      </c>
      <c r="AJ63">
        <v>0</v>
      </c>
      <c r="AK63">
        <v>0</v>
      </c>
      <c r="AL63">
        <v>0</v>
      </c>
      <c r="AM63" t="s">
        <v>53</v>
      </c>
      <c r="AN63">
        <v>1</v>
      </c>
      <c r="AO63">
        <v>2</v>
      </c>
      <c r="AP63">
        <v>1</v>
      </c>
      <c r="AQ63">
        <v>1</v>
      </c>
      <c r="AR63">
        <v>2</v>
      </c>
      <c r="AS63">
        <v>1</v>
      </c>
    </row>
    <row r="64" spans="1:45" x14ac:dyDescent="0.2">
      <c r="A64" t="s">
        <v>159</v>
      </c>
      <c r="B64" s="3">
        <f t="shared" si="0"/>
        <v>45870</v>
      </c>
      <c r="C64" t="s">
        <v>45</v>
      </c>
      <c r="D64" s="1">
        <v>1.5925925925925927E-2</v>
      </c>
      <c r="E64">
        <v>8</v>
      </c>
      <c r="F64" t="s">
        <v>69</v>
      </c>
      <c r="G64" t="s">
        <v>47</v>
      </c>
      <c r="H64" t="s">
        <v>64</v>
      </c>
      <c r="I64" s="2" t="s">
        <v>65</v>
      </c>
      <c r="J64" s="2" t="s">
        <v>50</v>
      </c>
      <c r="K64" s="2" t="s">
        <v>49</v>
      </c>
      <c r="L64" s="2" t="s">
        <v>60</v>
      </c>
      <c r="M64" s="2" t="s">
        <v>52</v>
      </c>
      <c r="N64">
        <v>0</v>
      </c>
      <c r="O64">
        <v>0</v>
      </c>
      <c r="P64">
        <v>0</v>
      </c>
      <c r="Q64">
        <v>0</v>
      </c>
      <c r="R64">
        <v>0</v>
      </c>
      <c r="S64">
        <v>0</v>
      </c>
      <c r="T64">
        <v>0</v>
      </c>
      <c r="U64">
        <v>1</v>
      </c>
      <c r="V64">
        <v>0</v>
      </c>
      <c r="W64">
        <v>0</v>
      </c>
      <c r="X64">
        <v>0</v>
      </c>
      <c r="Y64">
        <v>0</v>
      </c>
      <c r="Z64">
        <v>1</v>
      </c>
      <c r="AA64">
        <v>0</v>
      </c>
      <c r="AB64">
        <v>0</v>
      </c>
      <c r="AC64">
        <v>0</v>
      </c>
      <c r="AD64">
        <v>0</v>
      </c>
      <c r="AE64">
        <v>0</v>
      </c>
      <c r="AF64">
        <v>0</v>
      </c>
      <c r="AG64">
        <v>0</v>
      </c>
      <c r="AH64">
        <v>0</v>
      </c>
      <c r="AI64">
        <v>0</v>
      </c>
      <c r="AJ64">
        <v>0</v>
      </c>
      <c r="AK64">
        <v>1</v>
      </c>
      <c r="AL64">
        <v>0</v>
      </c>
      <c r="AM64" t="s">
        <v>53</v>
      </c>
      <c r="AN64">
        <v>0</v>
      </c>
      <c r="AO64">
        <v>1</v>
      </c>
      <c r="AP64">
        <v>2</v>
      </c>
      <c r="AQ64">
        <v>0</v>
      </c>
      <c r="AR64">
        <v>0</v>
      </c>
      <c r="AS64">
        <v>1</v>
      </c>
    </row>
    <row r="65" spans="1:45" x14ac:dyDescent="0.2">
      <c r="A65" t="s">
        <v>160</v>
      </c>
      <c r="B65" s="3">
        <f t="shared" si="0"/>
        <v>45870</v>
      </c>
      <c r="C65" t="s">
        <v>80</v>
      </c>
      <c r="D65" s="1">
        <v>1.1585648148148149E-2</v>
      </c>
      <c r="E65">
        <v>7</v>
      </c>
      <c r="F65" t="s">
        <v>161</v>
      </c>
      <c r="G65" t="s">
        <v>105</v>
      </c>
      <c r="H65" t="s">
        <v>64</v>
      </c>
      <c r="I65" s="2" t="s">
        <v>75</v>
      </c>
      <c r="J65" s="2" t="s">
        <v>50</v>
      </c>
      <c r="K65" s="2" t="s">
        <v>76</v>
      </c>
      <c r="L65" s="2" t="s">
        <v>122</v>
      </c>
      <c r="M65" s="2" t="s">
        <v>95</v>
      </c>
      <c r="N65">
        <v>0</v>
      </c>
      <c r="O65">
        <v>0</v>
      </c>
      <c r="P65">
        <v>0</v>
      </c>
      <c r="Q65">
        <v>0</v>
      </c>
      <c r="R65">
        <v>0</v>
      </c>
      <c r="S65">
        <v>0</v>
      </c>
      <c r="T65">
        <v>1</v>
      </c>
      <c r="U65">
        <v>0</v>
      </c>
      <c r="V65">
        <v>1</v>
      </c>
      <c r="W65">
        <v>0</v>
      </c>
      <c r="X65">
        <v>0</v>
      </c>
      <c r="Y65">
        <v>0</v>
      </c>
      <c r="Z65">
        <v>0</v>
      </c>
      <c r="AA65">
        <v>0</v>
      </c>
      <c r="AB65">
        <v>0</v>
      </c>
      <c r="AC65">
        <v>0</v>
      </c>
      <c r="AD65">
        <v>0</v>
      </c>
      <c r="AE65">
        <v>0</v>
      </c>
      <c r="AF65">
        <v>0</v>
      </c>
      <c r="AG65">
        <v>0</v>
      </c>
      <c r="AH65">
        <v>0</v>
      </c>
      <c r="AI65">
        <v>1</v>
      </c>
      <c r="AJ65">
        <v>0</v>
      </c>
      <c r="AK65">
        <v>0</v>
      </c>
      <c r="AL65">
        <v>0</v>
      </c>
      <c r="AM65" t="s">
        <v>53</v>
      </c>
      <c r="AN65">
        <v>0</v>
      </c>
      <c r="AO65">
        <v>2</v>
      </c>
      <c r="AP65">
        <v>0</v>
      </c>
      <c r="AQ65">
        <v>1</v>
      </c>
      <c r="AR65">
        <v>0</v>
      </c>
      <c r="AS65">
        <v>0</v>
      </c>
    </row>
    <row r="66" spans="1:45" x14ac:dyDescent="0.2">
      <c r="A66" t="s">
        <v>162</v>
      </c>
      <c r="B66" s="3">
        <f t="shared" si="0"/>
        <v>45870</v>
      </c>
      <c r="C66" t="s">
        <v>55</v>
      </c>
      <c r="D66" s="1">
        <v>1.2777777777777779E-2</v>
      </c>
      <c r="E66">
        <v>14</v>
      </c>
      <c r="F66" t="s">
        <v>114</v>
      </c>
      <c r="G66" t="s">
        <v>85</v>
      </c>
      <c r="H66" t="s">
        <v>64</v>
      </c>
      <c r="I66" s="2" t="s">
        <v>116</v>
      </c>
      <c r="J66" s="2" t="s">
        <v>50</v>
      </c>
      <c r="K66" s="2" t="s">
        <v>71</v>
      </c>
      <c r="L66" s="2" t="s">
        <v>49</v>
      </c>
      <c r="M66" s="2" t="s">
        <v>102</v>
      </c>
      <c r="N66">
        <v>0</v>
      </c>
      <c r="O66">
        <v>0</v>
      </c>
      <c r="P66">
        <v>0</v>
      </c>
      <c r="Q66">
        <v>0</v>
      </c>
      <c r="R66">
        <v>0</v>
      </c>
      <c r="S66">
        <v>0</v>
      </c>
      <c r="T66">
        <v>0</v>
      </c>
      <c r="U66">
        <v>0</v>
      </c>
      <c r="V66">
        <v>1</v>
      </c>
      <c r="W66">
        <v>1</v>
      </c>
      <c r="X66">
        <v>0</v>
      </c>
      <c r="Y66">
        <v>0</v>
      </c>
      <c r="Z66">
        <v>0</v>
      </c>
      <c r="AA66">
        <v>0</v>
      </c>
      <c r="AB66">
        <v>1</v>
      </c>
      <c r="AC66">
        <v>0</v>
      </c>
      <c r="AD66">
        <v>0</v>
      </c>
      <c r="AE66">
        <v>0</v>
      </c>
      <c r="AF66">
        <v>0</v>
      </c>
      <c r="AG66">
        <v>0</v>
      </c>
      <c r="AH66">
        <v>0</v>
      </c>
      <c r="AI66">
        <v>0</v>
      </c>
      <c r="AJ66">
        <v>0</v>
      </c>
      <c r="AK66">
        <v>0</v>
      </c>
      <c r="AL66">
        <v>0</v>
      </c>
      <c r="AM66" t="s">
        <v>53</v>
      </c>
      <c r="AN66">
        <v>1</v>
      </c>
      <c r="AO66">
        <v>2</v>
      </c>
      <c r="AP66">
        <v>1</v>
      </c>
      <c r="AQ66">
        <v>1</v>
      </c>
      <c r="AR66">
        <v>2</v>
      </c>
      <c r="AS66">
        <v>1</v>
      </c>
    </row>
    <row r="67" spans="1:45" x14ac:dyDescent="0.2">
      <c r="A67" t="s">
        <v>163</v>
      </c>
      <c r="B67" s="3">
        <f t="shared" ref="B67:B114" si="1">DATE(YEAR(DATEVALUE(LEFT(A67,10))), MONTH(DATEVALUE(LEFT(A67,10))), 1)</f>
        <v>45901</v>
      </c>
      <c r="C67" t="s">
        <v>68</v>
      </c>
      <c r="D67" s="1">
        <v>1.3900462962962963E-2</v>
      </c>
      <c r="E67">
        <v>4</v>
      </c>
      <c r="F67" t="s">
        <v>46</v>
      </c>
      <c r="G67" t="s">
        <v>70</v>
      </c>
      <c r="H67" t="s">
        <v>48</v>
      </c>
      <c r="I67" s="2" t="s">
        <v>75</v>
      </c>
      <c r="J67" s="2" t="s">
        <v>50</v>
      </c>
      <c r="K67" s="2" t="s">
        <v>59</v>
      </c>
      <c r="L67" s="2" t="s">
        <v>66</v>
      </c>
      <c r="M67" s="2" t="s">
        <v>61</v>
      </c>
      <c r="N67">
        <v>1</v>
      </c>
      <c r="O67">
        <v>0</v>
      </c>
      <c r="P67">
        <v>0</v>
      </c>
      <c r="Q67">
        <v>0</v>
      </c>
      <c r="R67">
        <v>0</v>
      </c>
      <c r="S67">
        <v>0</v>
      </c>
      <c r="T67">
        <v>0</v>
      </c>
      <c r="U67">
        <v>0</v>
      </c>
      <c r="V67">
        <v>0</v>
      </c>
      <c r="W67">
        <v>0</v>
      </c>
      <c r="X67">
        <v>0</v>
      </c>
      <c r="Y67">
        <v>0</v>
      </c>
      <c r="Z67">
        <v>0</v>
      </c>
      <c r="AA67">
        <v>0</v>
      </c>
      <c r="AB67">
        <v>1</v>
      </c>
      <c r="AC67">
        <v>0</v>
      </c>
      <c r="AD67">
        <v>1</v>
      </c>
      <c r="AE67">
        <v>0</v>
      </c>
      <c r="AF67">
        <v>1</v>
      </c>
      <c r="AG67">
        <v>0</v>
      </c>
      <c r="AH67">
        <v>0</v>
      </c>
      <c r="AI67">
        <v>0</v>
      </c>
      <c r="AJ67">
        <v>0</v>
      </c>
      <c r="AK67">
        <v>0</v>
      </c>
      <c r="AL67">
        <v>0</v>
      </c>
      <c r="AM67" t="s">
        <v>53</v>
      </c>
      <c r="AN67">
        <v>1</v>
      </c>
      <c r="AO67">
        <v>4</v>
      </c>
      <c r="AP67">
        <v>1</v>
      </c>
      <c r="AQ67">
        <v>1</v>
      </c>
      <c r="AR67">
        <v>1</v>
      </c>
      <c r="AS67">
        <v>1</v>
      </c>
    </row>
    <row r="68" spans="1:45" x14ac:dyDescent="0.2">
      <c r="A68" t="s">
        <v>164</v>
      </c>
      <c r="B68" s="3">
        <f t="shared" si="1"/>
        <v>45901</v>
      </c>
      <c r="C68" t="s">
        <v>88</v>
      </c>
      <c r="D68" s="1">
        <v>1.3900462962962963E-2</v>
      </c>
      <c r="E68">
        <v>4</v>
      </c>
      <c r="F68" t="s">
        <v>46</v>
      </c>
      <c r="G68" t="s">
        <v>63</v>
      </c>
      <c r="H68" t="s">
        <v>48</v>
      </c>
      <c r="I68" s="2" t="s">
        <v>65</v>
      </c>
      <c r="J68" s="2" t="s">
        <v>50</v>
      </c>
      <c r="K68" s="2" t="s">
        <v>71</v>
      </c>
      <c r="L68" s="2" t="s">
        <v>51</v>
      </c>
      <c r="M68" s="2" t="s">
        <v>61</v>
      </c>
      <c r="N68">
        <v>1</v>
      </c>
      <c r="O68">
        <v>0</v>
      </c>
      <c r="P68">
        <v>0</v>
      </c>
      <c r="Q68">
        <v>0</v>
      </c>
      <c r="R68">
        <v>0</v>
      </c>
      <c r="S68">
        <v>0</v>
      </c>
      <c r="T68">
        <v>0</v>
      </c>
      <c r="U68">
        <v>0</v>
      </c>
      <c r="V68">
        <v>0</v>
      </c>
      <c r="W68">
        <v>0</v>
      </c>
      <c r="X68">
        <v>0</v>
      </c>
      <c r="Y68">
        <v>0</v>
      </c>
      <c r="Z68">
        <v>0</v>
      </c>
      <c r="AA68">
        <v>0</v>
      </c>
      <c r="AB68">
        <v>1</v>
      </c>
      <c r="AC68">
        <v>0</v>
      </c>
      <c r="AD68">
        <v>1</v>
      </c>
      <c r="AE68">
        <v>0</v>
      </c>
      <c r="AF68">
        <v>1</v>
      </c>
      <c r="AG68">
        <v>0</v>
      </c>
      <c r="AH68">
        <v>0</v>
      </c>
      <c r="AI68">
        <v>0</v>
      </c>
      <c r="AJ68">
        <v>0</v>
      </c>
      <c r="AK68">
        <v>0</v>
      </c>
      <c r="AL68">
        <v>0</v>
      </c>
      <c r="AM68" t="s">
        <v>53</v>
      </c>
      <c r="AN68">
        <v>1</v>
      </c>
      <c r="AO68">
        <v>4</v>
      </c>
      <c r="AP68">
        <v>1</v>
      </c>
      <c r="AQ68">
        <v>1</v>
      </c>
      <c r="AR68">
        <v>1</v>
      </c>
      <c r="AS68">
        <v>1</v>
      </c>
    </row>
    <row r="69" spans="1:45" x14ac:dyDescent="0.2">
      <c r="A69" t="s">
        <v>165</v>
      </c>
      <c r="B69" s="3">
        <f t="shared" si="1"/>
        <v>45901</v>
      </c>
      <c r="C69" t="s">
        <v>80</v>
      </c>
      <c r="D69" s="1">
        <v>1.3819444444444445E-2</v>
      </c>
      <c r="E69">
        <v>18</v>
      </c>
      <c r="F69" t="s">
        <v>62</v>
      </c>
      <c r="G69" t="s">
        <v>146</v>
      </c>
      <c r="H69" t="s">
        <v>64</v>
      </c>
      <c r="I69" s="2" t="s">
        <v>49</v>
      </c>
      <c r="J69" s="2" t="s">
        <v>50</v>
      </c>
      <c r="K69" s="2" t="s">
        <v>49</v>
      </c>
      <c r="L69" s="2" t="s">
        <v>51</v>
      </c>
      <c r="M69" s="2" t="s">
        <v>52</v>
      </c>
      <c r="N69">
        <v>0</v>
      </c>
      <c r="O69">
        <v>0</v>
      </c>
      <c r="P69">
        <v>0</v>
      </c>
      <c r="Q69">
        <v>0</v>
      </c>
      <c r="R69">
        <v>1</v>
      </c>
      <c r="S69">
        <v>0</v>
      </c>
      <c r="T69">
        <v>1</v>
      </c>
      <c r="U69">
        <v>1</v>
      </c>
      <c r="V69">
        <v>0</v>
      </c>
      <c r="W69">
        <v>0</v>
      </c>
      <c r="X69">
        <v>0</v>
      </c>
      <c r="Y69">
        <v>1</v>
      </c>
      <c r="Z69">
        <v>0</v>
      </c>
      <c r="AA69">
        <v>0</v>
      </c>
      <c r="AB69">
        <v>0</v>
      </c>
      <c r="AC69">
        <v>0</v>
      </c>
      <c r="AD69">
        <v>0</v>
      </c>
      <c r="AE69">
        <v>0</v>
      </c>
      <c r="AF69">
        <v>0</v>
      </c>
      <c r="AG69">
        <v>0</v>
      </c>
      <c r="AH69">
        <v>0</v>
      </c>
      <c r="AI69">
        <v>0</v>
      </c>
      <c r="AJ69">
        <v>0</v>
      </c>
      <c r="AK69">
        <v>1</v>
      </c>
      <c r="AL69">
        <v>0</v>
      </c>
      <c r="AM69" t="s">
        <v>53</v>
      </c>
      <c r="AN69">
        <v>0</v>
      </c>
      <c r="AO69">
        <v>3</v>
      </c>
      <c r="AP69">
        <v>1</v>
      </c>
      <c r="AQ69">
        <v>0</v>
      </c>
      <c r="AR69">
        <v>1</v>
      </c>
      <c r="AS69">
        <v>1</v>
      </c>
    </row>
    <row r="70" spans="1:45" x14ac:dyDescent="0.2">
      <c r="A70" t="s">
        <v>166</v>
      </c>
      <c r="B70" s="3">
        <f t="shared" si="1"/>
        <v>45901</v>
      </c>
      <c r="C70" t="s">
        <v>55</v>
      </c>
      <c r="D70" s="1">
        <v>2.0555555555555556E-2</v>
      </c>
      <c r="E70">
        <v>30</v>
      </c>
      <c r="F70" t="s">
        <v>167</v>
      </c>
      <c r="G70" t="s">
        <v>57</v>
      </c>
      <c r="H70" t="s">
        <v>64</v>
      </c>
      <c r="I70" s="2" t="s">
        <v>97</v>
      </c>
      <c r="J70" s="2" t="s">
        <v>59</v>
      </c>
      <c r="K70" s="2" t="s">
        <v>59</v>
      </c>
      <c r="L70" s="2" t="s">
        <v>49</v>
      </c>
      <c r="M70" s="2" t="s">
        <v>126</v>
      </c>
      <c r="N70">
        <v>0</v>
      </c>
      <c r="O70">
        <v>1</v>
      </c>
      <c r="P70">
        <v>0</v>
      </c>
      <c r="Q70">
        <v>0</v>
      </c>
      <c r="R70">
        <v>0</v>
      </c>
      <c r="S70">
        <v>1</v>
      </c>
      <c r="T70">
        <v>0</v>
      </c>
      <c r="U70">
        <v>0</v>
      </c>
      <c r="V70">
        <v>0</v>
      </c>
      <c r="W70">
        <v>0</v>
      </c>
      <c r="X70">
        <v>1</v>
      </c>
      <c r="Y70">
        <v>0</v>
      </c>
      <c r="Z70">
        <v>0</v>
      </c>
      <c r="AA70">
        <v>0</v>
      </c>
      <c r="AB70">
        <v>0</v>
      </c>
      <c r="AC70">
        <v>0</v>
      </c>
      <c r="AD70">
        <v>0</v>
      </c>
      <c r="AE70">
        <v>1</v>
      </c>
      <c r="AF70">
        <v>0</v>
      </c>
      <c r="AG70">
        <v>0</v>
      </c>
      <c r="AH70">
        <v>0</v>
      </c>
      <c r="AI70">
        <v>0</v>
      </c>
      <c r="AJ70">
        <v>0</v>
      </c>
      <c r="AK70">
        <v>0</v>
      </c>
      <c r="AL70">
        <v>0</v>
      </c>
      <c r="AM70" t="s">
        <v>53</v>
      </c>
      <c r="AN70">
        <v>1</v>
      </c>
      <c r="AO70">
        <v>2</v>
      </c>
      <c r="AP70">
        <v>2</v>
      </c>
      <c r="AQ70">
        <v>2</v>
      </c>
      <c r="AR70">
        <v>2</v>
      </c>
      <c r="AS70">
        <v>0</v>
      </c>
    </row>
    <row r="71" spans="1:45" x14ac:dyDescent="0.2">
      <c r="A71" t="s">
        <v>166</v>
      </c>
      <c r="B71" s="3">
        <f t="shared" si="1"/>
        <v>45901</v>
      </c>
      <c r="C71" t="s">
        <v>55</v>
      </c>
      <c r="D71" s="1">
        <v>2.0856481481481483E-2</v>
      </c>
      <c r="E71">
        <v>24</v>
      </c>
      <c r="F71" t="s">
        <v>155</v>
      </c>
      <c r="G71" t="s">
        <v>74</v>
      </c>
      <c r="H71" t="s">
        <v>48</v>
      </c>
      <c r="I71" s="2" t="s">
        <v>49</v>
      </c>
      <c r="J71" s="2" t="s">
        <v>50</v>
      </c>
      <c r="K71" s="2" t="s">
        <v>76</v>
      </c>
      <c r="L71" s="2" t="s">
        <v>76</v>
      </c>
      <c r="M71" s="2" t="s">
        <v>61</v>
      </c>
      <c r="N71">
        <v>0</v>
      </c>
      <c r="O71">
        <v>0</v>
      </c>
      <c r="P71">
        <v>0</v>
      </c>
      <c r="Q71">
        <v>0</v>
      </c>
      <c r="R71">
        <v>0</v>
      </c>
      <c r="S71">
        <v>0</v>
      </c>
      <c r="T71">
        <v>0</v>
      </c>
      <c r="U71">
        <v>0</v>
      </c>
      <c r="V71">
        <v>0</v>
      </c>
      <c r="W71">
        <v>0</v>
      </c>
      <c r="X71">
        <v>0</v>
      </c>
      <c r="Y71">
        <v>0</v>
      </c>
      <c r="Z71">
        <v>0</v>
      </c>
      <c r="AA71">
        <v>0</v>
      </c>
      <c r="AB71">
        <v>1</v>
      </c>
      <c r="AC71">
        <v>0</v>
      </c>
      <c r="AD71">
        <v>0</v>
      </c>
      <c r="AE71">
        <v>0</v>
      </c>
      <c r="AF71">
        <v>0</v>
      </c>
      <c r="AG71">
        <v>0</v>
      </c>
      <c r="AH71">
        <v>0</v>
      </c>
      <c r="AI71">
        <v>0</v>
      </c>
      <c r="AJ71">
        <v>0</v>
      </c>
      <c r="AK71">
        <v>0</v>
      </c>
      <c r="AL71">
        <v>0</v>
      </c>
      <c r="AM71" t="s">
        <v>53</v>
      </c>
      <c r="AN71">
        <v>1</v>
      </c>
      <c r="AO71">
        <v>1</v>
      </c>
      <c r="AP71">
        <v>1</v>
      </c>
      <c r="AQ71">
        <v>1</v>
      </c>
      <c r="AR71">
        <v>1</v>
      </c>
      <c r="AS71">
        <v>1</v>
      </c>
    </row>
    <row r="72" spans="1:45" x14ac:dyDescent="0.2">
      <c r="A72" t="s">
        <v>168</v>
      </c>
      <c r="B72" s="3">
        <f t="shared" si="1"/>
        <v>45901</v>
      </c>
      <c r="C72" t="s">
        <v>68</v>
      </c>
      <c r="D72" s="1">
        <v>1.3796296296296296E-2</v>
      </c>
      <c r="E72">
        <v>20</v>
      </c>
      <c r="F72" t="s">
        <v>169</v>
      </c>
      <c r="G72" t="s">
        <v>70</v>
      </c>
      <c r="H72" t="s">
        <v>64</v>
      </c>
      <c r="I72" s="2" t="s">
        <v>49</v>
      </c>
      <c r="J72" s="2" t="s">
        <v>50</v>
      </c>
      <c r="K72" s="2" t="s">
        <v>49</v>
      </c>
      <c r="L72" s="2" t="s">
        <v>51</v>
      </c>
      <c r="M72" s="2" t="s">
        <v>61</v>
      </c>
      <c r="N72">
        <v>0</v>
      </c>
      <c r="O72">
        <v>0</v>
      </c>
      <c r="P72">
        <v>0</v>
      </c>
      <c r="Q72">
        <v>1</v>
      </c>
      <c r="R72">
        <v>1</v>
      </c>
      <c r="S72">
        <v>0</v>
      </c>
      <c r="T72">
        <v>0</v>
      </c>
      <c r="U72">
        <v>1</v>
      </c>
      <c r="V72">
        <v>0</v>
      </c>
      <c r="W72">
        <v>0</v>
      </c>
      <c r="X72">
        <v>0</v>
      </c>
      <c r="Y72">
        <v>0</v>
      </c>
      <c r="Z72">
        <v>0</v>
      </c>
      <c r="AA72">
        <v>0</v>
      </c>
      <c r="AB72">
        <v>1</v>
      </c>
      <c r="AC72">
        <v>0</v>
      </c>
      <c r="AD72">
        <v>0</v>
      </c>
      <c r="AE72">
        <v>0</v>
      </c>
      <c r="AF72">
        <v>0</v>
      </c>
      <c r="AG72">
        <v>0</v>
      </c>
      <c r="AH72">
        <v>0</v>
      </c>
      <c r="AI72">
        <v>0</v>
      </c>
      <c r="AJ72">
        <v>0</v>
      </c>
      <c r="AK72">
        <v>0</v>
      </c>
      <c r="AL72">
        <v>0</v>
      </c>
      <c r="AM72" t="s">
        <v>53</v>
      </c>
      <c r="AN72">
        <v>1</v>
      </c>
      <c r="AO72">
        <v>2</v>
      </c>
      <c r="AP72">
        <v>1</v>
      </c>
      <c r="AQ72">
        <v>1</v>
      </c>
      <c r="AR72">
        <v>3</v>
      </c>
      <c r="AS72">
        <v>1</v>
      </c>
    </row>
    <row r="73" spans="1:45" x14ac:dyDescent="0.2">
      <c r="A73" t="s">
        <v>170</v>
      </c>
      <c r="B73" s="3">
        <f t="shared" si="1"/>
        <v>45901</v>
      </c>
      <c r="C73" t="s">
        <v>80</v>
      </c>
      <c r="D73" s="1">
        <v>1.8287037037037036E-2</v>
      </c>
      <c r="E73">
        <v>30</v>
      </c>
      <c r="F73" t="s">
        <v>167</v>
      </c>
      <c r="G73" t="s">
        <v>105</v>
      </c>
      <c r="H73" t="s">
        <v>64</v>
      </c>
      <c r="I73" s="2" t="s">
        <v>75</v>
      </c>
      <c r="J73" s="2" t="s">
        <v>50</v>
      </c>
      <c r="K73" s="2" t="s">
        <v>49</v>
      </c>
      <c r="L73" s="2" t="s">
        <v>77</v>
      </c>
      <c r="M73" s="2" t="s">
        <v>52</v>
      </c>
      <c r="N73">
        <v>0</v>
      </c>
      <c r="O73">
        <v>1</v>
      </c>
      <c r="P73">
        <v>0</v>
      </c>
      <c r="Q73">
        <v>0</v>
      </c>
      <c r="R73">
        <v>0</v>
      </c>
      <c r="S73">
        <v>1</v>
      </c>
      <c r="T73">
        <v>0</v>
      </c>
      <c r="U73">
        <v>0</v>
      </c>
      <c r="V73">
        <v>0</v>
      </c>
      <c r="W73">
        <v>0</v>
      </c>
      <c r="X73">
        <v>1</v>
      </c>
      <c r="Y73">
        <v>0</v>
      </c>
      <c r="Z73">
        <v>0</v>
      </c>
      <c r="AA73">
        <v>0</v>
      </c>
      <c r="AB73">
        <v>0</v>
      </c>
      <c r="AC73">
        <v>0</v>
      </c>
      <c r="AD73">
        <v>0</v>
      </c>
      <c r="AE73">
        <v>1</v>
      </c>
      <c r="AF73">
        <v>0</v>
      </c>
      <c r="AG73">
        <v>0</v>
      </c>
      <c r="AH73">
        <v>0</v>
      </c>
      <c r="AI73">
        <v>0</v>
      </c>
      <c r="AJ73">
        <v>0</v>
      </c>
      <c r="AK73">
        <v>0</v>
      </c>
      <c r="AL73">
        <v>0</v>
      </c>
      <c r="AM73" t="s">
        <v>53</v>
      </c>
      <c r="AN73">
        <v>1</v>
      </c>
      <c r="AO73">
        <v>2</v>
      </c>
      <c r="AP73">
        <v>2</v>
      </c>
      <c r="AQ73">
        <v>2</v>
      </c>
      <c r="AR73">
        <v>2</v>
      </c>
      <c r="AS73">
        <v>0</v>
      </c>
    </row>
    <row r="74" spans="1:45" x14ac:dyDescent="0.2">
      <c r="A74" t="s">
        <v>170</v>
      </c>
      <c r="B74" s="3">
        <f t="shared" si="1"/>
        <v>45901</v>
      </c>
      <c r="C74" t="s">
        <v>80</v>
      </c>
      <c r="D74" s="1">
        <v>1.3032407407407407E-2</v>
      </c>
      <c r="E74">
        <v>14</v>
      </c>
      <c r="F74" t="s">
        <v>114</v>
      </c>
      <c r="G74" t="s">
        <v>81</v>
      </c>
      <c r="H74" t="s">
        <v>64</v>
      </c>
      <c r="I74" s="2" t="s">
        <v>116</v>
      </c>
      <c r="J74" s="2" t="s">
        <v>50</v>
      </c>
      <c r="K74" s="2" t="s">
        <v>71</v>
      </c>
      <c r="L74" s="2" t="s">
        <v>171</v>
      </c>
      <c r="M74" s="2" t="s">
        <v>140</v>
      </c>
      <c r="N74">
        <v>0</v>
      </c>
      <c r="O74">
        <v>0</v>
      </c>
      <c r="P74">
        <v>0</v>
      </c>
      <c r="Q74">
        <v>0</v>
      </c>
      <c r="R74">
        <v>0</v>
      </c>
      <c r="S74">
        <v>0</v>
      </c>
      <c r="T74">
        <v>0</v>
      </c>
      <c r="U74">
        <v>0</v>
      </c>
      <c r="V74">
        <v>1</v>
      </c>
      <c r="W74">
        <v>1</v>
      </c>
      <c r="X74">
        <v>0</v>
      </c>
      <c r="Y74">
        <v>0</v>
      </c>
      <c r="Z74">
        <v>0</v>
      </c>
      <c r="AA74">
        <v>0</v>
      </c>
      <c r="AB74">
        <v>1</v>
      </c>
      <c r="AC74">
        <v>0</v>
      </c>
      <c r="AD74">
        <v>0</v>
      </c>
      <c r="AE74">
        <v>0</v>
      </c>
      <c r="AF74">
        <v>0</v>
      </c>
      <c r="AG74">
        <v>0</v>
      </c>
      <c r="AH74">
        <v>0</v>
      </c>
      <c r="AI74">
        <v>0</v>
      </c>
      <c r="AJ74">
        <v>0</v>
      </c>
      <c r="AK74">
        <v>0</v>
      </c>
      <c r="AL74">
        <v>0</v>
      </c>
      <c r="AM74" t="s">
        <v>53</v>
      </c>
      <c r="AN74">
        <v>1</v>
      </c>
      <c r="AO74">
        <v>2</v>
      </c>
      <c r="AP74">
        <v>1</v>
      </c>
      <c r="AQ74">
        <v>1</v>
      </c>
      <c r="AR74">
        <v>2</v>
      </c>
      <c r="AS74">
        <v>1</v>
      </c>
    </row>
    <row r="75" spans="1:45" x14ac:dyDescent="0.2">
      <c r="A75" t="s">
        <v>172</v>
      </c>
      <c r="B75" s="3">
        <f t="shared" si="1"/>
        <v>45901</v>
      </c>
      <c r="C75" t="s">
        <v>68</v>
      </c>
      <c r="D75" s="1">
        <v>1.2951388888888889E-2</v>
      </c>
      <c r="E75">
        <v>14</v>
      </c>
      <c r="F75" t="s">
        <v>114</v>
      </c>
      <c r="G75" t="s">
        <v>47</v>
      </c>
      <c r="H75" t="s">
        <v>64</v>
      </c>
      <c r="I75" s="2" t="s">
        <v>116</v>
      </c>
      <c r="J75" s="2" t="s">
        <v>50</v>
      </c>
      <c r="K75" s="2" t="s">
        <v>71</v>
      </c>
      <c r="L75" s="2" t="s">
        <v>171</v>
      </c>
      <c r="M75" s="2" t="s">
        <v>140</v>
      </c>
      <c r="N75">
        <v>0</v>
      </c>
      <c r="O75">
        <v>0</v>
      </c>
      <c r="P75">
        <v>0</v>
      </c>
      <c r="Q75">
        <v>0</v>
      </c>
      <c r="R75">
        <v>0</v>
      </c>
      <c r="S75">
        <v>0</v>
      </c>
      <c r="T75">
        <v>0</v>
      </c>
      <c r="U75">
        <v>0</v>
      </c>
      <c r="V75">
        <v>1</v>
      </c>
      <c r="W75">
        <v>1</v>
      </c>
      <c r="X75">
        <v>0</v>
      </c>
      <c r="Y75">
        <v>0</v>
      </c>
      <c r="Z75">
        <v>0</v>
      </c>
      <c r="AA75">
        <v>0</v>
      </c>
      <c r="AB75">
        <v>1</v>
      </c>
      <c r="AC75">
        <v>0</v>
      </c>
      <c r="AD75">
        <v>0</v>
      </c>
      <c r="AE75">
        <v>0</v>
      </c>
      <c r="AF75">
        <v>0</v>
      </c>
      <c r="AG75">
        <v>0</v>
      </c>
      <c r="AH75">
        <v>0</v>
      </c>
      <c r="AI75">
        <v>0</v>
      </c>
      <c r="AJ75">
        <v>0</v>
      </c>
      <c r="AK75">
        <v>0</v>
      </c>
      <c r="AL75">
        <v>0</v>
      </c>
      <c r="AM75" t="s">
        <v>53</v>
      </c>
      <c r="AN75">
        <v>1</v>
      </c>
      <c r="AO75">
        <v>2</v>
      </c>
      <c r="AP75">
        <v>1</v>
      </c>
      <c r="AQ75">
        <v>1</v>
      </c>
      <c r="AR75">
        <v>2</v>
      </c>
      <c r="AS75">
        <v>1</v>
      </c>
    </row>
    <row r="76" spans="1:45" x14ac:dyDescent="0.2">
      <c r="A76" t="s">
        <v>173</v>
      </c>
      <c r="B76" s="3">
        <f t="shared" si="1"/>
        <v>45901</v>
      </c>
      <c r="C76" t="s">
        <v>55</v>
      </c>
      <c r="D76" s="1">
        <v>2.7268518518518518E-2</v>
      </c>
      <c r="E76">
        <v>30</v>
      </c>
      <c r="F76" t="s">
        <v>167</v>
      </c>
      <c r="G76" t="s">
        <v>74</v>
      </c>
      <c r="H76" t="s">
        <v>64</v>
      </c>
      <c r="I76" s="2" t="s">
        <v>97</v>
      </c>
      <c r="J76" s="2" t="s">
        <v>50</v>
      </c>
      <c r="K76" s="2" t="s">
        <v>71</v>
      </c>
      <c r="L76" s="2" t="s">
        <v>60</v>
      </c>
      <c r="M76" s="2" t="s">
        <v>126</v>
      </c>
      <c r="N76">
        <v>0</v>
      </c>
      <c r="O76">
        <v>1</v>
      </c>
      <c r="P76">
        <v>0</v>
      </c>
      <c r="Q76">
        <v>0</v>
      </c>
      <c r="R76">
        <v>0</v>
      </c>
      <c r="S76">
        <v>1</v>
      </c>
      <c r="T76">
        <v>0</v>
      </c>
      <c r="U76">
        <v>0</v>
      </c>
      <c r="V76">
        <v>0</v>
      </c>
      <c r="W76">
        <v>0</v>
      </c>
      <c r="X76">
        <v>1</v>
      </c>
      <c r="Y76">
        <v>0</v>
      </c>
      <c r="Z76">
        <v>0</v>
      </c>
      <c r="AA76">
        <v>0</v>
      </c>
      <c r="AB76">
        <v>0</v>
      </c>
      <c r="AC76">
        <v>0</v>
      </c>
      <c r="AD76">
        <v>0</v>
      </c>
      <c r="AE76">
        <v>1</v>
      </c>
      <c r="AF76">
        <v>0</v>
      </c>
      <c r="AG76">
        <v>0</v>
      </c>
      <c r="AH76">
        <v>0</v>
      </c>
      <c r="AI76">
        <v>0</v>
      </c>
      <c r="AJ76">
        <v>0</v>
      </c>
      <c r="AK76">
        <v>0</v>
      </c>
      <c r="AL76">
        <v>0</v>
      </c>
      <c r="AM76" t="s">
        <v>53</v>
      </c>
      <c r="AN76">
        <v>1</v>
      </c>
      <c r="AO76">
        <v>2</v>
      </c>
      <c r="AP76">
        <v>2</v>
      </c>
      <c r="AQ76">
        <v>2</v>
      </c>
      <c r="AR76">
        <v>2</v>
      </c>
      <c r="AS76">
        <v>0</v>
      </c>
    </row>
    <row r="77" spans="1:45" x14ac:dyDescent="0.2">
      <c r="A77" t="s">
        <v>174</v>
      </c>
      <c r="B77" s="3">
        <f t="shared" si="1"/>
        <v>45901</v>
      </c>
      <c r="C77" t="s">
        <v>68</v>
      </c>
      <c r="D77" s="1">
        <v>2.4537037037037038E-2</v>
      </c>
      <c r="E77">
        <v>30</v>
      </c>
      <c r="F77" t="s">
        <v>167</v>
      </c>
      <c r="G77" t="s">
        <v>70</v>
      </c>
      <c r="H77" t="s">
        <v>64</v>
      </c>
      <c r="I77" s="2" t="s">
        <v>97</v>
      </c>
      <c r="J77" s="2" t="s">
        <v>50</v>
      </c>
      <c r="K77" s="2" t="s">
        <v>71</v>
      </c>
      <c r="L77" s="2" t="s">
        <v>49</v>
      </c>
      <c r="M77" s="2" t="s">
        <v>126</v>
      </c>
      <c r="N77">
        <v>0</v>
      </c>
      <c r="O77">
        <v>1</v>
      </c>
      <c r="P77">
        <v>0</v>
      </c>
      <c r="Q77">
        <v>0</v>
      </c>
      <c r="R77">
        <v>0</v>
      </c>
      <c r="S77">
        <v>1</v>
      </c>
      <c r="T77">
        <v>0</v>
      </c>
      <c r="U77">
        <v>0</v>
      </c>
      <c r="V77">
        <v>0</v>
      </c>
      <c r="W77">
        <v>0</v>
      </c>
      <c r="X77">
        <v>1</v>
      </c>
      <c r="Y77">
        <v>0</v>
      </c>
      <c r="Z77">
        <v>0</v>
      </c>
      <c r="AA77">
        <v>0</v>
      </c>
      <c r="AB77">
        <v>0</v>
      </c>
      <c r="AC77">
        <v>0</v>
      </c>
      <c r="AD77">
        <v>0</v>
      </c>
      <c r="AE77">
        <v>1</v>
      </c>
      <c r="AF77">
        <v>0</v>
      </c>
      <c r="AG77">
        <v>0</v>
      </c>
      <c r="AH77">
        <v>0</v>
      </c>
      <c r="AI77">
        <v>0</v>
      </c>
      <c r="AJ77">
        <v>0</v>
      </c>
      <c r="AK77">
        <v>0</v>
      </c>
      <c r="AL77">
        <v>0</v>
      </c>
      <c r="AM77" t="s">
        <v>53</v>
      </c>
      <c r="AN77">
        <v>1</v>
      </c>
      <c r="AO77">
        <v>2</v>
      </c>
      <c r="AP77">
        <v>2</v>
      </c>
      <c r="AQ77">
        <v>2</v>
      </c>
      <c r="AR77">
        <v>2</v>
      </c>
      <c r="AS77">
        <v>0</v>
      </c>
    </row>
    <row r="78" spans="1:45" x14ac:dyDescent="0.2">
      <c r="A78" t="s">
        <v>175</v>
      </c>
      <c r="B78" s="3">
        <f t="shared" si="1"/>
        <v>45901</v>
      </c>
      <c r="C78" t="s">
        <v>88</v>
      </c>
      <c r="D78" s="1">
        <v>2.5266203703703704E-2</v>
      </c>
      <c r="E78">
        <v>30</v>
      </c>
      <c r="F78" t="s">
        <v>167</v>
      </c>
      <c r="G78" t="s">
        <v>63</v>
      </c>
      <c r="H78" t="s">
        <v>64</v>
      </c>
      <c r="I78" s="2" t="s">
        <v>97</v>
      </c>
      <c r="J78" s="2" t="s">
        <v>50</v>
      </c>
      <c r="K78" s="2" t="s">
        <v>49</v>
      </c>
      <c r="L78" s="2" t="s">
        <v>60</v>
      </c>
      <c r="M78" s="2" t="s">
        <v>78</v>
      </c>
      <c r="N78">
        <v>0</v>
      </c>
      <c r="O78">
        <v>1</v>
      </c>
      <c r="P78">
        <v>0</v>
      </c>
      <c r="Q78">
        <v>0</v>
      </c>
      <c r="R78">
        <v>0</v>
      </c>
      <c r="S78">
        <v>1</v>
      </c>
      <c r="T78">
        <v>0</v>
      </c>
      <c r="U78">
        <v>0</v>
      </c>
      <c r="V78">
        <v>0</v>
      </c>
      <c r="W78">
        <v>0</v>
      </c>
      <c r="X78">
        <v>1</v>
      </c>
      <c r="Y78">
        <v>0</v>
      </c>
      <c r="Z78">
        <v>0</v>
      </c>
      <c r="AA78">
        <v>0</v>
      </c>
      <c r="AB78">
        <v>0</v>
      </c>
      <c r="AC78">
        <v>0</v>
      </c>
      <c r="AD78">
        <v>0</v>
      </c>
      <c r="AE78">
        <v>1</v>
      </c>
      <c r="AF78">
        <v>0</v>
      </c>
      <c r="AG78">
        <v>0</v>
      </c>
      <c r="AH78">
        <v>0</v>
      </c>
      <c r="AI78">
        <v>0</v>
      </c>
      <c r="AJ78">
        <v>0</v>
      </c>
      <c r="AK78">
        <v>0</v>
      </c>
      <c r="AL78">
        <v>0</v>
      </c>
      <c r="AM78" t="s">
        <v>53</v>
      </c>
      <c r="AN78">
        <v>1</v>
      </c>
      <c r="AO78">
        <v>2</v>
      </c>
      <c r="AP78">
        <v>2</v>
      </c>
      <c r="AQ78">
        <v>2</v>
      </c>
      <c r="AR78">
        <v>2</v>
      </c>
      <c r="AS78">
        <v>0</v>
      </c>
    </row>
    <row r="79" spans="1:45" x14ac:dyDescent="0.2">
      <c r="A79" t="s">
        <v>176</v>
      </c>
      <c r="B79" s="3">
        <f t="shared" si="1"/>
        <v>45931</v>
      </c>
      <c r="C79" t="s">
        <v>45</v>
      </c>
      <c r="D79" s="1">
        <v>1.8275462962962962E-2</v>
      </c>
      <c r="E79">
        <v>30</v>
      </c>
      <c r="F79" t="s">
        <v>167</v>
      </c>
      <c r="G79" t="s">
        <v>146</v>
      </c>
      <c r="H79" t="s">
        <v>64</v>
      </c>
      <c r="I79" s="2" t="s">
        <v>49</v>
      </c>
      <c r="J79" s="2" t="s">
        <v>50</v>
      </c>
      <c r="K79" s="2" t="s">
        <v>49</v>
      </c>
      <c r="L79" s="2" t="s">
        <v>49</v>
      </c>
      <c r="M79" s="2" t="s">
        <v>102</v>
      </c>
      <c r="N79">
        <v>0</v>
      </c>
      <c r="O79">
        <v>1</v>
      </c>
      <c r="P79">
        <v>0</v>
      </c>
      <c r="Q79">
        <v>0</v>
      </c>
      <c r="R79">
        <v>0</v>
      </c>
      <c r="S79">
        <v>1</v>
      </c>
      <c r="T79">
        <v>0</v>
      </c>
      <c r="U79">
        <v>0</v>
      </c>
      <c r="V79">
        <v>0</v>
      </c>
      <c r="W79">
        <v>0</v>
      </c>
      <c r="X79">
        <v>1</v>
      </c>
      <c r="Y79">
        <v>0</v>
      </c>
      <c r="Z79">
        <v>0</v>
      </c>
      <c r="AA79">
        <v>0</v>
      </c>
      <c r="AB79">
        <v>0</v>
      </c>
      <c r="AC79">
        <v>0</v>
      </c>
      <c r="AD79">
        <v>0</v>
      </c>
      <c r="AE79">
        <v>1</v>
      </c>
      <c r="AF79">
        <v>0</v>
      </c>
      <c r="AG79">
        <v>0</v>
      </c>
      <c r="AH79">
        <v>0</v>
      </c>
      <c r="AI79">
        <v>0</v>
      </c>
      <c r="AJ79">
        <v>0</v>
      </c>
      <c r="AK79">
        <v>0</v>
      </c>
      <c r="AL79">
        <v>0</v>
      </c>
      <c r="AM79" t="s">
        <v>53</v>
      </c>
      <c r="AN79">
        <v>1</v>
      </c>
      <c r="AO79">
        <v>2</v>
      </c>
      <c r="AP79">
        <v>2</v>
      </c>
      <c r="AQ79">
        <v>2</v>
      </c>
      <c r="AR79">
        <v>2</v>
      </c>
      <c r="AS79">
        <v>0</v>
      </c>
    </row>
    <row r="80" spans="1:45" x14ac:dyDescent="0.2">
      <c r="A80" t="s">
        <v>177</v>
      </c>
      <c r="B80" s="3">
        <f t="shared" si="1"/>
        <v>45931</v>
      </c>
      <c r="C80" t="s">
        <v>55</v>
      </c>
      <c r="D80" s="1">
        <v>2.6145833333333333E-2</v>
      </c>
      <c r="E80">
        <v>30</v>
      </c>
      <c r="F80" t="s">
        <v>167</v>
      </c>
      <c r="G80" t="s">
        <v>85</v>
      </c>
      <c r="H80" t="s">
        <v>64</v>
      </c>
      <c r="I80" s="2" t="s">
        <v>76</v>
      </c>
      <c r="J80" s="2" t="s">
        <v>50</v>
      </c>
      <c r="K80" s="2" t="s">
        <v>59</v>
      </c>
      <c r="L80" s="2" t="s">
        <v>76</v>
      </c>
      <c r="M80" s="2" t="s">
        <v>52</v>
      </c>
      <c r="N80">
        <v>0</v>
      </c>
      <c r="O80">
        <v>1</v>
      </c>
      <c r="P80">
        <v>0</v>
      </c>
      <c r="Q80">
        <v>0</v>
      </c>
      <c r="R80">
        <v>0</v>
      </c>
      <c r="S80">
        <v>1</v>
      </c>
      <c r="T80">
        <v>0</v>
      </c>
      <c r="U80">
        <v>0</v>
      </c>
      <c r="V80">
        <v>0</v>
      </c>
      <c r="W80">
        <v>0</v>
      </c>
      <c r="X80">
        <v>1</v>
      </c>
      <c r="Y80">
        <v>0</v>
      </c>
      <c r="Z80">
        <v>0</v>
      </c>
      <c r="AA80">
        <v>0</v>
      </c>
      <c r="AB80">
        <v>0</v>
      </c>
      <c r="AC80">
        <v>0</v>
      </c>
      <c r="AD80">
        <v>0</v>
      </c>
      <c r="AE80">
        <v>1</v>
      </c>
      <c r="AF80">
        <v>0</v>
      </c>
      <c r="AG80">
        <v>0</v>
      </c>
      <c r="AH80">
        <v>0</v>
      </c>
      <c r="AI80">
        <v>0</v>
      </c>
      <c r="AJ80">
        <v>0</v>
      </c>
      <c r="AK80">
        <v>0</v>
      </c>
      <c r="AL80">
        <v>0</v>
      </c>
      <c r="AM80" t="s">
        <v>53</v>
      </c>
      <c r="AN80">
        <v>1</v>
      </c>
      <c r="AO80">
        <v>2</v>
      </c>
      <c r="AP80">
        <v>2</v>
      </c>
      <c r="AQ80">
        <v>2</v>
      </c>
      <c r="AR80">
        <v>2</v>
      </c>
      <c r="AS80">
        <v>0</v>
      </c>
    </row>
    <row r="81" spans="1:45" x14ac:dyDescent="0.2">
      <c r="A81" t="s">
        <v>178</v>
      </c>
      <c r="B81" s="3">
        <f t="shared" si="1"/>
        <v>45931</v>
      </c>
      <c r="C81" t="s">
        <v>80</v>
      </c>
      <c r="D81" s="1">
        <v>2.2719907407407407E-2</v>
      </c>
      <c r="E81">
        <v>30</v>
      </c>
      <c r="F81" t="s">
        <v>167</v>
      </c>
      <c r="G81" t="s">
        <v>179</v>
      </c>
      <c r="H81" t="s">
        <v>64</v>
      </c>
      <c r="I81" s="2" t="s">
        <v>49</v>
      </c>
      <c r="J81" s="2" t="s">
        <v>50</v>
      </c>
      <c r="K81" s="2" t="s">
        <v>59</v>
      </c>
      <c r="L81" s="2" t="s">
        <v>76</v>
      </c>
      <c r="M81" s="2" t="s">
        <v>61</v>
      </c>
      <c r="N81">
        <v>0</v>
      </c>
      <c r="O81">
        <v>1</v>
      </c>
      <c r="P81">
        <v>0</v>
      </c>
      <c r="Q81">
        <v>0</v>
      </c>
      <c r="R81">
        <v>0</v>
      </c>
      <c r="S81">
        <v>1</v>
      </c>
      <c r="T81">
        <v>0</v>
      </c>
      <c r="U81">
        <v>0</v>
      </c>
      <c r="V81">
        <v>0</v>
      </c>
      <c r="W81">
        <v>0</v>
      </c>
      <c r="X81">
        <v>1</v>
      </c>
      <c r="Y81">
        <v>0</v>
      </c>
      <c r="Z81">
        <v>0</v>
      </c>
      <c r="AA81">
        <v>0</v>
      </c>
      <c r="AB81">
        <v>0</v>
      </c>
      <c r="AC81">
        <v>0</v>
      </c>
      <c r="AD81">
        <v>0</v>
      </c>
      <c r="AE81">
        <v>1</v>
      </c>
      <c r="AF81">
        <v>0</v>
      </c>
      <c r="AG81">
        <v>0</v>
      </c>
      <c r="AH81">
        <v>0</v>
      </c>
      <c r="AI81">
        <v>0</v>
      </c>
      <c r="AJ81">
        <v>0</v>
      </c>
      <c r="AK81">
        <v>0</v>
      </c>
      <c r="AL81">
        <v>0</v>
      </c>
      <c r="AM81" t="s">
        <v>53</v>
      </c>
      <c r="AN81">
        <v>1</v>
      </c>
      <c r="AO81">
        <v>2</v>
      </c>
      <c r="AP81">
        <v>2</v>
      </c>
      <c r="AQ81">
        <v>2</v>
      </c>
      <c r="AR81">
        <v>2</v>
      </c>
      <c r="AS81">
        <v>0</v>
      </c>
    </row>
    <row r="82" spans="1:45" x14ac:dyDescent="0.2">
      <c r="A82" t="s">
        <v>180</v>
      </c>
      <c r="B82" s="3">
        <f t="shared" si="1"/>
        <v>45931</v>
      </c>
      <c r="C82" t="s">
        <v>55</v>
      </c>
      <c r="D82" s="1">
        <v>1.087962962962963E-2</v>
      </c>
      <c r="E82">
        <v>17</v>
      </c>
      <c r="F82" t="s">
        <v>89</v>
      </c>
      <c r="G82" t="s">
        <v>57</v>
      </c>
      <c r="H82" t="s">
        <v>64</v>
      </c>
      <c r="I82" s="2" t="s">
        <v>65</v>
      </c>
      <c r="J82" s="2" t="s">
        <v>50</v>
      </c>
      <c r="K82" s="2" t="s">
        <v>76</v>
      </c>
      <c r="L82" s="2" t="s">
        <v>99</v>
      </c>
      <c r="M82" s="2" t="s">
        <v>95</v>
      </c>
      <c r="N82">
        <v>0</v>
      </c>
      <c r="O82">
        <v>0</v>
      </c>
      <c r="P82">
        <v>0</v>
      </c>
      <c r="Q82">
        <v>0</v>
      </c>
      <c r="R82">
        <v>1</v>
      </c>
      <c r="S82">
        <v>0</v>
      </c>
      <c r="T82">
        <v>1</v>
      </c>
      <c r="U82">
        <v>0</v>
      </c>
      <c r="V82">
        <v>0</v>
      </c>
      <c r="W82">
        <v>0</v>
      </c>
      <c r="X82">
        <v>0</v>
      </c>
      <c r="Y82">
        <v>1</v>
      </c>
      <c r="Z82">
        <v>0</v>
      </c>
      <c r="AA82">
        <v>0</v>
      </c>
      <c r="AB82">
        <v>0</v>
      </c>
      <c r="AC82">
        <v>0</v>
      </c>
      <c r="AD82">
        <v>0</v>
      </c>
      <c r="AE82">
        <v>0</v>
      </c>
      <c r="AF82">
        <v>0</v>
      </c>
      <c r="AG82">
        <v>0</v>
      </c>
      <c r="AH82">
        <v>0</v>
      </c>
      <c r="AI82">
        <v>0</v>
      </c>
      <c r="AJ82">
        <v>0</v>
      </c>
      <c r="AK82">
        <v>0</v>
      </c>
      <c r="AL82">
        <v>0</v>
      </c>
      <c r="AM82" t="s">
        <v>53</v>
      </c>
      <c r="AN82">
        <v>0</v>
      </c>
      <c r="AO82">
        <v>2</v>
      </c>
      <c r="AP82">
        <v>0</v>
      </c>
      <c r="AQ82">
        <v>0</v>
      </c>
      <c r="AR82">
        <v>1</v>
      </c>
      <c r="AS82">
        <v>0</v>
      </c>
    </row>
    <row r="83" spans="1:45" x14ac:dyDescent="0.2">
      <c r="A83" t="s">
        <v>181</v>
      </c>
      <c r="B83" s="3">
        <f t="shared" si="1"/>
        <v>45931</v>
      </c>
      <c r="C83" t="s">
        <v>88</v>
      </c>
      <c r="D83" s="1">
        <v>1.8113425925925925E-2</v>
      </c>
      <c r="E83">
        <v>30</v>
      </c>
      <c r="F83" t="s">
        <v>167</v>
      </c>
      <c r="G83" t="s">
        <v>47</v>
      </c>
      <c r="H83" t="s">
        <v>64</v>
      </c>
      <c r="I83" s="2" t="s">
        <v>65</v>
      </c>
      <c r="J83" s="2" t="s">
        <v>50</v>
      </c>
      <c r="K83" s="2" t="s">
        <v>49</v>
      </c>
      <c r="L83" s="2" t="s">
        <v>90</v>
      </c>
      <c r="M83" s="2" t="s">
        <v>61</v>
      </c>
      <c r="N83">
        <v>0</v>
      </c>
      <c r="O83">
        <v>1</v>
      </c>
      <c r="P83">
        <v>0</v>
      </c>
      <c r="Q83">
        <v>0</v>
      </c>
      <c r="R83">
        <v>0</v>
      </c>
      <c r="S83">
        <v>1</v>
      </c>
      <c r="T83">
        <v>0</v>
      </c>
      <c r="U83">
        <v>0</v>
      </c>
      <c r="V83">
        <v>0</v>
      </c>
      <c r="W83">
        <v>0</v>
      </c>
      <c r="X83">
        <v>1</v>
      </c>
      <c r="Y83">
        <v>0</v>
      </c>
      <c r="Z83">
        <v>0</v>
      </c>
      <c r="AA83">
        <v>0</v>
      </c>
      <c r="AB83">
        <v>0</v>
      </c>
      <c r="AC83">
        <v>0</v>
      </c>
      <c r="AD83">
        <v>0</v>
      </c>
      <c r="AE83">
        <v>1</v>
      </c>
      <c r="AF83">
        <v>0</v>
      </c>
      <c r="AG83">
        <v>0</v>
      </c>
      <c r="AH83">
        <v>0</v>
      </c>
      <c r="AI83">
        <v>0</v>
      </c>
      <c r="AJ83">
        <v>0</v>
      </c>
      <c r="AK83">
        <v>0</v>
      </c>
      <c r="AL83">
        <v>0</v>
      </c>
      <c r="AM83" t="s">
        <v>53</v>
      </c>
      <c r="AN83">
        <v>1</v>
      </c>
      <c r="AO83">
        <v>2</v>
      </c>
      <c r="AP83">
        <v>2</v>
      </c>
      <c r="AQ83">
        <v>2</v>
      </c>
      <c r="AR83">
        <v>2</v>
      </c>
      <c r="AS83">
        <v>0</v>
      </c>
    </row>
    <row r="84" spans="1:45" x14ac:dyDescent="0.2">
      <c r="A84" t="s">
        <v>182</v>
      </c>
      <c r="B84" s="3">
        <f t="shared" si="1"/>
        <v>45931</v>
      </c>
      <c r="C84" t="s">
        <v>68</v>
      </c>
      <c r="D84" s="1">
        <v>1.2939814814814815E-2</v>
      </c>
      <c r="E84">
        <v>31</v>
      </c>
      <c r="F84" t="s">
        <v>183</v>
      </c>
      <c r="G84" t="s">
        <v>70</v>
      </c>
      <c r="H84" t="s">
        <v>64</v>
      </c>
      <c r="I84" s="2" t="s">
        <v>97</v>
      </c>
      <c r="J84" s="2" t="s">
        <v>50</v>
      </c>
      <c r="K84" s="2" t="s">
        <v>76</v>
      </c>
      <c r="L84" s="2" t="s">
        <v>49</v>
      </c>
      <c r="M84" s="2" t="s">
        <v>126</v>
      </c>
      <c r="N84">
        <v>0</v>
      </c>
      <c r="O84">
        <v>0</v>
      </c>
      <c r="P84">
        <v>1</v>
      </c>
      <c r="Q84">
        <v>0</v>
      </c>
      <c r="R84">
        <v>0</v>
      </c>
      <c r="S84">
        <v>0</v>
      </c>
      <c r="T84">
        <v>0</v>
      </c>
      <c r="U84">
        <v>0</v>
      </c>
      <c r="V84">
        <v>0</v>
      </c>
      <c r="W84">
        <v>0</v>
      </c>
      <c r="X84">
        <v>0</v>
      </c>
      <c r="Y84">
        <v>1</v>
      </c>
      <c r="Z84">
        <v>0</v>
      </c>
      <c r="AA84">
        <v>0</v>
      </c>
      <c r="AB84">
        <v>0</v>
      </c>
      <c r="AC84">
        <v>0</v>
      </c>
      <c r="AD84">
        <v>0</v>
      </c>
      <c r="AE84">
        <v>0</v>
      </c>
      <c r="AF84">
        <v>0</v>
      </c>
      <c r="AG84">
        <v>0</v>
      </c>
      <c r="AH84">
        <v>0</v>
      </c>
      <c r="AI84">
        <v>0</v>
      </c>
      <c r="AJ84">
        <v>0</v>
      </c>
      <c r="AK84">
        <v>0</v>
      </c>
      <c r="AL84">
        <v>0</v>
      </c>
      <c r="AM84" t="s">
        <v>53</v>
      </c>
      <c r="AN84">
        <v>0</v>
      </c>
      <c r="AO84">
        <v>1</v>
      </c>
      <c r="AP84">
        <v>1</v>
      </c>
      <c r="AQ84">
        <v>0</v>
      </c>
      <c r="AR84">
        <v>0</v>
      </c>
      <c r="AS84">
        <v>0</v>
      </c>
    </row>
    <row r="85" spans="1:45" x14ac:dyDescent="0.2">
      <c r="A85" t="s">
        <v>184</v>
      </c>
      <c r="B85" s="3">
        <f t="shared" si="1"/>
        <v>45931</v>
      </c>
      <c r="C85" t="s">
        <v>80</v>
      </c>
      <c r="D85" s="1">
        <v>2.1157407407407406E-2</v>
      </c>
      <c r="E85">
        <v>30</v>
      </c>
      <c r="F85" t="s">
        <v>167</v>
      </c>
      <c r="G85" t="s">
        <v>81</v>
      </c>
      <c r="H85" t="s">
        <v>64</v>
      </c>
      <c r="I85" s="2" t="s">
        <v>75</v>
      </c>
      <c r="J85" s="2" t="s">
        <v>50</v>
      </c>
      <c r="K85" s="2" t="s">
        <v>59</v>
      </c>
      <c r="L85" s="2" t="s">
        <v>77</v>
      </c>
      <c r="M85" s="2" t="s">
        <v>52</v>
      </c>
      <c r="N85">
        <v>0</v>
      </c>
      <c r="O85">
        <v>1</v>
      </c>
      <c r="P85">
        <v>0</v>
      </c>
      <c r="Q85">
        <v>0</v>
      </c>
      <c r="R85">
        <v>0</v>
      </c>
      <c r="S85">
        <v>1</v>
      </c>
      <c r="T85">
        <v>0</v>
      </c>
      <c r="U85">
        <v>0</v>
      </c>
      <c r="V85">
        <v>0</v>
      </c>
      <c r="W85">
        <v>0</v>
      </c>
      <c r="X85">
        <v>1</v>
      </c>
      <c r="Y85">
        <v>0</v>
      </c>
      <c r="Z85">
        <v>0</v>
      </c>
      <c r="AA85">
        <v>0</v>
      </c>
      <c r="AB85">
        <v>0</v>
      </c>
      <c r="AC85">
        <v>0</v>
      </c>
      <c r="AD85">
        <v>0</v>
      </c>
      <c r="AE85">
        <v>1</v>
      </c>
      <c r="AF85">
        <v>0</v>
      </c>
      <c r="AG85">
        <v>0</v>
      </c>
      <c r="AH85">
        <v>0</v>
      </c>
      <c r="AI85">
        <v>0</v>
      </c>
      <c r="AJ85">
        <v>0</v>
      </c>
      <c r="AK85">
        <v>0</v>
      </c>
      <c r="AL85">
        <v>0</v>
      </c>
      <c r="AM85" t="s">
        <v>53</v>
      </c>
      <c r="AN85">
        <v>1</v>
      </c>
      <c r="AO85">
        <v>2</v>
      </c>
      <c r="AP85">
        <v>2</v>
      </c>
      <c r="AQ85">
        <v>2</v>
      </c>
      <c r="AR85">
        <v>2</v>
      </c>
      <c r="AS85">
        <v>0</v>
      </c>
    </row>
    <row r="86" spans="1:45" x14ac:dyDescent="0.2">
      <c r="A86" t="s">
        <v>185</v>
      </c>
      <c r="B86" s="3">
        <f t="shared" si="1"/>
        <v>45962</v>
      </c>
      <c r="C86" t="s">
        <v>88</v>
      </c>
      <c r="D86" s="1">
        <v>1.3900462962962963E-2</v>
      </c>
      <c r="E86">
        <v>16</v>
      </c>
      <c r="F86" t="s">
        <v>73</v>
      </c>
      <c r="G86" t="s">
        <v>63</v>
      </c>
      <c r="H86" t="s">
        <v>48</v>
      </c>
      <c r="I86" s="2" t="s">
        <v>97</v>
      </c>
      <c r="J86" s="2" t="s">
        <v>59</v>
      </c>
      <c r="K86" s="2" t="s">
        <v>49</v>
      </c>
      <c r="L86" s="2" t="s">
        <v>66</v>
      </c>
      <c r="M86" s="2" t="s">
        <v>61</v>
      </c>
      <c r="N86">
        <v>0</v>
      </c>
      <c r="O86">
        <v>0</v>
      </c>
      <c r="P86">
        <v>0</v>
      </c>
      <c r="Q86">
        <v>1</v>
      </c>
      <c r="R86">
        <v>0</v>
      </c>
      <c r="S86">
        <v>0</v>
      </c>
      <c r="T86">
        <v>0</v>
      </c>
      <c r="U86">
        <v>0</v>
      </c>
      <c r="V86">
        <v>0</v>
      </c>
      <c r="W86">
        <v>0</v>
      </c>
      <c r="X86">
        <v>0</v>
      </c>
      <c r="Y86">
        <v>0</v>
      </c>
      <c r="Z86">
        <v>0</v>
      </c>
      <c r="AA86">
        <v>1</v>
      </c>
      <c r="AB86">
        <v>0</v>
      </c>
      <c r="AC86">
        <v>0</v>
      </c>
      <c r="AD86">
        <v>0</v>
      </c>
      <c r="AE86">
        <v>0</v>
      </c>
      <c r="AF86">
        <v>0</v>
      </c>
      <c r="AG86">
        <v>0</v>
      </c>
      <c r="AH86">
        <v>0</v>
      </c>
      <c r="AI86">
        <v>0</v>
      </c>
      <c r="AJ86">
        <v>0</v>
      </c>
      <c r="AK86">
        <v>0</v>
      </c>
      <c r="AL86">
        <v>0</v>
      </c>
      <c r="AM86" t="s">
        <v>53</v>
      </c>
      <c r="AN86">
        <v>0</v>
      </c>
      <c r="AO86">
        <v>1</v>
      </c>
      <c r="AP86">
        <v>0</v>
      </c>
      <c r="AQ86">
        <v>0</v>
      </c>
      <c r="AR86">
        <v>1</v>
      </c>
      <c r="AS86">
        <v>0</v>
      </c>
    </row>
    <row r="87" spans="1:45" x14ac:dyDescent="0.2">
      <c r="A87" t="s">
        <v>186</v>
      </c>
      <c r="B87" s="3">
        <f t="shared" si="1"/>
        <v>45962</v>
      </c>
      <c r="C87" t="s">
        <v>55</v>
      </c>
      <c r="D87" s="1">
        <v>1.7974537037037035E-2</v>
      </c>
      <c r="E87">
        <v>24</v>
      </c>
      <c r="F87" t="s">
        <v>155</v>
      </c>
      <c r="G87" t="s">
        <v>57</v>
      </c>
      <c r="H87" t="s">
        <v>64</v>
      </c>
      <c r="I87" s="2" t="s">
        <v>97</v>
      </c>
      <c r="J87" s="2" t="s">
        <v>59</v>
      </c>
      <c r="K87" s="2" t="s">
        <v>49</v>
      </c>
      <c r="L87" s="2" t="s">
        <v>120</v>
      </c>
      <c r="M87" s="2" t="s">
        <v>78</v>
      </c>
      <c r="N87">
        <v>0</v>
      </c>
      <c r="O87">
        <v>0</v>
      </c>
      <c r="P87">
        <v>0</v>
      </c>
      <c r="Q87">
        <v>0</v>
      </c>
      <c r="R87">
        <v>0</v>
      </c>
      <c r="S87">
        <v>0</v>
      </c>
      <c r="T87">
        <v>0</v>
      </c>
      <c r="U87">
        <v>0</v>
      </c>
      <c r="V87">
        <v>0</v>
      </c>
      <c r="W87">
        <v>0</v>
      </c>
      <c r="X87">
        <v>0</v>
      </c>
      <c r="Y87">
        <v>0</v>
      </c>
      <c r="Z87">
        <v>0</v>
      </c>
      <c r="AA87">
        <v>0</v>
      </c>
      <c r="AB87">
        <v>1</v>
      </c>
      <c r="AC87">
        <v>0</v>
      </c>
      <c r="AD87">
        <v>0</v>
      </c>
      <c r="AE87">
        <v>0</v>
      </c>
      <c r="AF87">
        <v>0</v>
      </c>
      <c r="AG87">
        <v>0</v>
      </c>
      <c r="AH87">
        <v>0</v>
      </c>
      <c r="AI87">
        <v>0</v>
      </c>
      <c r="AJ87">
        <v>0</v>
      </c>
      <c r="AK87">
        <v>0</v>
      </c>
      <c r="AL87">
        <v>0</v>
      </c>
      <c r="AM87" t="s">
        <v>53</v>
      </c>
      <c r="AN87">
        <v>1</v>
      </c>
      <c r="AO87">
        <v>1</v>
      </c>
      <c r="AP87">
        <v>1</v>
      </c>
      <c r="AQ87">
        <v>1</v>
      </c>
      <c r="AR87">
        <v>1</v>
      </c>
      <c r="AS87">
        <v>1</v>
      </c>
    </row>
    <row r="88" spans="1:45" x14ac:dyDescent="0.2">
      <c r="A88" t="s">
        <v>187</v>
      </c>
      <c r="B88" s="3">
        <f t="shared" si="1"/>
        <v>45962</v>
      </c>
      <c r="C88" t="s">
        <v>55</v>
      </c>
      <c r="D88" s="1">
        <v>2.0856481481481483E-2</v>
      </c>
      <c r="E88">
        <v>33</v>
      </c>
      <c r="F88" t="s">
        <v>188</v>
      </c>
      <c r="G88" t="s">
        <v>74</v>
      </c>
      <c r="H88" t="s">
        <v>48</v>
      </c>
      <c r="I88" s="2" t="s">
        <v>49</v>
      </c>
      <c r="J88" s="2" t="s">
        <v>50</v>
      </c>
      <c r="K88" s="2" t="s">
        <v>76</v>
      </c>
      <c r="L88" s="2" t="s">
        <v>90</v>
      </c>
      <c r="M88" s="2" t="s">
        <v>108</v>
      </c>
      <c r="N88">
        <v>0</v>
      </c>
      <c r="O88">
        <v>0</v>
      </c>
      <c r="P88">
        <v>1</v>
      </c>
      <c r="Q88">
        <v>0</v>
      </c>
      <c r="R88">
        <v>0</v>
      </c>
      <c r="S88">
        <v>1</v>
      </c>
      <c r="T88">
        <v>0</v>
      </c>
      <c r="U88">
        <v>0</v>
      </c>
      <c r="V88">
        <v>0</v>
      </c>
      <c r="W88">
        <v>0</v>
      </c>
      <c r="X88">
        <v>0</v>
      </c>
      <c r="Y88">
        <v>0</v>
      </c>
      <c r="Z88">
        <v>0</v>
      </c>
      <c r="AA88">
        <v>0</v>
      </c>
      <c r="AB88">
        <v>0</v>
      </c>
      <c r="AC88">
        <v>0</v>
      </c>
      <c r="AD88">
        <v>0</v>
      </c>
      <c r="AE88">
        <v>0</v>
      </c>
      <c r="AF88">
        <v>0</v>
      </c>
      <c r="AG88">
        <v>0</v>
      </c>
      <c r="AH88">
        <v>0</v>
      </c>
      <c r="AI88">
        <v>0</v>
      </c>
      <c r="AJ88">
        <v>0</v>
      </c>
      <c r="AK88">
        <v>0</v>
      </c>
      <c r="AL88">
        <v>1</v>
      </c>
      <c r="AM88" t="s">
        <v>53</v>
      </c>
      <c r="AN88">
        <v>1</v>
      </c>
      <c r="AO88">
        <v>0</v>
      </c>
      <c r="AP88">
        <v>1</v>
      </c>
      <c r="AQ88">
        <v>1</v>
      </c>
      <c r="AR88">
        <v>0</v>
      </c>
      <c r="AS88">
        <v>0</v>
      </c>
    </row>
    <row r="89" spans="1:45" x14ac:dyDescent="0.2">
      <c r="A89" t="s">
        <v>189</v>
      </c>
      <c r="B89" s="3">
        <f t="shared" si="1"/>
        <v>45962</v>
      </c>
      <c r="C89" t="s">
        <v>68</v>
      </c>
      <c r="D89" s="1">
        <v>1.5960648148148147E-2</v>
      </c>
      <c r="E89">
        <v>33</v>
      </c>
      <c r="F89" t="s">
        <v>188</v>
      </c>
      <c r="G89" t="s">
        <v>70</v>
      </c>
      <c r="H89" t="s">
        <v>64</v>
      </c>
      <c r="I89" s="2" t="s">
        <v>65</v>
      </c>
      <c r="J89" s="2" t="s">
        <v>59</v>
      </c>
      <c r="K89" s="2" t="s">
        <v>49</v>
      </c>
      <c r="L89" s="2" t="s">
        <v>51</v>
      </c>
      <c r="M89" s="2" t="s">
        <v>78</v>
      </c>
      <c r="N89">
        <v>0</v>
      </c>
      <c r="O89">
        <v>0</v>
      </c>
      <c r="P89">
        <v>1</v>
      </c>
      <c r="Q89">
        <v>0</v>
      </c>
      <c r="R89">
        <v>0</v>
      </c>
      <c r="S89">
        <v>1</v>
      </c>
      <c r="T89">
        <v>0</v>
      </c>
      <c r="U89">
        <v>0</v>
      </c>
      <c r="V89">
        <v>0</v>
      </c>
      <c r="W89">
        <v>0</v>
      </c>
      <c r="X89">
        <v>0</v>
      </c>
      <c r="Y89">
        <v>0</v>
      </c>
      <c r="Z89">
        <v>0</v>
      </c>
      <c r="AA89">
        <v>0</v>
      </c>
      <c r="AB89">
        <v>0</v>
      </c>
      <c r="AC89">
        <v>0</v>
      </c>
      <c r="AD89">
        <v>0</v>
      </c>
      <c r="AE89">
        <v>0</v>
      </c>
      <c r="AF89">
        <v>0</v>
      </c>
      <c r="AG89">
        <v>0</v>
      </c>
      <c r="AH89">
        <v>0</v>
      </c>
      <c r="AI89">
        <v>0</v>
      </c>
      <c r="AJ89">
        <v>0</v>
      </c>
      <c r="AK89">
        <v>0</v>
      </c>
      <c r="AL89">
        <v>1</v>
      </c>
      <c r="AM89" t="s">
        <v>53</v>
      </c>
      <c r="AN89">
        <v>1</v>
      </c>
      <c r="AO89">
        <v>0</v>
      </c>
      <c r="AP89">
        <v>1</v>
      </c>
      <c r="AQ89">
        <v>1</v>
      </c>
      <c r="AR89">
        <v>0</v>
      </c>
      <c r="AS89">
        <v>0</v>
      </c>
    </row>
    <row r="90" spans="1:45" x14ac:dyDescent="0.2">
      <c r="A90" t="s">
        <v>190</v>
      </c>
      <c r="B90" s="3">
        <f t="shared" si="1"/>
        <v>45962</v>
      </c>
      <c r="C90" t="s">
        <v>88</v>
      </c>
      <c r="D90" s="1">
        <v>1.4594907407407407E-2</v>
      </c>
      <c r="E90">
        <v>26</v>
      </c>
      <c r="F90" t="s">
        <v>92</v>
      </c>
      <c r="G90" t="s">
        <v>146</v>
      </c>
      <c r="H90" t="s">
        <v>64</v>
      </c>
      <c r="I90" s="2" t="s">
        <v>50</v>
      </c>
      <c r="J90" s="2" t="s">
        <v>50</v>
      </c>
      <c r="K90" s="2" t="s">
        <v>49</v>
      </c>
      <c r="L90" s="2" t="s">
        <v>139</v>
      </c>
      <c r="M90" s="2" t="s">
        <v>126</v>
      </c>
      <c r="N90">
        <v>0</v>
      </c>
      <c r="O90">
        <v>0</v>
      </c>
      <c r="P90">
        <v>0</v>
      </c>
      <c r="Q90">
        <v>0</v>
      </c>
      <c r="R90">
        <v>0</v>
      </c>
      <c r="S90">
        <v>0</v>
      </c>
      <c r="T90">
        <v>1</v>
      </c>
      <c r="U90">
        <v>0</v>
      </c>
      <c r="V90">
        <v>0</v>
      </c>
      <c r="W90">
        <v>0</v>
      </c>
      <c r="X90">
        <v>0</v>
      </c>
      <c r="Y90">
        <v>1</v>
      </c>
      <c r="Z90">
        <v>0</v>
      </c>
      <c r="AA90">
        <v>0</v>
      </c>
      <c r="AB90">
        <v>0</v>
      </c>
      <c r="AC90">
        <v>1</v>
      </c>
      <c r="AD90">
        <v>0</v>
      </c>
      <c r="AE90">
        <v>0</v>
      </c>
      <c r="AF90">
        <v>0</v>
      </c>
      <c r="AG90">
        <v>0</v>
      </c>
      <c r="AH90">
        <v>0</v>
      </c>
      <c r="AI90">
        <v>0</v>
      </c>
      <c r="AJ90">
        <v>0</v>
      </c>
      <c r="AK90">
        <v>0</v>
      </c>
      <c r="AL90">
        <v>0</v>
      </c>
      <c r="AM90" t="s">
        <v>53</v>
      </c>
      <c r="AN90">
        <v>0</v>
      </c>
      <c r="AO90">
        <v>2</v>
      </c>
      <c r="AP90">
        <v>0</v>
      </c>
      <c r="AQ90">
        <v>0</v>
      </c>
      <c r="AR90">
        <v>0</v>
      </c>
      <c r="AS90">
        <v>0</v>
      </c>
    </row>
    <row r="91" spans="1:45" x14ac:dyDescent="0.2">
      <c r="A91" t="s">
        <v>191</v>
      </c>
      <c r="B91" s="3">
        <f t="shared" si="1"/>
        <v>45962</v>
      </c>
      <c r="C91" t="s">
        <v>80</v>
      </c>
      <c r="D91" s="1">
        <v>1.6111111111111111E-2</v>
      </c>
      <c r="E91">
        <v>33</v>
      </c>
      <c r="F91" t="s">
        <v>188</v>
      </c>
      <c r="G91" t="s">
        <v>105</v>
      </c>
      <c r="H91" t="s">
        <v>64</v>
      </c>
      <c r="I91" s="2" t="s">
        <v>65</v>
      </c>
      <c r="J91" s="2" t="s">
        <v>50</v>
      </c>
      <c r="K91" s="2" t="s">
        <v>49</v>
      </c>
      <c r="L91" s="2" t="s">
        <v>60</v>
      </c>
      <c r="M91" s="2" t="s">
        <v>52</v>
      </c>
      <c r="N91">
        <v>0</v>
      </c>
      <c r="O91">
        <v>0</v>
      </c>
      <c r="P91">
        <v>1</v>
      </c>
      <c r="Q91">
        <v>0</v>
      </c>
      <c r="R91">
        <v>0</v>
      </c>
      <c r="S91">
        <v>1</v>
      </c>
      <c r="T91">
        <v>0</v>
      </c>
      <c r="U91">
        <v>0</v>
      </c>
      <c r="V91">
        <v>0</v>
      </c>
      <c r="W91">
        <v>0</v>
      </c>
      <c r="X91">
        <v>0</v>
      </c>
      <c r="Y91">
        <v>0</v>
      </c>
      <c r="Z91">
        <v>0</v>
      </c>
      <c r="AA91">
        <v>0</v>
      </c>
      <c r="AB91">
        <v>0</v>
      </c>
      <c r="AC91">
        <v>0</v>
      </c>
      <c r="AD91">
        <v>0</v>
      </c>
      <c r="AE91">
        <v>0</v>
      </c>
      <c r="AF91">
        <v>0</v>
      </c>
      <c r="AG91">
        <v>0</v>
      </c>
      <c r="AH91">
        <v>0</v>
      </c>
      <c r="AI91">
        <v>0</v>
      </c>
      <c r="AJ91">
        <v>0</v>
      </c>
      <c r="AK91">
        <v>0</v>
      </c>
      <c r="AL91">
        <v>1</v>
      </c>
      <c r="AM91" t="s">
        <v>53</v>
      </c>
      <c r="AN91">
        <v>1</v>
      </c>
      <c r="AO91">
        <v>0</v>
      </c>
      <c r="AP91">
        <v>1</v>
      </c>
      <c r="AQ91">
        <v>1</v>
      </c>
      <c r="AR91">
        <v>0</v>
      </c>
      <c r="AS91">
        <v>0</v>
      </c>
    </row>
    <row r="92" spans="1:45" x14ac:dyDescent="0.2">
      <c r="A92" t="s">
        <v>192</v>
      </c>
      <c r="B92" s="3">
        <f t="shared" si="1"/>
        <v>45992</v>
      </c>
      <c r="C92" t="s">
        <v>55</v>
      </c>
      <c r="D92" s="1">
        <v>1.3912037037037037E-2</v>
      </c>
      <c r="E92">
        <v>4</v>
      </c>
      <c r="F92" t="s">
        <v>46</v>
      </c>
      <c r="G92" t="s">
        <v>85</v>
      </c>
      <c r="H92" t="s">
        <v>48</v>
      </c>
      <c r="I92" s="2" t="s">
        <v>75</v>
      </c>
      <c r="J92" s="2" t="s">
        <v>50</v>
      </c>
      <c r="K92" s="2" t="s">
        <v>76</v>
      </c>
      <c r="L92" s="2" t="s">
        <v>77</v>
      </c>
      <c r="M92" s="2" t="s">
        <v>108</v>
      </c>
      <c r="N92">
        <v>1</v>
      </c>
      <c r="O92">
        <v>0</v>
      </c>
      <c r="P92">
        <v>0</v>
      </c>
      <c r="Q92">
        <v>0</v>
      </c>
      <c r="R92">
        <v>0</v>
      </c>
      <c r="S92">
        <v>0</v>
      </c>
      <c r="T92">
        <v>0</v>
      </c>
      <c r="U92">
        <v>0</v>
      </c>
      <c r="V92">
        <v>0</v>
      </c>
      <c r="W92">
        <v>0</v>
      </c>
      <c r="X92">
        <v>0</v>
      </c>
      <c r="Y92">
        <v>0</v>
      </c>
      <c r="Z92">
        <v>0</v>
      </c>
      <c r="AA92">
        <v>0</v>
      </c>
      <c r="AB92">
        <v>1</v>
      </c>
      <c r="AC92">
        <v>0</v>
      </c>
      <c r="AD92">
        <v>1</v>
      </c>
      <c r="AE92">
        <v>0</v>
      </c>
      <c r="AF92">
        <v>1</v>
      </c>
      <c r="AG92">
        <v>0</v>
      </c>
      <c r="AH92">
        <v>0</v>
      </c>
      <c r="AI92">
        <v>0</v>
      </c>
      <c r="AJ92">
        <v>0</v>
      </c>
      <c r="AK92">
        <v>0</v>
      </c>
      <c r="AL92">
        <v>0</v>
      </c>
      <c r="AM92" t="s">
        <v>53</v>
      </c>
      <c r="AN92">
        <v>1</v>
      </c>
      <c r="AO92">
        <v>4</v>
      </c>
      <c r="AP92">
        <v>1</v>
      </c>
      <c r="AQ92">
        <v>1</v>
      </c>
      <c r="AR92">
        <v>1</v>
      </c>
      <c r="AS92">
        <v>1</v>
      </c>
    </row>
    <row r="93" spans="1:45" x14ac:dyDescent="0.2">
      <c r="A93" t="s">
        <v>193</v>
      </c>
      <c r="B93" s="3">
        <f t="shared" si="1"/>
        <v>45992</v>
      </c>
      <c r="C93" t="s">
        <v>80</v>
      </c>
      <c r="D93" s="1">
        <v>1.6770833333333332E-2</v>
      </c>
      <c r="E93">
        <v>28</v>
      </c>
      <c r="F93" t="s">
        <v>133</v>
      </c>
      <c r="G93" t="s">
        <v>179</v>
      </c>
      <c r="H93" t="s">
        <v>64</v>
      </c>
      <c r="I93" s="2" t="s">
        <v>65</v>
      </c>
      <c r="J93" s="2" t="s">
        <v>50</v>
      </c>
      <c r="K93" s="2" t="s">
        <v>59</v>
      </c>
      <c r="L93" s="2" t="s">
        <v>77</v>
      </c>
      <c r="M93" s="2" t="s">
        <v>108</v>
      </c>
      <c r="N93">
        <v>0</v>
      </c>
      <c r="O93">
        <v>0</v>
      </c>
      <c r="P93">
        <v>0</v>
      </c>
      <c r="Q93">
        <v>0</v>
      </c>
      <c r="R93">
        <v>0</v>
      </c>
      <c r="S93">
        <v>1</v>
      </c>
      <c r="T93">
        <v>1</v>
      </c>
      <c r="U93">
        <v>0</v>
      </c>
      <c r="V93">
        <v>0</v>
      </c>
      <c r="W93">
        <v>0</v>
      </c>
      <c r="X93">
        <v>0</v>
      </c>
      <c r="Y93">
        <v>0</v>
      </c>
      <c r="Z93">
        <v>0</v>
      </c>
      <c r="AA93">
        <v>0</v>
      </c>
      <c r="AB93">
        <v>0</v>
      </c>
      <c r="AC93">
        <v>0</v>
      </c>
      <c r="AD93">
        <v>0</v>
      </c>
      <c r="AE93">
        <v>0</v>
      </c>
      <c r="AF93">
        <v>0</v>
      </c>
      <c r="AG93">
        <v>0</v>
      </c>
      <c r="AH93">
        <v>0</v>
      </c>
      <c r="AI93">
        <v>0</v>
      </c>
      <c r="AJ93">
        <v>0</v>
      </c>
      <c r="AK93">
        <v>1</v>
      </c>
      <c r="AL93">
        <v>0</v>
      </c>
      <c r="AM93" t="s">
        <v>53</v>
      </c>
      <c r="AN93">
        <v>0</v>
      </c>
      <c r="AO93">
        <v>1</v>
      </c>
      <c r="AP93">
        <v>1</v>
      </c>
      <c r="AQ93">
        <v>1</v>
      </c>
      <c r="AR93">
        <v>0</v>
      </c>
      <c r="AS93">
        <v>1</v>
      </c>
    </row>
    <row r="94" spans="1:45" x14ac:dyDescent="0.2">
      <c r="A94" t="s">
        <v>194</v>
      </c>
      <c r="B94" s="3">
        <f t="shared" si="1"/>
        <v>46023</v>
      </c>
      <c r="C94" t="s">
        <v>55</v>
      </c>
      <c r="D94" s="1">
        <v>2.3287037037037037E-2</v>
      </c>
      <c r="E94">
        <v>33</v>
      </c>
      <c r="F94" t="s">
        <v>188</v>
      </c>
      <c r="G94" t="s">
        <v>85</v>
      </c>
      <c r="H94" t="s">
        <v>64</v>
      </c>
      <c r="I94" s="2" t="s">
        <v>75</v>
      </c>
      <c r="J94" s="2" t="s">
        <v>50</v>
      </c>
      <c r="K94" s="2" t="s">
        <v>59</v>
      </c>
      <c r="L94" s="2" t="s">
        <v>66</v>
      </c>
      <c r="M94" s="2" t="s">
        <v>108</v>
      </c>
      <c r="N94">
        <v>0</v>
      </c>
      <c r="O94">
        <v>0</v>
      </c>
      <c r="P94">
        <v>1</v>
      </c>
      <c r="Q94">
        <v>0</v>
      </c>
      <c r="R94">
        <v>0</v>
      </c>
      <c r="S94">
        <v>1</v>
      </c>
      <c r="T94">
        <v>0</v>
      </c>
      <c r="U94">
        <v>0</v>
      </c>
      <c r="V94">
        <v>0</v>
      </c>
      <c r="W94">
        <v>0</v>
      </c>
      <c r="X94">
        <v>0</v>
      </c>
      <c r="Y94">
        <v>0</v>
      </c>
      <c r="Z94">
        <v>0</v>
      </c>
      <c r="AA94">
        <v>0</v>
      </c>
      <c r="AB94">
        <v>0</v>
      </c>
      <c r="AC94">
        <v>0</v>
      </c>
      <c r="AD94">
        <v>0</v>
      </c>
      <c r="AE94">
        <v>0</v>
      </c>
      <c r="AF94">
        <v>0</v>
      </c>
      <c r="AG94">
        <v>0</v>
      </c>
      <c r="AH94">
        <v>0</v>
      </c>
      <c r="AI94">
        <v>0</v>
      </c>
      <c r="AJ94">
        <v>0</v>
      </c>
      <c r="AK94">
        <v>0</v>
      </c>
      <c r="AL94">
        <v>1</v>
      </c>
      <c r="AM94" t="s">
        <v>53</v>
      </c>
      <c r="AN94">
        <v>1</v>
      </c>
      <c r="AO94">
        <v>0</v>
      </c>
      <c r="AP94">
        <v>1</v>
      </c>
      <c r="AQ94">
        <v>1</v>
      </c>
      <c r="AR94">
        <v>0</v>
      </c>
      <c r="AS94">
        <v>0</v>
      </c>
    </row>
    <row r="95" spans="1:45" x14ac:dyDescent="0.2">
      <c r="A95" t="s">
        <v>195</v>
      </c>
      <c r="B95" s="3">
        <f t="shared" si="1"/>
        <v>46023</v>
      </c>
      <c r="C95" t="s">
        <v>88</v>
      </c>
      <c r="D95" s="1">
        <v>2.1493055555555557E-2</v>
      </c>
      <c r="E95">
        <v>33</v>
      </c>
      <c r="F95" t="s">
        <v>188</v>
      </c>
      <c r="G95" t="s">
        <v>63</v>
      </c>
      <c r="H95" t="s">
        <v>64</v>
      </c>
      <c r="I95" s="2" t="s">
        <v>49</v>
      </c>
      <c r="J95" s="2" t="s">
        <v>50</v>
      </c>
      <c r="K95" s="2" t="s">
        <v>49</v>
      </c>
      <c r="L95" s="2" t="s">
        <v>60</v>
      </c>
      <c r="M95" s="2" t="s">
        <v>78</v>
      </c>
      <c r="N95">
        <v>0</v>
      </c>
      <c r="O95">
        <v>0</v>
      </c>
      <c r="P95">
        <v>1</v>
      </c>
      <c r="Q95">
        <v>0</v>
      </c>
      <c r="R95">
        <v>0</v>
      </c>
      <c r="S95">
        <v>1</v>
      </c>
      <c r="T95">
        <v>0</v>
      </c>
      <c r="U95">
        <v>0</v>
      </c>
      <c r="V95">
        <v>0</v>
      </c>
      <c r="W95">
        <v>0</v>
      </c>
      <c r="X95">
        <v>0</v>
      </c>
      <c r="Y95">
        <v>0</v>
      </c>
      <c r="Z95">
        <v>0</v>
      </c>
      <c r="AA95">
        <v>0</v>
      </c>
      <c r="AB95">
        <v>0</v>
      </c>
      <c r="AC95">
        <v>0</v>
      </c>
      <c r="AD95">
        <v>0</v>
      </c>
      <c r="AE95">
        <v>0</v>
      </c>
      <c r="AF95">
        <v>0</v>
      </c>
      <c r="AG95">
        <v>0</v>
      </c>
      <c r="AH95">
        <v>0</v>
      </c>
      <c r="AI95">
        <v>0</v>
      </c>
      <c r="AJ95">
        <v>0</v>
      </c>
      <c r="AK95">
        <v>0</v>
      </c>
      <c r="AL95">
        <v>1</v>
      </c>
      <c r="AM95" t="s">
        <v>53</v>
      </c>
      <c r="AN95">
        <v>1</v>
      </c>
      <c r="AO95">
        <v>0</v>
      </c>
      <c r="AP95">
        <v>1</v>
      </c>
      <c r="AQ95">
        <v>1</v>
      </c>
      <c r="AR95">
        <v>0</v>
      </c>
      <c r="AS95">
        <v>0</v>
      </c>
    </row>
    <row r="96" spans="1:45" x14ac:dyDescent="0.2">
      <c r="A96" t="s">
        <v>196</v>
      </c>
      <c r="B96" s="3">
        <f t="shared" si="1"/>
        <v>46023</v>
      </c>
      <c r="C96" t="s">
        <v>80</v>
      </c>
      <c r="D96" s="1">
        <v>1.5625E-2</v>
      </c>
      <c r="E96">
        <v>33</v>
      </c>
      <c r="F96" t="s">
        <v>188</v>
      </c>
      <c r="G96" t="s">
        <v>179</v>
      </c>
      <c r="H96" t="s">
        <v>64</v>
      </c>
      <c r="I96" s="2" t="s">
        <v>76</v>
      </c>
      <c r="J96" s="2" t="s">
        <v>59</v>
      </c>
      <c r="K96" s="2" t="s">
        <v>59</v>
      </c>
      <c r="L96" s="2" t="s">
        <v>76</v>
      </c>
      <c r="M96" s="2" t="s">
        <v>95</v>
      </c>
      <c r="N96">
        <v>0</v>
      </c>
      <c r="O96">
        <v>0</v>
      </c>
      <c r="P96">
        <v>1</v>
      </c>
      <c r="Q96">
        <v>0</v>
      </c>
      <c r="R96">
        <v>0</v>
      </c>
      <c r="S96">
        <v>1</v>
      </c>
      <c r="T96">
        <v>0</v>
      </c>
      <c r="U96">
        <v>0</v>
      </c>
      <c r="V96">
        <v>0</v>
      </c>
      <c r="W96">
        <v>0</v>
      </c>
      <c r="X96">
        <v>0</v>
      </c>
      <c r="Y96">
        <v>0</v>
      </c>
      <c r="Z96">
        <v>0</v>
      </c>
      <c r="AA96">
        <v>0</v>
      </c>
      <c r="AB96">
        <v>0</v>
      </c>
      <c r="AC96">
        <v>0</v>
      </c>
      <c r="AD96">
        <v>0</v>
      </c>
      <c r="AE96">
        <v>0</v>
      </c>
      <c r="AF96">
        <v>0</v>
      </c>
      <c r="AG96">
        <v>0</v>
      </c>
      <c r="AH96">
        <v>0</v>
      </c>
      <c r="AI96">
        <v>0</v>
      </c>
      <c r="AJ96">
        <v>0</v>
      </c>
      <c r="AK96">
        <v>0</v>
      </c>
      <c r="AL96">
        <v>1</v>
      </c>
      <c r="AM96" t="s">
        <v>53</v>
      </c>
      <c r="AN96">
        <v>1</v>
      </c>
      <c r="AO96">
        <v>0</v>
      </c>
      <c r="AP96">
        <v>1</v>
      </c>
      <c r="AQ96">
        <v>1</v>
      </c>
      <c r="AR96">
        <v>0</v>
      </c>
      <c r="AS96">
        <v>0</v>
      </c>
    </row>
    <row r="97" spans="1:45" x14ac:dyDescent="0.2">
      <c r="A97" t="s">
        <v>197</v>
      </c>
      <c r="B97" s="3">
        <f t="shared" si="1"/>
        <v>46023</v>
      </c>
      <c r="C97" t="s">
        <v>55</v>
      </c>
      <c r="D97" s="1">
        <v>8.472222222222223E-3</v>
      </c>
      <c r="E97">
        <v>29</v>
      </c>
      <c r="F97" t="s">
        <v>198</v>
      </c>
      <c r="G97" t="s">
        <v>199</v>
      </c>
      <c r="H97" t="s">
        <v>64</v>
      </c>
      <c r="I97" s="2" t="s">
        <v>49</v>
      </c>
      <c r="J97" s="2" t="s">
        <v>50</v>
      </c>
      <c r="K97" s="2" t="s">
        <v>49</v>
      </c>
      <c r="L97" s="2" t="s">
        <v>90</v>
      </c>
      <c r="M97" s="2" t="s">
        <v>108</v>
      </c>
      <c r="N97">
        <v>0</v>
      </c>
      <c r="O97">
        <v>0</v>
      </c>
      <c r="P97">
        <v>1</v>
      </c>
      <c r="Q97">
        <v>0</v>
      </c>
      <c r="R97">
        <v>0</v>
      </c>
      <c r="S97">
        <v>0</v>
      </c>
      <c r="T97">
        <v>0</v>
      </c>
      <c r="U97">
        <v>0</v>
      </c>
      <c r="V97">
        <v>0</v>
      </c>
      <c r="W97">
        <v>0</v>
      </c>
      <c r="X97">
        <v>0</v>
      </c>
      <c r="Y97">
        <v>0</v>
      </c>
      <c r="Z97">
        <v>0</v>
      </c>
      <c r="AA97">
        <v>0</v>
      </c>
      <c r="AB97">
        <v>0</v>
      </c>
      <c r="AC97">
        <v>0</v>
      </c>
      <c r="AD97">
        <v>0</v>
      </c>
      <c r="AE97">
        <v>0</v>
      </c>
      <c r="AF97">
        <v>0</v>
      </c>
      <c r="AG97">
        <v>0</v>
      </c>
      <c r="AH97">
        <v>0</v>
      </c>
      <c r="AI97">
        <v>0</v>
      </c>
      <c r="AJ97">
        <v>1</v>
      </c>
      <c r="AK97">
        <v>0</v>
      </c>
      <c r="AL97">
        <v>0</v>
      </c>
      <c r="AM97" t="s">
        <v>53</v>
      </c>
      <c r="AN97">
        <v>0</v>
      </c>
      <c r="AO97">
        <v>1</v>
      </c>
      <c r="AP97">
        <v>2</v>
      </c>
      <c r="AQ97">
        <v>0</v>
      </c>
      <c r="AR97">
        <v>0</v>
      </c>
      <c r="AS97">
        <v>0</v>
      </c>
    </row>
    <row r="98" spans="1:45" x14ac:dyDescent="0.2">
      <c r="A98" t="s">
        <v>200</v>
      </c>
      <c r="B98" s="3">
        <f t="shared" si="1"/>
        <v>46023</v>
      </c>
      <c r="C98" t="s">
        <v>80</v>
      </c>
      <c r="D98" s="1">
        <v>1.4143518518518519E-2</v>
      </c>
      <c r="E98">
        <v>33</v>
      </c>
      <c r="F98" t="s">
        <v>188</v>
      </c>
      <c r="G98" t="s">
        <v>146</v>
      </c>
      <c r="H98" t="s">
        <v>64</v>
      </c>
      <c r="I98" s="2" t="s">
        <v>75</v>
      </c>
      <c r="J98" s="2" t="s">
        <v>59</v>
      </c>
      <c r="K98" s="2" t="s">
        <v>76</v>
      </c>
      <c r="L98" s="2" t="s">
        <v>76</v>
      </c>
      <c r="M98" s="2" t="s">
        <v>108</v>
      </c>
      <c r="N98">
        <v>0</v>
      </c>
      <c r="O98">
        <v>0</v>
      </c>
      <c r="P98">
        <v>1</v>
      </c>
      <c r="Q98">
        <v>0</v>
      </c>
      <c r="R98">
        <v>0</v>
      </c>
      <c r="S98">
        <v>1</v>
      </c>
      <c r="T98">
        <v>0</v>
      </c>
      <c r="U98">
        <v>0</v>
      </c>
      <c r="V98">
        <v>0</v>
      </c>
      <c r="W98">
        <v>0</v>
      </c>
      <c r="X98">
        <v>0</v>
      </c>
      <c r="Y98">
        <v>0</v>
      </c>
      <c r="Z98">
        <v>0</v>
      </c>
      <c r="AA98">
        <v>0</v>
      </c>
      <c r="AB98">
        <v>0</v>
      </c>
      <c r="AC98">
        <v>0</v>
      </c>
      <c r="AD98">
        <v>0</v>
      </c>
      <c r="AE98">
        <v>0</v>
      </c>
      <c r="AF98">
        <v>0</v>
      </c>
      <c r="AG98">
        <v>0</v>
      </c>
      <c r="AH98">
        <v>0</v>
      </c>
      <c r="AI98">
        <v>0</v>
      </c>
      <c r="AJ98">
        <v>0</v>
      </c>
      <c r="AK98">
        <v>0</v>
      </c>
      <c r="AL98">
        <v>1</v>
      </c>
      <c r="AM98" t="s">
        <v>53</v>
      </c>
      <c r="AN98">
        <v>1</v>
      </c>
      <c r="AO98">
        <v>0</v>
      </c>
      <c r="AP98">
        <v>1</v>
      </c>
      <c r="AQ98">
        <v>1</v>
      </c>
      <c r="AR98">
        <v>0</v>
      </c>
      <c r="AS98">
        <v>0</v>
      </c>
    </row>
    <row r="99" spans="1:45" x14ac:dyDescent="0.2">
      <c r="A99" t="s">
        <v>200</v>
      </c>
      <c r="B99" s="3">
        <f t="shared" si="1"/>
        <v>46023</v>
      </c>
      <c r="C99" t="s">
        <v>80</v>
      </c>
      <c r="D99" s="1">
        <v>1.3912037037037037E-2</v>
      </c>
      <c r="E99">
        <v>33</v>
      </c>
      <c r="F99" t="s">
        <v>188</v>
      </c>
      <c r="G99" t="s">
        <v>81</v>
      </c>
      <c r="H99" t="s">
        <v>64</v>
      </c>
      <c r="I99" s="2" t="s">
        <v>116</v>
      </c>
      <c r="J99" s="2" t="s">
        <v>50</v>
      </c>
      <c r="K99" s="2" t="s">
        <v>71</v>
      </c>
      <c r="L99" s="2" t="s">
        <v>201</v>
      </c>
      <c r="M99" s="2" t="s">
        <v>140</v>
      </c>
      <c r="N99">
        <v>0</v>
      </c>
      <c r="O99">
        <v>0</v>
      </c>
      <c r="P99">
        <v>1</v>
      </c>
      <c r="Q99">
        <v>0</v>
      </c>
      <c r="R99">
        <v>0</v>
      </c>
      <c r="S99">
        <v>1</v>
      </c>
      <c r="T99">
        <v>0</v>
      </c>
      <c r="U99">
        <v>0</v>
      </c>
      <c r="V99">
        <v>0</v>
      </c>
      <c r="W99">
        <v>0</v>
      </c>
      <c r="X99">
        <v>0</v>
      </c>
      <c r="Y99">
        <v>0</v>
      </c>
      <c r="Z99">
        <v>0</v>
      </c>
      <c r="AA99">
        <v>0</v>
      </c>
      <c r="AB99">
        <v>0</v>
      </c>
      <c r="AC99">
        <v>0</v>
      </c>
      <c r="AD99">
        <v>0</v>
      </c>
      <c r="AE99">
        <v>0</v>
      </c>
      <c r="AF99">
        <v>0</v>
      </c>
      <c r="AG99">
        <v>0</v>
      </c>
      <c r="AH99">
        <v>0</v>
      </c>
      <c r="AI99">
        <v>0</v>
      </c>
      <c r="AJ99">
        <v>0</v>
      </c>
      <c r="AK99">
        <v>0</v>
      </c>
      <c r="AL99">
        <v>1</v>
      </c>
      <c r="AM99" t="s">
        <v>53</v>
      </c>
      <c r="AN99">
        <v>1</v>
      </c>
      <c r="AO99">
        <v>0</v>
      </c>
      <c r="AP99">
        <v>1</v>
      </c>
      <c r="AQ99">
        <v>1</v>
      </c>
      <c r="AR99">
        <v>0</v>
      </c>
      <c r="AS99">
        <v>0</v>
      </c>
    </row>
    <row r="100" spans="1:45" x14ac:dyDescent="0.2">
      <c r="A100" t="s">
        <v>202</v>
      </c>
      <c r="B100" s="3">
        <f t="shared" si="1"/>
        <v>46023</v>
      </c>
      <c r="C100" t="s">
        <v>45</v>
      </c>
      <c r="D100" s="1">
        <v>1.3900462962962963E-2</v>
      </c>
      <c r="E100">
        <v>5</v>
      </c>
      <c r="F100" t="s">
        <v>183</v>
      </c>
      <c r="G100" t="s">
        <v>199</v>
      </c>
      <c r="H100" t="s">
        <v>48</v>
      </c>
      <c r="I100" s="2" t="s">
        <v>49</v>
      </c>
      <c r="J100" s="2" t="s">
        <v>50</v>
      </c>
      <c r="K100" s="2" t="s">
        <v>59</v>
      </c>
      <c r="L100" s="2" t="s">
        <v>49</v>
      </c>
      <c r="M100" s="2" t="s">
        <v>126</v>
      </c>
      <c r="N100">
        <v>0</v>
      </c>
      <c r="O100">
        <v>0</v>
      </c>
      <c r="P100">
        <v>1</v>
      </c>
      <c r="Q100">
        <v>0</v>
      </c>
      <c r="R100">
        <v>0</v>
      </c>
      <c r="S100">
        <v>0</v>
      </c>
      <c r="T100">
        <v>0</v>
      </c>
      <c r="U100">
        <v>0</v>
      </c>
      <c r="V100">
        <v>0</v>
      </c>
      <c r="W100">
        <v>0</v>
      </c>
      <c r="X100">
        <v>0</v>
      </c>
      <c r="Y100">
        <v>1</v>
      </c>
      <c r="Z100">
        <v>0</v>
      </c>
      <c r="AA100">
        <v>0</v>
      </c>
      <c r="AB100">
        <v>0</v>
      </c>
      <c r="AC100">
        <v>0</v>
      </c>
      <c r="AD100">
        <v>0</v>
      </c>
      <c r="AE100">
        <v>0</v>
      </c>
      <c r="AF100">
        <v>0</v>
      </c>
      <c r="AG100">
        <v>0</v>
      </c>
      <c r="AH100">
        <v>0</v>
      </c>
      <c r="AI100">
        <v>0</v>
      </c>
      <c r="AJ100">
        <v>0</v>
      </c>
      <c r="AK100">
        <v>0</v>
      </c>
      <c r="AL100">
        <v>0</v>
      </c>
      <c r="AM100" t="s">
        <v>53</v>
      </c>
      <c r="AN100">
        <v>0</v>
      </c>
      <c r="AO100">
        <v>1</v>
      </c>
      <c r="AP100">
        <v>1</v>
      </c>
      <c r="AQ100">
        <v>0</v>
      </c>
      <c r="AR100">
        <v>0</v>
      </c>
      <c r="AS100">
        <v>0</v>
      </c>
    </row>
    <row r="101" spans="1:45" x14ac:dyDescent="0.2">
      <c r="A101" t="s">
        <v>203</v>
      </c>
      <c r="B101" s="3">
        <f t="shared" si="1"/>
        <v>46023</v>
      </c>
      <c r="C101" t="s">
        <v>55</v>
      </c>
      <c r="D101" s="1">
        <v>1.7106481481481483E-2</v>
      </c>
      <c r="E101">
        <v>33</v>
      </c>
      <c r="F101" t="s">
        <v>188</v>
      </c>
      <c r="G101" t="s">
        <v>47</v>
      </c>
      <c r="H101" t="s">
        <v>64</v>
      </c>
      <c r="I101" s="2" t="s">
        <v>49</v>
      </c>
      <c r="J101" s="2" t="s">
        <v>50</v>
      </c>
      <c r="K101" s="2" t="s">
        <v>76</v>
      </c>
      <c r="L101" s="2" t="s">
        <v>77</v>
      </c>
      <c r="M101" s="2" t="s">
        <v>95</v>
      </c>
      <c r="N101">
        <v>0</v>
      </c>
      <c r="O101">
        <v>0</v>
      </c>
      <c r="P101">
        <v>1</v>
      </c>
      <c r="Q101">
        <v>0</v>
      </c>
      <c r="R101">
        <v>0</v>
      </c>
      <c r="S101">
        <v>1</v>
      </c>
      <c r="T101">
        <v>0</v>
      </c>
      <c r="U101">
        <v>0</v>
      </c>
      <c r="V101">
        <v>0</v>
      </c>
      <c r="W101">
        <v>0</v>
      </c>
      <c r="X101">
        <v>0</v>
      </c>
      <c r="Y101">
        <v>0</v>
      </c>
      <c r="Z101">
        <v>0</v>
      </c>
      <c r="AA101">
        <v>0</v>
      </c>
      <c r="AB101">
        <v>0</v>
      </c>
      <c r="AC101">
        <v>0</v>
      </c>
      <c r="AD101">
        <v>0</v>
      </c>
      <c r="AE101">
        <v>0</v>
      </c>
      <c r="AF101">
        <v>0</v>
      </c>
      <c r="AG101">
        <v>0</v>
      </c>
      <c r="AH101">
        <v>0</v>
      </c>
      <c r="AI101">
        <v>0</v>
      </c>
      <c r="AJ101">
        <v>0</v>
      </c>
      <c r="AK101">
        <v>0</v>
      </c>
      <c r="AL101">
        <v>1</v>
      </c>
      <c r="AM101" t="s">
        <v>53</v>
      </c>
      <c r="AN101">
        <v>1</v>
      </c>
      <c r="AO101">
        <v>0</v>
      </c>
      <c r="AP101">
        <v>1</v>
      </c>
      <c r="AQ101">
        <v>1</v>
      </c>
      <c r="AR101">
        <v>0</v>
      </c>
      <c r="AS101">
        <v>0</v>
      </c>
    </row>
    <row r="102" spans="1:45" x14ac:dyDescent="0.2">
      <c r="A102" t="s">
        <v>204</v>
      </c>
      <c r="B102" s="3">
        <f t="shared" si="1"/>
        <v>46023</v>
      </c>
      <c r="C102" t="s">
        <v>80</v>
      </c>
      <c r="D102" s="1">
        <v>1.5520833333333333E-2</v>
      </c>
      <c r="E102">
        <v>19</v>
      </c>
      <c r="F102" t="s">
        <v>118</v>
      </c>
      <c r="G102" t="s">
        <v>105</v>
      </c>
      <c r="H102" t="s">
        <v>64</v>
      </c>
      <c r="I102" s="2" t="s">
        <v>49</v>
      </c>
      <c r="J102" s="2" t="s">
        <v>50</v>
      </c>
      <c r="K102" s="2" t="s">
        <v>49</v>
      </c>
      <c r="L102" s="2" t="s">
        <v>60</v>
      </c>
      <c r="M102" s="2" t="s">
        <v>52</v>
      </c>
      <c r="N102">
        <v>0</v>
      </c>
      <c r="O102">
        <v>0</v>
      </c>
      <c r="P102">
        <v>0</v>
      </c>
      <c r="Q102">
        <v>0</v>
      </c>
      <c r="R102">
        <v>0</v>
      </c>
      <c r="S102">
        <v>0</v>
      </c>
      <c r="T102">
        <v>1</v>
      </c>
      <c r="U102">
        <v>1</v>
      </c>
      <c r="V102">
        <v>0</v>
      </c>
      <c r="W102">
        <v>0</v>
      </c>
      <c r="X102">
        <v>0</v>
      </c>
      <c r="Y102">
        <v>0</v>
      </c>
      <c r="Z102">
        <v>0</v>
      </c>
      <c r="AA102">
        <v>0</v>
      </c>
      <c r="AB102">
        <v>1</v>
      </c>
      <c r="AC102">
        <v>0</v>
      </c>
      <c r="AD102">
        <v>0</v>
      </c>
      <c r="AE102">
        <v>0</v>
      </c>
      <c r="AF102">
        <v>0</v>
      </c>
      <c r="AG102">
        <v>0</v>
      </c>
      <c r="AH102">
        <v>0</v>
      </c>
      <c r="AI102">
        <v>0</v>
      </c>
      <c r="AJ102">
        <v>0</v>
      </c>
      <c r="AK102">
        <v>0</v>
      </c>
      <c r="AL102">
        <v>0</v>
      </c>
      <c r="AM102" t="s">
        <v>53</v>
      </c>
      <c r="AN102">
        <v>1</v>
      </c>
      <c r="AO102">
        <v>3</v>
      </c>
      <c r="AP102">
        <v>1</v>
      </c>
      <c r="AQ102">
        <v>1</v>
      </c>
      <c r="AR102">
        <v>1</v>
      </c>
      <c r="AS102">
        <v>1</v>
      </c>
    </row>
    <row r="103" spans="1:45" x14ac:dyDescent="0.2">
      <c r="A103" t="s">
        <v>205</v>
      </c>
      <c r="B103" s="3">
        <f t="shared" si="1"/>
        <v>46023</v>
      </c>
      <c r="C103" t="s">
        <v>45</v>
      </c>
      <c r="D103" s="1">
        <v>1.2164351851851852E-2</v>
      </c>
      <c r="E103">
        <v>32</v>
      </c>
      <c r="F103" t="s">
        <v>206</v>
      </c>
      <c r="G103" t="s">
        <v>199</v>
      </c>
      <c r="H103" t="s">
        <v>64</v>
      </c>
      <c r="I103" s="2" t="s">
        <v>76</v>
      </c>
      <c r="J103" s="2" t="s">
        <v>59</v>
      </c>
      <c r="K103" s="2" t="s">
        <v>49</v>
      </c>
      <c r="L103" s="2" t="s">
        <v>51</v>
      </c>
      <c r="M103" s="2" t="s">
        <v>52</v>
      </c>
      <c r="N103">
        <v>0</v>
      </c>
      <c r="O103">
        <v>0</v>
      </c>
      <c r="P103">
        <v>0</v>
      </c>
      <c r="Q103">
        <v>0</v>
      </c>
      <c r="R103">
        <v>0</v>
      </c>
      <c r="S103">
        <v>0</v>
      </c>
      <c r="T103">
        <v>1</v>
      </c>
      <c r="U103">
        <v>1</v>
      </c>
      <c r="V103">
        <v>0</v>
      </c>
      <c r="W103">
        <v>0</v>
      </c>
      <c r="X103">
        <v>0</v>
      </c>
      <c r="Y103">
        <v>0</v>
      </c>
      <c r="Z103">
        <v>0</v>
      </c>
      <c r="AA103">
        <v>0</v>
      </c>
      <c r="AB103">
        <v>0</v>
      </c>
      <c r="AC103">
        <v>0</v>
      </c>
      <c r="AD103">
        <v>0</v>
      </c>
      <c r="AE103">
        <v>0</v>
      </c>
      <c r="AF103">
        <v>0</v>
      </c>
      <c r="AG103">
        <v>0</v>
      </c>
      <c r="AH103">
        <v>0</v>
      </c>
      <c r="AI103">
        <v>0</v>
      </c>
      <c r="AJ103">
        <v>0</v>
      </c>
      <c r="AK103">
        <v>0</v>
      </c>
      <c r="AL103">
        <v>0</v>
      </c>
      <c r="AM103" t="s">
        <v>53</v>
      </c>
      <c r="AN103">
        <v>0</v>
      </c>
      <c r="AO103">
        <v>2</v>
      </c>
      <c r="AP103">
        <v>0</v>
      </c>
      <c r="AQ103">
        <v>0</v>
      </c>
      <c r="AR103">
        <v>0</v>
      </c>
      <c r="AS103">
        <v>0</v>
      </c>
    </row>
    <row r="104" spans="1:45" x14ac:dyDescent="0.2">
      <c r="A104" t="s">
        <v>207</v>
      </c>
      <c r="B104" s="3">
        <f t="shared" si="1"/>
        <v>46023</v>
      </c>
      <c r="C104" t="s">
        <v>55</v>
      </c>
      <c r="D104" s="1">
        <v>1.0671296296296297E-2</v>
      </c>
      <c r="E104">
        <v>29</v>
      </c>
      <c r="F104" t="s">
        <v>198</v>
      </c>
      <c r="G104" t="s">
        <v>208</v>
      </c>
      <c r="H104" t="s">
        <v>64</v>
      </c>
      <c r="I104" s="2" t="s">
        <v>209</v>
      </c>
      <c r="J104" s="2" t="s">
        <v>59</v>
      </c>
      <c r="K104" s="2" t="s">
        <v>59</v>
      </c>
      <c r="L104" s="2" t="s">
        <v>90</v>
      </c>
      <c r="M104" s="2" t="s">
        <v>95</v>
      </c>
      <c r="N104">
        <v>0</v>
      </c>
      <c r="O104">
        <v>0</v>
      </c>
      <c r="P104">
        <v>1</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1</v>
      </c>
      <c r="AK104">
        <v>0</v>
      </c>
      <c r="AL104">
        <v>0</v>
      </c>
      <c r="AM104" t="s">
        <v>53</v>
      </c>
      <c r="AN104">
        <v>0</v>
      </c>
      <c r="AO104">
        <v>1</v>
      </c>
      <c r="AP104">
        <v>2</v>
      </c>
      <c r="AQ104">
        <v>0</v>
      </c>
      <c r="AR104">
        <v>0</v>
      </c>
      <c r="AS104">
        <v>0</v>
      </c>
    </row>
    <row r="105" spans="1:45" x14ac:dyDescent="0.2">
      <c r="A105" t="s">
        <v>210</v>
      </c>
      <c r="B105" s="3">
        <f t="shared" si="1"/>
        <v>46054</v>
      </c>
      <c r="C105" t="s">
        <v>45</v>
      </c>
      <c r="D105" s="1">
        <v>8.0324074074074082E-3</v>
      </c>
      <c r="E105">
        <v>7</v>
      </c>
      <c r="F105" t="s">
        <v>161</v>
      </c>
      <c r="G105" t="s">
        <v>199</v>
      </c>
      <c r="H105" t="s">
        <v>64</v>
      </c>
      <c r="I105" s="2" t="s">
        <v>65</v>
      </c>
      <c r="J105" s="2" t="s">
        <v>59</v>
      </c>
      <c r="K105" s="2" t="s">
        <v>76</v>
      </c>
      <c r="L105" s="2" t="s">
        <v>90</v>
      </c>
      <c r="M105" s="2" t="s">
        <v>61</v>
      </c>
      <c r="N105">
        <v>0</v>
      </c>
      <c r="O105">
        <v>0</v>
      </c>
      <c r="P105">
        <v>0</v>
      </c>
      <c r="Q105">
        <v>0</v>
      </c>
      <c r="R105">
        <v>0</v>
      </c>
      <c r="S105">
        <v>0</v>
      </c>
      <c r="T105">
        <v>1</v>
      </c>
      <c r="U105">
        <v>0</v>
      </c>
      <c r="V105">
        <v>1</v>
      </c>
      <c r="W105">
        <v>0</v>
      </c>
      <c r="X105">
        <v>0</v>
      </c>
      <c r="Y105">
        <v>0</v>
      </c>
      <c r="Z105">
        <v>0</v>
      </c>
      <c r="AA105">
        <v>0</v>
      </c>
      <c r="AB105">
        <v>0</v>
      </c>
      <c r="AC105">
        <v>0</v>
      </c>
      <c r="AD105">
        <v>0</v>
      </c>
      <c r="AE105">
        <v>0</v>
      </c>
      <c r="AF105">
        <v>0</v>
      </c>
      <c r="AG105">
        <v>0</v>
      </c>
      <c r="AH105">
        <v>0</v>
      </c>
      <c r="AI105">
        <v>1</v>
      </c>
      <c r="AJ105">
        <v>0</v>
      </c>
      <c r="AK105">
        <v>0</v>
      </c>
      <c r="AL105">
        <v>0</v>
      </c>
      <c r="AM105" t="s">
        <v>53</v>
      </c>
      <c r="AN105">
        <v>0</v>
      </c>
      <c r="AO105">
        <v>2</v>
      </c>
      <c r="AP105">
        <v>0</v>
      </c>
      <c r="AQ105">
        <v>1</v>
      </c>
      <c r="AR105">
        <v>0</v>
      </c>
      <c r="AS105">
        <v>0</v>
      </c>
    </row>
    <row r="106" spans="1:45" x14ac:dyDescent="0.2">
      <c r="A106" t="s">
        <v>211</v>
      </c>
      <c r="B106" s="3">
        <f t="shared" si="1"/>
        <v>46054</v>
      </c>
      <c r="C106" t="s">
        <v>55</v>
      </c>
      <c r="D106" s="1">
        <v>1.3900462962962963E-2</v>
      </c>
      <c r="E106">
        <v>5</v>
      </c>
      <c r="F106" t="s">
        <v>124</v>
      </c>
      <c r="G106" t="s">
        <v>208</v>
      </c>
      <c r="H106" t="s">
        <v>48</v>
      </c>
      <c r="I106" s="2" t="s">
        <v>49</v>
      </c>
      <c r="J106" s="2" t="s">
        <v>50</v>
      </c>
      <c r="K106" s="2" t="s">
        <v>59</v>
      </c>
      <c r="L106" s="2" t="s">
        <v>77</v>
      </c>
      <c r="M106" s="2" t="s">
        <v>61</v>
      </c>
      <c r="N106">
        <v>0</v>
      </c>
      <c r="O106">
        <v>0</v>
      </c>
      <c r="P106">
        <v>1</v>
      </c>
      <c r="Q106">
        <v>0</v>
      </c>
      <c r="R106">
        <v>0</v>
      </c>
      <c r="S106">
        <v>0</v>
      </c>
      <c r="T106">
        <v>0</v>
      </c>
      <c r="U106">
        <v>0</v>
      </c>
      <c r="V106">
        <v>0</v>
      </c>
      <c r="W106">
        <v>0</v>
      </c>
      <c r="X106">
        <v>0</v>
      </c>
      <c r="Y106">
        <v>1</v>
      </c>
      <c r="Z106">
        <v>0</v>
      </c>
      <c r="AA106">
        <v>0</v>
      </c>
      <c r="AB106">
        <v>0</v>
      </c>
      <c r="AC106">
        <v>0</v>
      </c>
      <c r="AD106">
        <v>0</v>
      </c>
      <c r="AE106">
        <v>0</v>
      </c>
      <c r="AF106">
        <v>0</v>
      </c>
      <c r="AG106">
        <v>0</v>
      </c>
      <c r="AH106">
        <v>0</v>
      </c>
      <c r="AI106">
        <v>0</v>
      </c>
      <c r="AJ106">
        <v>0</v>
      </c>
      <c r="AK106">
        <v>0</v>
      </c>
      <c r="AL106">
        <v>0</v>
      </c>
      <c r="AM106" t="s">
        <v>53</v>
      </c>
      <c r="AN106">
        <v>0</v>
      </c>
      <c r="AO106">
        <v>1</v>
      </c>
      <c r="AP106">
        <v>1</v>
      </c>
      <c r="AQ106">
        <v>0</v>
      </c>
      <c r="AR106">
        <v>0</v>
      </c>
      <c r="AS106">
        <v>0</v>
      </c>
    </row>
    <row r="107" spans="1:45" x14ac:dyDescent="0.2">
      <c r="A107" t="s">
        <v>212</v>
      </c>
      <c r="B107" s="3">
        <f t="shared" si="1"/>
        <v>46082</v>
      </c>
      <c r="C107" t="s">
        <v>45</v>
      </c>
      <c r="D107" s="1">
        <v>9.7337962962962959E-3</v>
      </c>
      <c r="E107">
        <v>14</v>
      </c>
      <c r="F107" t="s">
        <v>114</v>
      </c>
      <c r="G107" t="s">
        <v>199</v>
      </c>
      <c r="H107" t="s">
        <v>64</v>
      </c>
      <c r="I107" s="2" t="s">
        <v>49</v>
      </c>
      <c r="J107" s="2" t="s">
        <v>50</v>
      </c>
      <c r="K107" s="2" t="s">
        <v>59</v>
      </c>
      <c r="L107" s="2" t="s">
        <v>60</v>
      </c>
      <c r="M107" s="2" t="s">
        <v>52</v>
      </c>
      <c r="N107">
        <v>0</v>
      </c>
      <c r="O107">
        <v>0</v>
      </c>
      <c r="P107">
        <v>0</v>
      </c>
      <c r="Q107">
        <v>0</v>
      </c>
      <c r="R107">
        <v>0</v>
      </c>
      <c r="S107">
        <v>0</v>
      </c>
      <c r="T107">
        <v>0</v>
      </c>
      <c r="U107">
        <v>0</v>
      </c>
      <c r="V107">
        <v>1</v>
      </c>
      <c r="W107">
        <v>1</v>
      </c>
      <c r="X107">
        <v>0</v>
      </c>
      <c r="Y107">
        <v>0</v>
      </c>
      <c r="Z107">
        <v>0</v>
      </c>
      <c r="AA107">
        <v>0</v>
      </c>
      <c r="AB107">
        <v>1</v>
      </c>
      <c r="AC107">
        <v>0</v>
      </c>
      <c r="AD107">
        <v>0</v>
      </c>
      <c r="AE107">
        <v>0</v>
      </c>
      <c r="AF107">
        <v>0</v>
      </c>
      <c r="AG107">
        <v>0</v>
      </c>
      <c r="AH107">
        <v>0</v>
      </c>
      <c r="AI107">
        <v>0</v>
      </c>
      <c r="AJ107">
        <v>0</v>
      </c>
      <c r="AK107">
        <v>0</v>
      </c>
      <c r="AL107">
        <v>0</v>
      </c>
      <c r="AM107" t="s">
        <v>53</v>
      </c>
      <c r="AN107">
        <v>1</v>
      </c>
      <c r="AO107">
        <v>2</v>
      </c>
      <c r="AP107">
        <v>1</v>
      </c>
      <c r="AQ107">
        <v>1</v>
      </c>
      <c r="AR107">
        <v>2</v>
      </c>
      <c r="AS107">
        <v>1</v>
      </c>
    </row>
    <row r="108" spans="1:45" x14ac:dyDescent="0.2">
      <c r="A108" t="s">
        <v>213</v>
      </c>
      <c r="B108" s="3">
        <f t="shared" si="1"/>
        <v>46082</v>
      </c>
      <c r="C108" t="s">
        <v>55</v>
      </c>
      <c r="D108" s="1">
        <v>1.2314814814814815E-2</v>
      </c>
      <c r="E108">
        <v>32</v>
      </c>
      <c r="F108" t="s">
        <v>206</v>
      </c>
      <c r="G108" t="s">
        <v>208</v>
      </c>
      <c r="H108" t="s">
        <v>64</v>
      </c>
      <c r="I108" s="2" t="s">
        <v>76</v>
      </c>
      <c r="J108" s="2" t="s">
        <v>59</v>
      </c>
      <c r="K108" s="2" t="s">
        <v>49</v>
      </c>
      <c r="L108" s="2" t="s">
        <v>66</v>
      </c>
      <c r="M108" s="2" t="s">
        <v>61</v>
      </c>
      <c r="N108">
        <v>0</v>
      </c>
      <c r="O108">
        <v>0</v>
      </c>
      <c r="P108">
        <v>0</v>
      </c>
      <c r="Q108">
        <v>0</v>
      </c>
      <c r="R108">
        <v>0</v>
      </c>
      <c r="S108">
        <v>0</v>
      </c>
      <c r="T108">
        <v>1</v>
      </c>
      <c r="U108">
        <v>1</v>
      </c>
      <c r="V108">
        <v>0</v>
      </c>
      <c r="W108">
        <v>0</v>
      </c>
      <c r="X108">
        <v>0</v>
      </c>
      <c r="Y108">
        <v>0</v>
      </c>
      <c r="Z108">
        <v>0</v>
      </c>
      <c r="AA108">
        <v>0</v>
      </c>
      <c r="AB108">
        <v>0</v>
      </c>
      <c r="AC108">
        <v>0</v>
      </c>
      <c r="AD108">
        <v>0</v>
      </c>
      <c r="AE108">
        <v>0</v>
      </c>
      <c r="AF108">
        <v>0</v>
      </c>
      <c r="AG108">
        <v>0</v>
      </c>
      <c r="AH108">
        <v>0</v>
      </c>
      <c r="AI108">
        <v>0</v>
      </c>
      <c r="AJ108">
        <v>0</v>
      </c>
      <c r="AK108">
        <v>0</v>
      </c>
      <c r="AL108">
        <v>0</v>
      </c>
      <c r="AM108" t="s">
        <v>53</v>
      </c>
      <c r="AN108">
        <v>0</v>
      </c>
      <c r="AO108">
        <v>2</v>
      </c>
      <c r="AP108">
        <v>0</v>
      </c>
      <c r="AQ108">
        <v>0</v>
      </c>
      <c r="AR108">
        <v>0</v>
      </c>
      <c r="AS108">
        <v>0</v>
      </c>
    </row>
    <row r="109" spans="1:45" x14ac:dyDescent="0.2">
      <c r="A109" t="s">
        <v>214</v>
      </c>
      <c r="B109" s="3">
        <f t="shared" si="1"/>
        <v>46082</v>
      </c>
      <c r="C109" t="s">
        <v>55</v>
      </c>
      <c r="D109" s="1">
        <v>1.0069444444444445E-2</v>
      </c>
      <c r="E109">
        <v>7</v>
      </c>
      <c r="F109" t="s">
        <v>161</v>
      </c>
      <c r="G109" t="s">
        <v>208</v>
      </c>
      <c r="H109" t="s">
        <v>64</v>
      </c>
      <c r="I109" s="2" t="s">
        <v>76</v>
      </c>
      <c r="J109" s="2" t="s">
        <v>59</v>
      </c>
      <c r="K109" s="2" t="s">
        <v>49</v>
      </c>
      <c r="L109" s="2" t="s">
        <v>99</v>
      </c>
      <c r="M109" s="2" t="s">
        <v>95</v>
      </c>
      <c r="N109">
        <v>0</v>
      </c>
      <c r="O109">
        <v>0</v>
      </c>
      <c r="P109">
        <v>0</v>
      </c>
      <c r="Q109">
        <v>0</v>
      </c>
      <c r="R109">
        <v>0</v>
      </c>
      <c r="S109">
        <v>0</v>
      </c>
      <c r="T109">
        <v>1</v>
      </c>
      <c r="U109">
        <v>0</v>
      </c>
      <c r="V109">
        <v>1</v>
      </c>
      <c r="W109">
        <v>0</v>
      </c>
      <c r="X109">
        <v>0</v>
      </c>
      <c r="Y109">
        <v>0</v>
      </c>
      <c r="Z109">
        <v>0</v>
      </c>
      <c r="AA109">
        <v>0</v>
      </c>
      <c r="AB109">
        <v>0</v>
      </c>
      <c r="AC109">
        <v>0</v>
      </c>
      <c r="AD109">
        <v>0</v>
      </c>
      <c r="AE109">
        <v>0</v>
      </c>
      <c r="AF109">
        <v>0</v>
      </c>
      <c r="AG109">
        <v>0</v>
      </c>
      <c r="AH109">
        <v>0</v>
      </c>
      <c r="AI109">
        <v>1</v>
      </c>
      <c r="AJ109">
        <v>0</v>
      </c>
      <c r="AK109">
        <v>0</v>
      </c>
      <c r="AL109">
        <v>0</v>
      </c>
      <c r="AM109" t="s">
        <v>53</v>
      </c>
      <c r="AN109">
        <v>0</v>
      </c>
      <c r="AO109">
        <v>2</v>
      </c>
      <c r="AP109">
        <v>0</v>
      </c>
      <c r="AQ109">
        <v>1</v>
      </c>
      <c r="AR109">
        <v>0</v>
      </c>
      <c r="AS109">
        <v>0</v>
      </c>
    </row>
    <row r="110" spans="1:45" x14ac:dyDescent="0.2">
      <c r="A110" t="s">
        <v>215</v>
      </c>
      <c r="B110" s="3">
        <f t="shared" si="1"/>
        <v>46082</v>
      </c>
      <c r="C110" t="s">
        <v>68</v>
      </c>
      <c r="D110" s="1">
        <v>1.1967592592592592E-2</v>
      </c>
      <c r="E110">
        <v>19</v>
      </c>
      <c r="F110" t="s">
        <v>118</v>
      </c>
      <c r="G110" t="s">
        <v>47</v>
      </c>
      <c r="H110" t="s">
        <v>64</v>
      </c>
      <c r="I110" s="2" t="s">
        <v>49</v>
      </c>
      <c r="J110" s="2" t="s">
        <v>50</v>
      </c>
      <c r="K110" s="2" t="s">
        <v>59</v>
      </c>
      <c r="L110" s="2" t="s">
        <v>76</v>
      </c>
      <c r="M110" s="2" t="s">
        <v>95</v>
      </c>
      <c r="N110">
        <v>0</v>
      </c>
      <c r="O110">
        <v>0</v>
      </c>
      <c r="P110">
        <v>0</v>
      </c>
      <c r="Q110">
        <v>0</v>
      </c>
      <c r="R110">
        <v>0</v>
      </c>
      <c r="S110">
        <v>0</v>
      </c>
      <c r="T110">
        <v>1</v>
      </c>
      <c r="U110">
        <v>1</v>
      </c>
      <c r="V110">
        <v>0</v>
      </c>
      <c r="W110">
        <v>0</v>
      </c>
      <c r="X110">
        <v>0</v>
      </c>
      <c r="Y110">
        <v>0</v>
      </c>
      <c r="Z110">
        <v>0</v>
      </c>
      <c r="AA110">
        <v>0</v>
      </c>
      <c r="AB110">
        <v>1</v>
      </c>
      <c r="AC110">
        <v>0</v>
      </c>
      <c r="AD110">
        <v>0</v>
      </c>
      <c r="AE110">
        <v>0</v>
      </c>
      <c r="AF110">
        <v>0</v>
      </c>
      <c r="AG110">
        <v>0</v>
      </c>
      <c r="AH110">
        <v>0</v>
      </c>
      <c r="AI110">
        <v>0</v>
      </c>
      <c r="AJ110">
        <v>0</v>
      </c>
      <c r="AK110">
        <v>0</v>
      </c>
      <c r="AL110">
        <v>0</v>
      </c>
      <c r="AM110" t="s">
        <v>53</v>
      </c>
      <c r="AN110">
        <v>1</v>
      </c>
      <c r="AO110">
        <v>3</v>
      </c>
      <c r="AP110">
        <v>1</v>
      </c>
      <c r="AQ110">
        <v>1</v>
      </c>
      <c r="AR110">
        <v>1</v>
      </c>
      <c r="AS110">
        <v>1</v>
      </c>
    </row>
    <row r="111" spans="1:45" x14ac:dyDescent="0.2">
      <c r="A111" t="s">
        <v>216</v>
      </c>
      <c r="B111" s="3">
        <f t="shared" si="1"/>
        <v>46082</v>
      </c>
      <c r="C111" t="s">
        <v>80</v>
      </c>
      <c r="D111" s="1">
        <v>1.1354166666666667E-2</v>
      </c>
      <c r="E111">
        <v>26</v>
      </c>
      <c r="F111" t="s">
        <v>217</v>
      </c>
      <c r="G111" t="s">
        <v>179</v>
      </c>
      <c r="H111" t="s">
        <v>64</v>
      </c>
      <c r="I111" s="2" t="s">
        <v>75</v>
      </c>
      <c r="J111" s="2" t="s">
        <v>59</v>
      </c>
      <c r="K111" s="2" t="s">
        <v>76</v>
      </c>
      <c r="L111" s="2" t="s">
        <v>66</v>
      </c>
      <c r="M111" s="2" t="s">
        <v>61</v>
      </c>
      <c r="N111">
        <v>0</v>
      </c>
      <c r="O111">
        <v>0</v>
      </c>
      <c r="P111">
        <v>0</v>
      </c>
      <c r="Q111">
        <v>0</v>
      </c>
      <c r="R111">
        <v>0</v>
      </c>
      <c r="S111">
        <v>0</v>
      </c>
      <c r="T111">
        <v>1</v>
      </c>
      <c r="U111">
        <v>0</v>
      </c>
      <c r="V111">
        <v>0</v>
      </c>
      <c r="W111">
        <v>0</v>
      </c>
      <c r="X111">
        <v>0</v>
      </c>
      <c r="Y111">
        <v>1</v>
      </c>
      <c r="Z111">
        <v>0</v>
      </c>
      <c r="AA111">
        <v>0</v>
      </c>
      <c r="AB111">
        <v>0</v>
      </c>
      <c r="AC111">
        <v>1</v>
      </c>
      <c r="AD111">
        <v>0</v>
      </c>
      <c r="AE111">
        <v>0</v>
      </c>
      <c r="AF111">
        <v>0</v>
      </c>
      <c r="AG111">
        <v>0</v>
      </c>
      <c r="AH111">
        <v>0</v>
      </c>
      <c r="AI111">
        <v>0</v>
      </c>
      <c r="AJ111">
        <v>0</v>
      </c>
      <c r="AK111">
        <v>0</v>
      </c>
      <c r="AL111">
        <v>0</v>
      </c>
      <c r="AM111" t="s">
        <v>53</v>
      </c>
      <c r="AN111">
        <v>0</v>
      </c>
      <c r="AO111">
        <v>2</v>
      </c>
      <c r="AP111">
        <v>0</v>
      </c>
      <c r="AQ111">
        <v>0</v>
      </c>
      <c r="AR111">
        <v>0</v>
      </c>
      <c r="AS111">
        <v>0</v>
      </c>
    </row>
    <row r="112" spans="1:45" x14ac:dyDescent="0.2">
      <c r="A112" t="s">
        <v>218</v>
      </c>
      <c r="B112" s="3">
        <f t="shared" si="1"/>
        <v>46082</v>
      </c>
      <c r="C112" t="s">
        <v>45</v>
      </c>
      <c r="D112" s="1">
        <v>1.1215277777777777E-2</v>
      </c>
      <c r="E112">
        <v>16</v>
      </c>
      <c r="F112" t="s">
        <v>73</v>
      </c>
      <c r="G112" t="s">
        <v>199</v>
      </c>
      <c r="H112" t="s">
        <v>64</v>
      </c>
      <c r="I112" s="2" t="s">
        <v>75</v>
      </c>
      <c r="J112" s="2" t="s">
        <v>59</v>
      </c>
      <c r="K112" s="2" t="s">
        <v>59</v>
      </c>
      <c r="L112" s="2" t="s">
        <v>51</v>
      </c>
      <c r="M112" s="2" t="s">
        <v>52</v>
      </c>
      <c r="N112">
        <v>0</v>
      </c>
      <c r="O112">
        <v>0</v>
      </c>
      <c r="P112">
        <v>0</v>
      </c>
      <c r="Q112">
        <v>1</v>
      </c>
      <c r="R112">
        <v>0</v>
      </c>
      <c r="S112">
        <v>0</v>
      </c>
      <c r="T112">
        <v>0</v>
      </c>
      <c r="U112">
        <v>0</v>
      </c>
      <c r="V112">
        <v>0</v>
      </c>
      <c r="W112">
        <v>0</v>
      </c>
      <c r="X112">
        <v>0</v>
      </c>
      <c r="Y112">
        <v>0</v>
      </c>
      <c r="Z112">
        <v>0</v>
      </c>
      <c r="AA112">
        <v>1</v>
      </c>
      <c r="AB112">
        <v>0</v>
      </c>
      <c r="AC112">
        <v>0</v>
      </c>
      <c r="AD112">
        <v>0</v>
      </c>
      <c r="AE112">
        <v>0</v>
      </c>
      <c r="AF112">
        <v>0</v>
      </c>
      <c r="AG112">
        <v>0</v>
      </c>
      <c r="AH112">
        <v>0</v>
      </c>
      <c r="AI112">
        <v>0</v>
      </c>
      <c r="AJ112">
        <v>0</v>
      </c>
      <c r="AK112">
        <v>0</v>
      </c>
      <c r="AL112">
        <v>0</v>
      </c>
      <c r="AM112" t="s">
        <v>53</v>
      </c>
      <c r="AN112">
        <v>0</v>
      </c>
      <c r="AO112">
        <v>1</v>
      </c>
      <c r="AP112">
        <v>0</v>
      </c>
      <c r="AQ112">
        <v>0</v>
      </c>
      <c r="AR112">
        <v>1</v>
      </c>
      <c r="AS112">
        <v>0</v>
      </c>
    </row>
    <row r="113" spans="1:45" x14ac:dyDescent="0.2">
      <c r="A113" t="s">
        <v>219</v>
      </c>
      <c r="B113" s="3">
        <f t="shared" si="1"/>
        <v>46082</v>
      </c>
      <c r="C113" t="s">
        <v>55</v>
      </c>
      <c r="D113" s="1">
        <v>9.7569444444444448E-3</v>
      </c>
      <c r="E113">
        <v>14</v>
      </c>
      <c r="F113" t="s">
        <v>114</v>
      </c>
      <c r="G113" t="s">
        <v>208</v>
      </c>
      <c r="H113" t="s">
        <v>64</v>
      </c>
      <c r="I113" s="2" t="s">
        <v>65</v>
      </c>
      <c r="J113" s="2" t="s">
        <v>59</v>
      </c>
      <c r="K113" s="2" t="s">
        <v>76</v>
      </c>
      <c r="L113" s="2" t="s">
        <v>76</v>
      </c>
      <c r="M113" s="2" t="s">
        <v>61</v>
      </c>
      <c r="N113">
        <v>0</v>
      </c>
      <c r="O113">
        <v>0</v>
      </c>
      <c r="P113">
        <v>0</v>
      </c>
      <c r="Q113">
        <v>0</v>
      </c>
      <c r="R113">
        <v>0</v>
      </c>
      <c r="S113">
        <v>0</v>
      </c>
      <c r="T113">
        <v>0</v>
      </c>
      <c r="U113">
        <v>0</v>
      </c>
      <c r="V113">
        <v>1</v>
      </c>
      <c r="W113">
        <v>1</v>
      </c>
      <c r="X113">
        <v>0</v>
      </c>
      <c r="Y113">
        <v>0</v>
      </c>
      <c r="Z113">
        <v>0</v>
      </c>
      <c r="AA113">
        <v>0</v>
      </c>
      <c r="AB113">
        <v>1</v>
      </c>
      <c r="AC113">
        <v>0</v>
      </c>
      <c r="AD113">
        <v>0</v>
      </c>
      <c r="AE113">
        <v>0</v>
      </c>
      <c r="AF113">
        <v>0</v>
      </c>
      <c r="AG113">
        <v>0</v>
      </c>
      <c r="AH113">
        <v>0</v>
      </c>
      <c r="AI113">
        <v>0</v>
      </c>
      <c r="AJ113">
        <v>0</v>
      </c>
      <c r="AK113">
        <v>0</v>
      </c>
      <c r="AL113">
        <v>0</v>
      </c>
      <c r="AM113" t="s">
        <v>53</v>
      </c>
      <c r="AN113">
        <v>1</v>
      </c>
      <c r="AO113">
        <v>2</v>
      </c>
      <c r="AP113">
        <v>1</v>
      </c>
      <c r="AQ113">
        <v>1</v>
      </c>
      <c r="AR113">
        <v>2</v>
      </c>
      <c r="AS113">
        <v>1</v>
      </c>
    </row>
    <row r="114" spans="1:45" x14ac:dyDescent="0.2">
      <c r="A114" t="s">
        <v>220</v>
      </c>
      <c r="B114" s="3">
        <f t="shared" si="1"/>
        <v>46113</v>
      </c>
      <c r="C114" t="s">
        <v>45</v>
      </c>
      <c r="D114" s="1">
        <v>1.1921296296296296E-2</v>
      </c>
      <c r="E114">
        <v>26</v>
      </c>
      <c r="F114" t="s">
        <v>217</v>
      </c>
      <c r="G114" t="s">
        <v>199</v>
      </c>
      <c r="H114" t="s">
        <v>64</v>
      </c>
      <c r="I114" s="2" t="s">
        <v>116</v>
      </c>
      <c r="J114" s="2" t="s">
        <v>59</v>
      </c>
      <c r="K114" s="2" t="s">
        <v>49</v>
      </c>
      <c r="L114" s="2" t="s">
        <v>49</v>
      </c>
      <c r="M114" s="2" t="s">
        <v>102</v>
      </c>
      <c r="N114">
        <v>0</v>
      </c>
      <c r="O114">
        <v>0</v>
      </c>
      <c r="P114">
        <v>0</v>
      </c>
      <c r="Q114">
        <v>0</v>
      </c>
      <c r="R114">
        <v>0</v>
      </c>
      <c r="S114">
        <v>0</v>
      </c>
      <c r="T114">
        <v>1</v>
      </c>
      <c r="U114">
        <v>0</v>
      </c>
      <c r="V114">
        <v>0</v>
      </c>
      <c r="W114">
        <v>0</v>
      </c>
      <c r="X114">
        <v>0</v>
      </c>
      <c r="Y114">
        <v>1</v>
      </c>
      <c r="Z114">
        <v>0</v>
      </c>
      <c r="AA114">
        <v>0</v>
      </c>
      <c r="AB114">
        <v>0</v>
      </c>
      <c r="AC114">
        <v>1</v>
      </c>
      <c r="AD114">
        <v>0</v>
      </c>
      <c r="AE114">
        <v>0</v>
      </c>
      <c r="AF114">
        <v>0</v>
      </c>
      <c r="AG114">
        <v>0</v>
      </c>
      <c r="AH114">
        <v>0</v>
      </c>
      <c r="AI114">
        <v>0</v>
      </c>
      <c r="AJ114">
        <v>0</v>
      </c>
      <c r="AK114">
        <v>0</v>
      </c>
      <c r="AL114">
        <v>0</v>
      </c>
      <c r="AM114" t="s">
        <v>53</v>
      </c>
      <c r="AN114">
        <v>0</v>
      </c>
      <c r="AO114">
        <v>2</v>
      </c>
      <c r="AP114">
        <v>0</v>
      </c>
      <c r="AQ114">
        <v>0</v>
      </c>
      <c r="AR114">
        <v>0</v>
      </c>
      <c r="AS11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GUOT pivot</vt:lpstr>
      <vt:lpstr>charts</vt:lpstr>
      <vt:lpstr>GUOT</vt:lpstr>
      <vt:lpstr>usage pivot</vt:lpstr>
      <vt:lpstr>trainline_april26_csv_fordraggi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2026-04-14T12:08:21Z</dcterms:created>
  <dcterms:modified xsi:type="dcterms:W3CDTF">2026-04-14T12:10:28Z</dcterms:modified>
</cp:coreProperties>
</file>