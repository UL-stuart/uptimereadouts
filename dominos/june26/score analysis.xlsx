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mrimell/Dev/uptimereadouts/dominos/june26/"/>
    </mc:Choice>
  </mc:AlternateContent>
  <xr:revisionPtr revIDLastSave="0" documentId="13_ncr:1_{4BA432D3-7905-0D49-965D-9DBB7BDEC1F6}" xr6:coauthVersionLast="47" xr6:coauthVersionMax="47" xr10:uidLastSave="{00000000-0000-0000-0000-000000000000}"/>
  <bookViews>
    <workbookView xWindow="-8200" yWindow="-23220" windowWidth="27640" windowHeight="16680" xr2:uid="{FBA20715-4845-F841-92F9-4C2F57A095DA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 s="1"/>
  <c r="D13" i="1"/>
  <c r="C13" i="1"/>
  <c r="C14" i="1" s="1"/>
  <c r="G13" i="1"/>
  <c r="G14" i="1" s="1"/>
  <c r="H14" i="1" l="1"/>
</calcChain>
</file>

<file path=xl/sharedStrings.xml><?xml version="1.0" encoding="utf-8"?>
<sst xmlns="http://schemas.openxmlformats.org/spreadsheetml/2006/main" count="86" uniqueCount="56">
  <si>
    <t>Session ID</t>
  </si>
  <si>
    <t>Facet Score</t>
  </si>
  <si>
    <t>Marker Score</t>
  </si>
  <si>
    <t>Composite Score</t>
  </si>
  <si>
    <t>2.40 / 4</t>
  </si>
  <si>
    <t>2.42 / 4</t>
  </si>
  <si>
    <t>2.33 / 4</t>
  </si>
  <si>
    <t>2.00 / 4</t>
  </si>
  <si>
    <t>1.75 / 4</t>
  </si>
  <si>
    <t>f1</t>
  </si>
  <si>
    <t>f2</t>
  </si>
  <si>
    <t>f3</t>
  </si>
  <si>
    <t>f4</t>
  </si>
  <si>
    <t>f5</t>
  </si>
  <si>
    <t>l3</t>
  </si>
  <si>
    <t>c1</t>
  </si>
  <si>
    <t>c3</t>
  </si>
  <si>
    <t>c4</t>
  </si>
  <si>
    <t>c6</t>
  </si>
  <si>
    <t>c7</t>
  </si>
  <si>
    <t>m2</t>
  </si>
  <si>
    <t>m3</t>
  </si>
  <si>
    <t>m4</t>
  </si>
  <si>
    <t>m5</t>
  </si>
  <si>
    <t>k2</t>
  </si>
  <si>
    <t>k4</t>
  </si>
  <si>
    <t>L3 — Takes explicit ownership</t>
  </si>
  <si>
    <t>C1 — Asks clarifying questions before acting</t>
  </si>
  <si>
    <t>C3 — Checks for recent changes</t>
  </si>
  <si>
    <t>C4 — Delegates tasks to specific people</t>
  </si>
  <si>
    <t>C6 — Runs parallel investigation threads</t>
  </si>
  <si>
    <t>C7 — Escalates when stuck</t>
  </si>
  <si>
    <t>M2 — Forms and tests working hypotheses</t>
  </si>
  <si>
    <t>M3 — Uses evidence to narrow the scope</t>
  </si>
  <si>
    <t>M4 — Considers potential consequences before acting</t>
  </si>
  <si>
    <t>M5 — Adapts approach when initial path isn’t working</t>
  </si>
  <si>
    <t>K2 — Provides substantive updates to business stakeholders</t>
  </si>
  <si>
    <t>K4 — Communicates issue scope clearly to the technical team</t>
  </si>
  <si>
    <t>Namew</t>
  </si>
  <si>
    <t>sewtha</t>
  </si>
  <si>
    <t>Chris</t>
  </si>
  <si>
    <t>Vallabh</t>
  </si>
  <si>
    <t>sewetha</t>
  </si>
  <si>
    <t>vaishnavi</t>
  </si>
  <si>
    <t>swetha.nayudu@dominos.co.uk</t>
  </si>
  <si>
    <t>vallabh.vyas@dominos.co.uk</t>
  </si>
  <si>
    <t>chris.watts@dominos.co.uk</t>
  </si>
  <si>
    <t>vaishnavi.b@dominos.co.uk</t>
  </si>
  <si>
    <t>pradeep.c@dominos.co.uk</t>
  </si>
  <si>
    <t>praveen.sadul@dominos.co.uk</t>
  </si>
  <si>
    <t>latif.khan@dominos.co.uk</t>
  </si>
  <si>
    <t>1.80 / 4</t>
  </si>
  <si>
    <t>1.92 / 4</t>
  </si>
  <si>
    <t>1.60 / 4</t>
  </si>
  <si>
    <t>1.83 / 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</si>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</sst>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24292F"/>
      <name val="Helvetica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B0FB1-BCD5-E441-9131-748722C30542}">
  <dimension ref="A1:V33"/>
  <sheetViews>
    <sheetView tabSelected="1" workbookViewId="0">
      <selection activeCell="E12" sqref="E12"/>
    </sheetView>
  </sheetViews>
  <sheetFormatPr baseColWidth="10" defaultRowHeight="16" x14ac:dyDescent="0.2"/>
  <cols>
    <col min="1" max="1" width="30.5" customWidth="1"/>
    <col min="2" max="2" width="21.83203125" customWidth="1"/>
    <col min="3" max="3" width="15.83203125" customWidth="1"/>
    <col min="4" max="4" width="15.6640625" customWidth="1"/>
    <col min="5" max="5" width="17" customWidth="1"/>
  </cols>
  <sheetData>
    <row r="1" spans="1:22" s="2" customFormat="1" x14ac:dyDescent="0.2">
      <c r="A1" s="2" t="s">
        <v>0</v>
      </c>
      <c r="B1" s="2" t="s">
        <v>55</v>
      </c>
      <c r="C1" s="2" t="s">
        <v>1</v>
      </c>
      <c r="D1" s="2" t="s">
        <v>2</v>
      </c>
      <c r="E1" s="2" t="s">
        <v>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</row>
    <row r="2" spans="1:22" x14ac:dyDescent="0.2">
      <c r="A2" t="s">
        <v>44</v>
      </c>
      <c r="B2" s="3">
        <v>9058</v>
      </c>
      <c r="C2" t="s">
        <v>7</v>
      </c>
      <c r="D2" t="s">
        <v>8</v>
      </c>
      <c r="E2">
        <v>30.8</v>
      </c>
    </row>
    <row r="3" spans="1:22" x14ac:dyDescent="0.2">
      <c r="A3" t="s">
        <v>45</v>
      </c>
      <c r="B3" s="3">
        <v>9150</v>
      </c>
      <c r="C3" t="s">
        <v>51</v>
      </c>
      <c r="D3" t="s">
        <v>52</v>
      </c>
      <c r="E3">
        <v>27.9</v>
      </c>
    </row>
    <row r="4" spans="1:22" x14ac:dyDescent="0.2">
      <c r="A4" t="s">
        <v>46</v>
      </c>
      <c r="B4" s="3">
        <v>9196</v>
      </c>
      <c r="C4" t="s">
        <v>4</v>
      </c>
      <c r="D4" t="s">
        <v>5</v>
      </c>
      <c r="E4">
        <v>46.9</v>
      </c>
      <c r="F4">
        <v>2</v>
      </c>
      <c r="G4">
        <v>2</v>
      </c>
      <c r="H4">
        <v>3</v>
      </c>
      <c r="I4">
        <v>3</v>
      </c>
      <c r="J4">
        <v>2</v>
      </c>
      <c r="K4">
        <v>3</v>
      </c>
      <c r="L4">
        <v>3</v>
      </c>
      <c r="M4">
        <v>2</v>
      </c>
      <c r="N4">
        <v>3</v>
      </c>
      <c r="O4">
        <v>2</v>
      </c>
      <c r="P4">
        <v>3</v>
      </c>
      <c r="Q4">
        <v>2</v>
      </c>
      <c r="R4">
        <v>2</v>
      </c>
      <c r="S4">
        <v>2</v>
      </c>
      <c r="T4">
        <v>3</v>
      </c>
      <c r="U4">
        <v>2</v>
      </c>
      <c r="V4">
        <v>2</v>
      </c>
    </row>
    <row r="5" spans="1:22" x14ac:dyDescent="0.2">
      <c r="A5" t="s">
        <v>44</v>
      </c>
      <c r="B5">
        <v>9311</v>
      </c>
      <c r="C5" t="s">
        <v>53</v>
      </c>
      <c r="D5" t="s">
        <v>54</v>
      </c>
      <c r="E5">
        <v>22.3</v>
      </c>
    </row>
    <row r="6" spans="1:22" x14ac:dyDescent="0.2">
      <c r="A6" t="s">
        <v>44</v>
      </c>
      <c r="B6" s="3">
        <v>9317</v>
      </c>
      <c r="C6" t="s">
        <v>4</v>
      </c>
      <c r="D6" t="s">
        <v>6</v>
      </c>
      <c r="E6">
        <v>46</v>
      </c>
    </row>
    <row r="7" spans="1:22" x14ac:dyDescent="0.2">
      <c r="A7" t="s">
        <v>47</v>
      </c>
      <c r="B7" s="3">
        <v>9380</v>
      </c>
    </row>
    <row r="8" spans="1:22" x14ac:dyDescent="0.2">
      <c r="A8" t="s">
        <v>48</v>
      </c>
      <c r="B8">
        <v>9397</v>
      </c>
    </row>
    <row r="9" spans="1:22" x14ac:dyDescent="0.2">
      <c r="A9" t="s">
        <v>49</v>
      </c>
      <c r="B9">
        <v>9418</v>
      </c>
    </row>
    <row r="10" spans="1:22" x14ac:dyDescent="0.2">
      <c r="A10" t="s">
        <v>50</v>
      </c>
      <c r="B10">
        <v>9421</v>
      </c>
    </row>
    <row r="13" spans="1:22" x14ac:dyDescent="0.2">
      <c r="C13">
        <f>2.4/4</f>
        <v>0.6</v>
      </c>
      <c r="D13">
        <f>2.42/4</f>
        <v>0.60499999999999998</v>
      </c>
      <c r="F13">
        <f>SUM(F4:J4) / 20</f>
        <v>0.6</v>
      </c>
      <c r="G13">
        <f>SUM(K3:V3) / 48</f>
        <v>0</v>
      </c>
    </row>
    <row r="14" spans="1:22" x14ac:dyDescent="0.2">
      <c r="C14">
        <f>C13*0.7</f>
        <v>0.42</v>
      </c>
      <c r="F14">
        <f>F13 * 0.7</f>
        <v>0.42</v>
      </c>
      <c r="G14">
        <f>G13*0.3</f>
        <v>0</v>
      </c>
      <c r="H14">
        <f>SUM(F14:G14)</f>
        <v>0.42</v>
      </c>
    </row>
    <row r="22" spans="5:6" ht="18" x14ac:dyDescent="0.2">
      <c r="E22" s="1" t="s">
        <v>26</v>
      </c>
      <c r="F22" s="1">
        <v>3</v>
      </c>
    </row>
    <row r="23" spans="5:6" ht="18" x14ac:dyDescent="0.2">
      <c r="E23" s="1" t="s">
        <v>27</v>
      </c>
      <c r="F23" s="1">
        <v>3</v>
      </c>
    </row>
    <row r="24" spans="5:6" ht="18" x14ac:dyDescent="0.2">
      <c r="E24" s="1" t="s">
        <v>28</v>
      </c>
      <c r="F24" s="1">
        <v>2</v>
      </c>
    </row>
    <row r="25" spans="5:6" ht="18" x14ac:dyDescent="0.2">
      <c r="E25" s="1" t="s">
        <v>29</v>
      </c>
      <c r="F25" s="1">
        <v>3</v>
      </c>
    </row>
    <row r="26" spans="5:6" ht="18" x14ac:dyDescent="0.2">
      <c r="E26" s="1" t="s">
        <v>30</v>
      </c>
      <c r="F26" s="1">
        <v>2</v>
      </c>
    </row>
    <row r="27" spans="5:6" ht="18" x14ac:dyDescent="0.2">
      <c r="E27" s="1" t="s">
        <v>31</v>
      </c>
      <c r="F27" s="1">
        <v>3</v>
      </c>
    </row>
    <row r="28" spans="5:6" ht="18" x14ac:dyDescent="0.2">
      <c r="E28" s="1" t="s">
        <v>32</v>
      </c>
      <c r="F28" s="1">
        <v>2</v>
      </c>
    </row>
    <row r="29" spans="5:6" ht="18" x14ac:dyDescent="0.2">
      <c r="E29" s="1" t="s">
        <v>33</v>
      </c>
      <c r="F29" s="1">
        <v>2</v>
      </c>
    </row>
    <row r="30" spans="5:6" ht="18" x14ac:dyDescent="0.2">
      <c r="E30" s="1" t="s">
        <v>34</v>
      </c>
      <c r="F30" s="1">
        <v>2</v>
      </c>
    </row>
    <row r="31" spans="5:6" ht="18" x14ac:dyDescent="0.2">
      <c r="E31" s="1" t="s">
        <v>35</v>
      </c>
      <c r="F31" s="1">
        <v>3</v>
      </c>
    </row>
    <row r="32" spans="5:6" ht="18" x14ac:dyDescent="0.2">
      <c r="E32" s="1" t="s">
        <v>36</v>
      </c>
      <c r="F32" s="1">
        <v>2</v>
      </c>
    </row>
    <row r="33" spans="5:6" ht="18" x14ac:dyDescent="0.2">
      <c r="E33" s="1" t="s">
        <v>37</v>
      </c>
      <c r="F33" s="1">
        <v>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CAF06-B9F3-BC4F-8A7F-9CD09DF3303C}">
  <dimension ref="A1:V6"/>
  <sheetViews>
    <sheetView workbookViewId="0">
      <selection sqref="A1:V7"/>
    </sheetView>
  </sheetViews>
  <sheetFormatPr baseColWidth="10" defaultRowHeight="16" x14ac:dyDescent="0.2"/>
  <sheetData>
    <row r="1" spans="1:22" x14ac:dyDescent="0.2">
      <c r="A1" s="2" t="s">
        <v>0</v>
      </c>
      <c r="B1" s="2" t="s">
        <v>38</v>
      </c>
      <c r="C1" s="2" t="s">
        <v>1</v>
      </c>
      <c r="D1" s="2" t="s">
        <v>2</v>
      </c>
      <c r="E1" s="2" t="s">
        <v>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</row>
    <row r="2" spans="1:22" x14ac:dyDescent="0.2">
      <c r="A2">
        <v>9058</v>
      </c>
      <c r="B2" t="s">
        <v>39</v>
      </c>
      <c r="C2" t="s">
        <v>7</v>
      </c>
      <c r="D2" t="s">
        <v>8</v>
      </c>
      <c r="E2">
        <v>30.8</v>
      </c>
    </row>
    <row r="3" spans="1:22" x14ac:dyDescent="0.2">
      <c r="A3">
        <v>9150</v>
      </c>
      <c r="B3" t="s">
        <v>41</v>
      </c>
    </row>
    <row r="4" spans="1:22" x14ac:dyDescent="0.2">
      <c r="A4">
        <v>9196</v>
      </c>
      <c r="B4" t="s">
        <v>40</v>
      </c>
      <c r="C4" t="s">
        <v>4</v>
      </c>
      <c r="D4" t="s">
        <v>5</v>
      </c>
      <c r="E4">
        <v>46.9</v>
      </c>
      <c r="F4">
        <v>2</v>
      </c>
      <c r="G4">
        <v>2</v>
      </c>
      <c r="H4">
        <v>3</v>
      </c>
      <c r="I4">
        <v>3</v>
      </c>
      <c r="J4">
        <v>2</v>
      </c>
      <c r="K4">
        <v>3</v>
      </c>
      <c r="L4">
        <v>3</v>
      </c>
      <c r="M4">
        <v>2</v>
      </c>
      <c r="N4">
        <v>3</v>
      </c>
      <c r="O4">
        <v>2</v>
      </c>
      <c r="P4">
        <v>3</v>
      </c>
      <c r="Q4">
        <v>2</v>
      </c>
      <c r="R4">
        <v>2</v>
      </c>
      <c r="S4">
        <v>2</v>
      </c>
      <c r="T4">
        <v>3</v>
      </c>
      <c r="U4">
        <v>2</v>
      </c>
      <c r="V4">
        <v>2</v>
      </c>
    </row>
    <row r="5" spans="1:22" x14ac:dyDescent="0.2">
      <c r="A5">
        <v>9317</v>
      </c>
      <c r="B5" t="s">
        <v>42</v>
      </c>
      <c r="C5" t="s">
        <v>4</v>
      </c>
      <c r="D5" t="s">
        <v>6</v>
      </c>
      <c r="E5">
        <v>46</v>
      </c>
    </row>
    <row r="6" spans="1:22" x14ac:dyDescent="0.2">
      <c r="A6">
        <v>9380</v>
      </c>
      <c r="B6" t="s">
        <v>43</v>
      </c>
    </row>
  </sheetData>
  <sortState xmlns:xlrd2="http://schemas.microsoft.com/office/spreadsheetml/2017/richdata2" ref="A2:V6">
    <sortCondition ref="A2:A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Stuart Rimell</dc:creator>
  <cp:lastModifiedBy>Stuart Rimell</cp:lastModifiedBy>
  <dcterms:created xsi:type="dcterms:W3CDTF">2026-06-10T16:16:06Z</dcterms:created>
  <dcterms:modified xsi:type="dcterms:W3CDTF">2026-06-11T15:10:34Z</dcterms:modified>
</cp:coreProperties>
</file>