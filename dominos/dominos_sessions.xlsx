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smrimell/Dev/uptimereadouts/dominos/"/>
    </mc:Choice>
  </mc:AlternateContent>
  <xr:revisionPtr revIDLastSave="0" documentId="13_ncr:9_{DB44D9E4-DA80-CF4C-B5AB-4B8049FAB323}" xr6:coauthVersionLast="47" xr6:coauthVersionMax="47" xr10:uidLastSave="{00000000-0000-0000-0000-000000000000}"/>
  <bookViews>
    <workbookView xWindow="1100" yWindow="2400" windowWidth="30820" windowHeight="19440" activeTab="4" xr2:uid="{29E80B55-32A1-544C-9275-4E6F03E45D52}"/>
  </bookViews>
  <sheets>
    <sheet name="GUOT pivot" sheetId="4" r:id="rId1"/>
    <sheet name="charts" sheetId="5" r:id="rId2"/>
    <sheet name="dominos airtable" sheetId="3" r:id="rId3"/>
    <sheet name="sessions pivot" sheetId="2" r:id="rId4"/>
    <sheet name="dominos_sessions_for_dragging_i" sheetId="1" r:id="rId5"/>
  </sheets>
  <calcPr calcId="191029"/>
  <pivotCaches>
    <pivotCache cacheId="30" r:id="rId6"/>
    <pivotCache cacheId="35"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 i="3"/>
  <c r="A45" i="2"/>
  <c r="B45" i="2"/>
  <c r="C45" i="2"/>
  <c r="D45" i="2"/>
  <c r="E45" i="2"/>
  <c r="F45" i="2"/>
  <c r="G45" i="2"/>
  <c r="A46" i="2"/>
  <c r="B46" i="2"/>
  <c r="C46" i="2"/>
  <c r="D46" i="2"/>
  <c r="E46" i="2"/>
  <c r="F46" i="2"/>
  <c r="G46" i="2"/>
  <c r="A47" i="2"/>
  <c r="B47" i="2"/>
  <c r="C47" i="2"/>
  <c r="D47" i="2"/>
  <c r="E47" i="2"/>
  <c r="F47" i="2"/>
  <c r="G47" i="2"/>
  <c r="A48" i="2"/>
  <c r="B48" i="2"/>
  <c r="C48" i="2"/>
  <c r="D48" i="2"/>
  <c r="E48" i="2"/>
  <c r="F48" i="2"/>
  <c r="G48" i="2"/>
  <c r="A49" i="2"/>
  <c r="B49" i="2"/>
  <c r="C49" i="2"/>
  <c r="D49" i="2"/>
  <c r="E49" i="2"/>
  <c r="F49" i="2"/>
  <c r="G49" i="2"/>
  <c r="A50" i="2"/>
  <c r="B50" i="2"/>
  <c r="C50" i="2"/>
  <c r="D50" i="2"/>
  <c r="E50" i="2"/>
  <c r="F50" i="2"/>
  <c r="G50" i="2"/>
  <c r="A51" i="2"/>
  <c r="B51" i="2"/>
  <c r="C51" i="2"/>
  <c r="D51" i="2"/>
  <c r="E51" i="2"/>
  <c r="F51" i="2"/>
  <c r="G51" i="2"/>
  <c r="A52" i="2"/>
  <c r="B52" i="2"/>
  <c r="C52" i="2"/>
  <c r="D52" i="2"/>
  <c r="E52" i="2"/>
  <c r="F52" i="2"/>
  <c r="G52" i="2"/>
  <c r="A53" i="2"/>
  <c r="B53" i="2"/>
  <c r="C53" i="2"/>
  <c r="D53" i="2"/>
  <c r="E53" i="2"/>
  <c r="F53" i="2"/>
  <c r="G53" i="2"/>
  <c r="A54" i="2"/>
  <c r="B54" i="2"/>
  <c r="C54" i="2"/>
  <c r="D54" i="2"/>
  <c r="E54" i="2"/>
  <c r="F54" i="2"/>
  <c r="G54" i="2"/>
  <c r="A55" i="2"/>
  <c r="B55" i="2"/>
  <c r="C55" i="2"/>
  <c r="D55" i="2"/>
  <c r="E55" i="2"/>
  <c r="F55" i="2"/>
  <c r="G55" i="2"/>
  <c r="A56" i="2"/>
  <c r="B56" i="2"/>
  <c r="C56" i="2"/>
  <c r="D56" i="2"/>
  <c r="E56" i="2"/>
  <c r="F56" i="2"/>
  <c r="G56" i="2"/>
  <c r="A57" i="2"/>
  <c r="B57" i="2"/>
  <c r="C57" i="2"/>
  <c r="D57" i="2"/>
  <c r="E57" i="2"/>
  <c r="F57" i="2"/>
  <c r="G57" i="2"/>
  <c r="B44" i="2"/>
  <c r="C44" i="2"/>
  <c r="D44" i="2"/>
  <c r="E44" i="2"/>
  <c r="F44" i="2"/>
  <c r="G44" i="2"/>
  <c r="A44" i="2"/>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alcChain>
</file>

<file path=xl/sharedStrings.xml><?xml version="1.0" encoding="utf-8"?>
<sst xmlns="http://schemas.openxmlformats.org/spreadsheetml/2006/main" count="2265" uniqueCount="478">
  <si>
    <t>session_start</t>
  </si>
  <si>
    <t>day_of_week</t>
  </si>
  <si>
    <t>duration</t>
  </si>
  <si>
    <t>level</t>
  </si>
  <si>
    <t>name</t>
  </si>
  <si>
    <t>player</t>
  </si>
  <si>
    <t>completion_status</t>
  </si>
  <si>
    <t>identify_scope</t>
  </si>
  <si>
    <t>incident_mechanics</t>
  </si>
  <si>
    <t>external_comms</t>
  </si>
  <si>
    <t>internal_comms</t>
  </si>
  <si>
    <t>commanding_the_incident</t>
  </si>
  <si>
    <t>Complexity: Ambiguous cues (multiple alternatives)</t>
  </si>
  <si>
    <t>Complexity: Attention Demands</t>
  </si>
  <si>
    <t>Complexity: Conflicting Advice</t>
  </si>
  <si>
    <t>Complexity: Decreased access to team members</t>
  </si>
  <si>
    <t>Complexity: Distributed information across individuals/organiza</t>
  </si>
  <si>
    <t>Complexity: Doublebind situations (dilemmas)</t>
  </si>
  <si>
    <t>Complexity: False prime explanations (garden path)</t>
  </si>
  <si>
    <t>Complexity: Hidden coupling (effects at a distance; cascading e</t>
  </si>
  <si>
    <t>Complexity: Implied relationship (red herring)</t>
  </si>
  <si>
    <t>Complexity: Interdependencies amongst roles (someone needs some</t>
  </si>
  <si>
    <t>Complexity: Lack of predefined plan</t>
  </si>
  <si>
    <t>Complexity: Misleading indicators (low predictive value)</t>
  </si>
  <si>
    <t>Complexity: Mismatch between prede fined plans or procedures an</t>
  </si>
  <si>
    <t>Complexity: Missing Information</t>
  </si>
  <si>
    <t>Complexity: Multi Party Dilema</t>
  </si>
  <si>
    <t>Complexity: Multiple simultaneous influences (more than one exp</t>
  </si>
  <si>
    <t>Complexity: Multiple simultaneous influences (multiple explanat</t>
  </si>
  <si>
    <t>Complexity: Saturation</t>
  </si>
  <si>
    <t>Complexity: Simultaneous seperate issues</t>
  </si>
  <si>
    <t>Complexity: Stakeholder Interference</t>
  </si>
  <si>
    <t>Complexity: Stereotype violations (not the usual suspect)</t>
  </si>
  <si>
    <t>Complexity: Stress or fatigue</t>
  </si>
  <si>
    <t>Complexity: Uncertain information (unreliable data)</t>
  </si>
  <si>
    <t>Complexity: Unintended effects (managing side effects)</t>
  </si>
  <si>
    <t>Complexity: Absence of strong signals (no alarms, no threshold</t>
  </si>
  <si>
    <t>max</t>
  </si>
  <si>
    <t>Category: Detecting</t>
  </si>
  <si>
    <t>Category: Sensemaking</t>
  </si>
  <si>
    <t>Category: Planning</t>
  </si>
  <si>
    <t>Category: Deciding</t>
  </si>
  <si>
    <t>Category: Coordination</t>
  </si>
  <si>
    <t>Category: Executing</t>
  </si>
  <si>
    <t>2025-07-09 01:00:00.000 +0100</t>
  </si>
  <si>
    <t>Wednesday</t>
  </si>
  <si>
    <t>Too Good To Be True</t>
  </si>
  <si>
    <t>swetha.nayudu</t>
  </si>
  <si>
    <t>COMPLETED</t>
  </si>
  <si>
    <t>-</t>
  </si>
  <si>
    <t>2025-07-10 01:00:00.000 +0100</t>
  </si>
  <si>
    <t xml:space="preserve">Thursday </t>
  </si>
  <si>
    <t>yeshwanth.tp</t>
  </si>
  <si>
    <t>2025-07-14 01:00:00.000 +0100</t>
  </si>
  <si>
    <t xml:space="preserve">Monday   </t>
  </si>
  <si>
    <t>pradeep.c</t>
  </si>
  <si>
    <t>2025-07-17 01:00:00.000 +0100</t>
  </si>
  <si>
    <t>Bezs Beatles Day!</t>
  </si>
  <si>
    <t>OUT_OF_TIME</t>
  </si>
  <si>
    <t>2025-07-23 01:00:00.000 +0100</t>
  </si>
  <si>
    <t>Too Good To Be True V2</t>
  </si>
  <si>
    <t>ramesh.matta</t>
  </si>
  <si>
    <t>2025-07-24 01:00:00.000 +0100</t>
  </si>
  <si>
    <t>2025-07-28 01:00:00.000 +0100</t>
  </si>
  <si>
    <t>The Big Investor</t>
  </si>
  <si>
    <t>2025-07-30 01:00:00.000 +0100</t>
  </si>
  <si>
    <t>2025-08-04 01:00:00.000 +0100</t>
  </si>
  <si>
    <t>Rumours</t>
  </si>
  <si>
    <t>2025-08-07 01:00:00.000 +0100</t>
  </si>
  <si>
    <t>2025-08-20 01:00:00.000 +0100</t>
  </si>
  <si>
    <t>2025-08-21 01:00:00.000 +0100</t>
  </si>
  <si>
    <t>praveen.sadul</t>
  </si>
  <si>
    <t>2025-08-22 01:00:00.000 +0100</t>
  </si>
  <si>
    <t xml:space="preserve">Friday   </t>
  </si>
  <si>
    <t>First day blues</t>
  </si>
  <si>
    <t>anandaraj.mani</t>
  </si>
  <si>
    <t>2025-08-29 01:00:00.000 +0100</t>
  </si>
  <si>
    <t>Missing Delivery</t>
  </si>
  <si>
    <t>2025-09-02 01:00:00.000 +0100</t>
  </si>
  <si>
    <t xml:space="preserve">Tuesday  </t>
  </si>
  <si>
    <t>Radio Silence</t>
  </si>
  <si>
    <t>2025-09-03 01:00:00.000 +0100</t>
  </si>
  <si>
    <t>vallabh.vyas</t>
  </si>
  <si>
    <t>2025-09-04 01:00:00.000 +0100</t>
  </si>
  <si>
    <t>Bezs Beatles Day! V2</t>
  </si>
  <si>
    <t>latif.khan</t>
  </si>
  <si>
    <t>2025-09-05 01:00:00.000 +0100</t>
  </si>
  <si>
    <t>gowthamkumar.b</t>
  </si>
  <si>
    <t>2025-09-10 01:00:00.000 +0100</t>
  </si>
  <si>
    <t>2025-09-11 01:00:00.000 +0100</t>
  </si>
  <si>
    <t>2025-09-12 01:00:00.000 +0100</t>
  </si>
  <si>
    <t>Roblox</t>
  </si>
  <si>
    <t>2025-09-18 01:00:00.000 +0100</t>
  </si>
  <si>
    <t>2025-09-19 01:00:00.000 +0100</t>
  </si>
  <si>
    <t>vaishnavi.b</t>
  </si>
  <si>
    <t>2025-09-24 01:00:00.000 +0100</t>
  </si>
  <si>
    <t>2025-09-25 01:00:00.000 +0100</t>
  </si>
  <si>
    <t>2025-09-26 01:00:00.000 +0100</t>
  </si>
  <si>
    <t>2025-09-29 01:00:00.000 +0100</t>
  </si>
  <si>
    <t>DEFCON 1</t>
  </si>
  <si>
    <t>2025-10-02 01:00:00.000 +0100</t>
  </si>
  <si>
    <t>2025-10-03 01:00:00.000 +0100</t>
  </si>
  <si>
    <t>The Big Investor V2</t>
  </si>
  <si>
    <t>2025-10-06 01:00:00.000 +0100</t>
  </si>
  <si>
    <t>gregg.winkel</t>
  </si>
  <si>
    <t>2025-10-08 01:00:00.000 +0100</t>
  </si>
  <si>
    <t>2025-10-09 01:00:00.000 +0100</t>
  </si>
  <si>
    <t>2025-10-10 01:00:00.000 +0100</t>
  </si>
  <si>
    <t>2025-10-13 01:00:00.000 +0100</t>
  </si>
  <si>
    <t>2025-10-15 01:00:00.000 +0100</t>
  </si>
  <si>
    <t>2025-10-16 01:00:00.000 +0100</t>
  </si>
  <si>
    <t>2025-10-17 01:00:00.000 +0100</t>
  </si>
  <si>
    <t>2025-10-22 01:00:00.000 +0100</t>
  </si>
  <si>
    <t>2025-10-24 01:00:00.000 +0100</t>
  </si>
  <si>
    <t>2025-10-29 00:00:00.000 +0000</t>
  </si>
  <si>
    <t>2025-11-05 00:00:00.000 +0000</t>
  </si>
  <si>
    <t>2025-11-07 00:00:00.000 +0000</t>
  </si>
  <si>
    <t>2025-11-12 00:00:00.000 +0000</t>
  </si>
  <si>
    <t>2025-11-19 00:00:00.000 +0000</t>
  </si>
  <si>
    <t>The Chain</t>
  </si>
  <si>
    <t>2025-11-21 00:00:00.000 +0000</t>
  </si>
  <si>
    <t>2025-11-24 00:00:00.000 +0000</t>
  </si>
  <si>
    <t>The Switch</t>
  </si>
  <si>
    <t>2025-11-26 00:00:00.000 +0000</t>
  </si>
  <si>
    <t>2025-11-27 00:00:00.000 +0000</t>
  </si>
  <si>
    <t>2025-12-03 00:00:00.000 +0000</t>
  </si>
  <si>
    <t>2025-12-05 00:00:00.000 +0000</t>
  </si>
  <si>
    <t>ranjan.padhi</t>
  </si>
  <si>
    <t>2025-12-10 00:00:00.000 +0000</t>
  </si>
  <si>
    <t>2025-12-11 00:00:00.000 +0000</t>
  </si>
  <si>
    <t>chris.watts</t>
  </si>
  <si>
    <t>2025-12-12 00:00:00.000 +0000</t>
  </si>
  <si>
    <t>2025-12-19 00:00:00.000 +0000</t>
  </si>
  <si>
    <t>2026-01-08 00:00:00.000 +0000</t>
  </si>
  <si>
    <t>2026-01-12 00:00:00.000 +0000</t>
  </si>
  <si>
    <t>2026-01-14 00:00:00.000 +0000</t>
  </si>
  <si>
    <t>2026-01-15 00:00:00.000 +0000</t>
  </si>
  <si>
    <t>2026-01-16 00:00:00.000 +0000</t>
  </si>
  <si>
    <t>2026-01-21 00:00:00.000 +0000</t>
  </si>
  <si>
    <t>The Unknown Unknown</t>
  </si>
  <si>
    <t>2026-01-22 00:00:00.000 +0000</t>
  </si>
  <si>
    <t>2026-01-23 00:00:00.000 +0000</t>
  </si>
  <si>
    <t>2026-01-28 00:00:00.000 +0000</t>
  </si>
  <si>
    <t>2026-01-29 00:00:00.000 +0000</t>
  </si>
  <si>
    <t>2026-02-05 00:00:00.000 +0000</t>
  </si>
  <si>
    <t>2026-02-06 00:00:00.000 +0000</t>
  </si>
  <si>
    <t>2026-02-12 00:00:00.000 +0000</t>
  </si>
  <si>
    <t>2026-02-13 00:00:00.000 +0000</t>
  </si>
  <si>
    <t>Version confusion</t>
  </si>
  <si>
    <t>2026-02-19 00:00:00.000 +0000</t>
  </si>
  <si>
    <t>2026-02-20 00:00:00.000 +0000</t>
  </si>
  <si>
    <t>2026-02-23 00:00:00.000 +0000</t>
  </si>
  <si>
    <t>2026-02-26 00:00:00.000 +0000</t>
  </si>
  <si>
    <t>2026-02-27 00:00:00.000 +0000</t>
  </si>
  <si>
    <t>2026-03-04 00:00:00.000 +0000</t>
  </si>
  <si>
    <t>2026-03-12 00:00:00.000 +0000</t>
  </si>
  <si>
    <t>Cart-astrophe</t>
  </si>
  <si>
    <t>2026-03-16 00:00:00.000 +0000</t>
  </si>
  <si>
    <t>month</t>
  </si>
  <si>
    <t>Row Labels</t>
  </si>
  <si>
    <t>Grand Total</t>
  </si>
  <si>
    <t>Count of session_start</t>
  </si>
  <si>
    <t>(All)</t>
  </si>
  <si>
    <t>Commanding The Incident</t>
  </si>
  <si>
    <t>Internal Comms</t>
  </si>
  <si>
    <t>Identify Scope</t>
  </si>
  <si>
    <t>External Comms</t>
  </si>
  <si>
    <t>Incident Mechanics</t>
  </si>
  <si>
    <t>Sessions Played</t>
  </si>
  <si>
    <t>Matthew</t>
  </si>
  <si>
    <t>Version Confusion</t>
  </si>
  <si>
    <t>Domino's</t>
  </si>
  <si>
    <t>Gowtham</t>
  </si>
  <si>
    <t>Ed</t>
  </si>
  <si>
    <t>Chris</t>
  </si>
  <si>
    <t>Last session was January. Waiting for response regarding attendance confirmation.</t>
  </si>
  <si>
    <t>checked</t>
  </si>
  <si>
    <t>Rumours V2</t>
  </si>
  <si>
    <t>Ranjan</t>
  </si>
  <si>
    <t>I asked to move him to the following week. Waiting for response.</t>
  </si>
  <si>
    <t>Yeshwanth</t>
  </si>
  <si>
    <t>The Chain,Grounding Workshop</t>
  </si>
  <si>
    <t>Latif</t>
  </si>
  <si>
    <t>Rishi</t>
  </si>
  <si>
    <t>Cart-astroph</t>
  </si>
  <si>
    <t>Vallabh</t>
  </si>
  <si>
    <t>Attended</t>
  </si>
  <si>
    <t>Feedback</t>
  </si>
  <si>
    <t>Charlene</t>
  </si>
  <si>
    <t>Vaishnavi</t>
  </si>
  <si>
    <t>Personal reasons</t>
  </si>
  <si>
    <t>Cancelled</t>
  </si>
  <si>
    <t>No Show</t>
  </si>
  <si>
    <t>Praveen</t>
  </si>
  <si>
    <t xml:space="preserve">Surprise to find Tanya not available. I should have thought to tagging Hamed earlier. Missed the correlation of 3 changes by not observing their deployment timings </t>
  </si>
  <si>
    <t>Pradeep</t>
  </si>
  <si>
    <t>Got incidents running through</t>
  </si>
  <si>
    <t>Swetha</t>
  </si>
  <si>
    <t>Ramesh</t>
  </si>
  <si>
    <t>Have another call at the same time.</t>
  </si>
  <si>
    <t>Rescheduled</t>
  </si>
  <si>
    <t>@Naz Mostoufi check session plan</t>
  </si>
  <si>
    <t>Feedback did he see the value?</t>
  </si>
  <si>
    <t>Karan</t>
  </si>
  <si>
    <t xml:space="preserve">It was good. Expected t to be dev issue but it was infra </t>
  </si>
  <si>
    <t>Unwell today</t>
  </si>
  <si>
    <t>Liked the drill and was able to figure out what drill was supposed to do and followed the learning objectives</t>
  </si>
  <si>
    <t>next session 20th march @Mildred Ranque he is away on his honeymoon trip</t>
  </si>
  <si>
    <t>These are definately helpfull compared to traditional PIR's</t>
  </si>
  <si>
    <t>PIR on Unknown Unknown</t>
  </si>
  <si>
    <t>He can see how this drill can help with similar situations that have ocoured in switch since they have not experience anything like this before</t>
  </si>
  <si>
    <t>Ask about value</t>
  </si>
  <si>
    <t>Did not provide any reason</t>
  </si>
  <si>
    <t>We will need to go back to this drill.
needs to focus on driving the drill more himself and take lead</t>
  </si>
  <si>
    <t xml:space="preserve">Really liked the narrative, he sees where can improve for the next session </t>
  </si>
  <si>
    <t>I had to discuss with him post drill what the problem was as he didn't get it. he realised he missed a key message at the start of the drill</t>
  </si>
  <si>
    <t>Naz</t>
  </si>
  <si>
    <t>loved the drill, loved the PIR , finds the session really insightful</t>
  </si>
  <si>
    <t>PIR on Switch</t>
  </si>
  <si>
    <t>Will not be able to attend today</t>
  </si>
  <si>
    <t>Found the sesion very insightful, they might integrate some aspects of our PIR for their RCA</t>
  </si>
  <si>
    <t>On leave</t>
  </si>
  <si>
    <t xml:space="preserve">Liked the session today and says he learnt some good skills today </t>
  </si>
  <si>
    <t>Was asking me questions about her progress, so next session should be a profile session</t>
  </si>
  <si>
    <t>Next session should be a profile @mi</t>
  </si>
  <si>
    <t>Brilliant. How cleverly it broke my pattern of triaging - i always thought change would be reason like previous drills. This was awesome.</t>
  </si>
  <si>
    <t>Move to every 2 weeks</t>
  </si>
  <si>
    <t>Missing Delivery V2</t>
  </si>
  <si>
    <t xml:space="preserve">This is great - The UAT situation is real . Lot of surprising factors .
Help from Hamed was good </t>
  </si>
  <si>
    <t xml:space="preserve">@Karan Tell her this is ur new drill and we want your feedback, red carpet treatment </t>
  </si>
  <si>
    <t>Unknown Unknown</t>
  </si>
  <si>
    <t>Something came up in her neighborhood and she had to rush</t>
  </si>
  <si>
    <t>Late Cancellation</t>
  </si>
  <si>
    <t>Didn't expect this .Surprising that its a no issue - It fooled me . really caught me</t>
  </si>
  <si>
    <t>Due to some prod alerts</t>
  </si>
  <si>
    <t>He is looking forward to see how he is doing compared to other team members, overall he liked the drill</t>
  </si>
  <si>
    <t>he liked seeing his current level and liked discussing where the training on the platform will take him. hasn't had any real incidents in the last few weeks so no real opportunity to showcase any uptime labs skills</t>
  </si>
  <si>
    <t>No Score</t>
  </si>
  <si>
    <t>Profile Report</t>
  </si>
  <si>
    <t>INC-399 users can't view reports</t>
  </si>
  <si>
    <t>occupied with production tasks</t>
  </si>
  <si>
    <t>Occupied with production tasks</t>
  </si>
  <si>
    <t>Not feeling well</t>
  </si>
  <si>
    <t xml:space="preserve">Sees the values in our sessions, tight now there isnt sev 1's and this training helps keep them  fresh in their head </t>
  </si>
  <si>
    <t>He had some issues with his laptop password reset</t>
  </si>
  <si>
    <t xml:space="preserve">Great one. Intentionally this forced me to go through logs , check architecture then form a working theory. </t>
  </si>
  <si>
    <t>The Big Investors</t>
  </si>
  <si>
    <t>She is going to play UU and prefer to skip PIR and join work call</t>
  </si>
  <si>
    <t>Interview</t>
  </si>
  <si>
    <t>He is looking forward to PIR and practice more  grounding</t>
  </si>
  <si>
    <t>he finished it and loved it</t>
  </si>
  <si>
    <t>Bez Beatles Day V2</t>
  </si>
  <si>
    <t>He will send you an email about potentially changing his time for sessions, also he would like to have Karan for his next session :D</t>
  </si>
  <si>
    <t>Waiting for response to move to earlier time</t>
  </si>
  <si>
    <t>Good drill to practice and identify multiple issues within the incident</t>
  </si>
  <si>
    <t>Session plan? Discount Disaster or Detail Matter?</t>
  </si>
  <si>
    <t>said it was good experience and she is looking forward to PIR session in addition to find out more about her progres</t>
  </si>
  <si>
    <t>The Switch,Grounding Workshop</t>
  </si>
  <si>
    <t>Liked the drill and found the narrative very interesting</t>
  </si>
  <si>
    <t xml:space="preserve">Took a lot of time. Said he needs to learn so many things. </t>
  </si>
  <si>
    <t>Got another clash which is for an incident</t>
  </si>
  <si>
    <t xml:space="preserve">Realistic. Cascading failure - got the idea by drill's name . Good practice on deciding whether to save a bitcoin feature or completely roll it back </t>
  </si>
  <si>
    <t xml:space="preserve">Good one. Will think about the dependency in next drills </t>
  </si>
  <si>
    <t>the feedback form didn't work on his session so i asked for the score verbally, he said that he feels like he needs more time in the drill</t>
  </si>
  <si>
    <t>He seemed to really struggle with this drill. I would suggest an easier drill for him before progressing as I feel this session was too difficult for him</t>
  </si>
  <si>
    <t xml:space="preserve">he may need a little reminder </t>
  </si>
  <si>
    <t>He's experiencing power cuts</t>
  </si>
  <si>
    <t>This was amazing. He was able to form working theory by askign teams to check connections to network infra and made a logical decision on why not to go for switch restart.</t>
  </si>
  <si>
    <t>Vcluster connection issues</t>
  </si>
  <si>
    <t>INC-375 Vcluster connection issues</t>
  </si>
  <si>
    <t>Session wouldn't start
"load generator failing on most of the vcluster environments"</t>
  </si>
  <si>
    <t>Abandoned Session</t>
  </si>
  <si>
    <t>was able to see the importance of sizing up and understand the importance of bringing in the right people in at the right time</t>
  </si>
  <si>
    <t>MM testing</t>
  </si>
  <si>
    <t xml:space="preserve">Got a major incident </t>
  </si>
  <si>
    <t xml:space="preserve">Interesting one. Have not seen such issues earlier in the drills. Restart of cartservice fixed the issue but later failed again </t>
  </si>
  <si>
    <t>he is looking forward to try fill in the PIR form sicnce he only contributes as rot cause identifier</t>
  </si>
  <si>
    <t>He needs to read what the team is telling him, he will get information then ask for it again a minute later</t>
  </si>
  <si>
    <t>Due to personal emergency</t>
  </si>
  <si>
    <t>he was surprised by how intuitive the characters were and is looking forward to playing another session</t>
  </si>
  <si>
    <t>Onboarding,Too Good To Be True</t>
  </si>
  <si>
    <t xml:space="preserve">Its good. Close to reality except the time frame provided to solve an incident. Prompted for logs, but no response on that. </t>
  </si>
  <si>
    <t>Ai and Rishi
Rishi has to go over org chart and /help, /incident again</t>
  </si>
  <si>
    <t>In another meeting</t>
  </si>
  <si>
    <t xml:space="preserve">Definately was a good one. Always better to check the dependency but usually IM don't do that, the engg clarifies on this part. </t>
  </si>
  <si>
    <t>Grounding workshop pending for next time</t>
  </si>
  <si>
    <t>Having a meeting at the same time</t>
  </si>
  <si>
    <t xml:space="preserve">Surprised to see 2 incidents at the same time. Missed to question more in size up phase </t>
  </si>
  <si>
    <t>Please ask if they are working on Dec 19</t>
  </si>
  <si>
    <t>was slightly confused about 2 separate incident other than that , she liked it</t>
  </si>
  <si>
    <t>@Mildred Ranque She is okay to have sessions on 19th</t>
  </si>
  <si>
    <t>On week off</t>
  </si>
  <si>
    <t>Intro</t>
  </si>
  <si>
    <t>Good one. Never get involved with network-related triaging, mostly the apps only. So it was tricky. And they escalate such issues to the network team itself</t>
  </si>
  <si>
    <t>He didn't actually start playing until 45 minutes into the session. next week we need to replay the same drill as the session just suddenly aborted in the middle of playing. Also he would need a soft demo of the tools and team</t>
  </si>
  <si>
    <t xml:space="preserve">Good one. 2 issues at the same time was something new and he felt he could've done better by creating 2 separate incidents and prioritize accordingly  </t>
  </si>
  <si>
    <t>Super effective. Handling 2 incidents was  something new</t>
  </si>
  <si>
    <t>Share data</t>
  </si>
  <si>
    <t>Knows where he can improve</t>
  </si>
  <si>
    <t>move him to every 2 weeks</t>
  </si>
  <si>
    <t>Was confused about how to proceed in the drill, everyone was busy but managed to completethe drill within 35 mins</t>
  </si>
  <si>
    <t>She time out and was not able to fill in the form</t>
  </si>
  <si>
    <t>A production call has been scheduled</t>
  </si>
  <si>
    <t>It was surprising to have 2 incident s</t>
  </si>
  <si>
    <t>Had a good discussion about severity assigning and the business impact on the issue</t>
  </si>
  <si>
    <t>he struggled with this drill, he didn't undertsnad why certain solutions weren't working, I explained that this drill relies on being specific and sharing context with characters. Also he was rusty since he hadn't played in 3 weeks</t>
  </si>
  <si>
    <t>Session got abruptly aborted from our end due to a shortcoming in operator console</t>
  </si>
  <si>
    <t>INC-346 operator console change default state from abort</t>
  </si>
  <si>
    <t>The abort state was abruptly triggered. He is fine to do this session again in the week</t>
  </si>
  <si>
    <t>Grounding Workshop</t>
  </si>
  <si>
    <t>Highly insightful session. Till now his grades were because of his mindset before playing drills. He didn't had the clarity and thought more like a incident manager beyond SRE , and completely focused just on the resoltuion rather than the process and leadership around it. 
He understands the complete expectation and got his mindset conditioned to play next sessions. Also he committed about the consistency</t>
  </si>
  <si>
    <t>PIR on Defcon1,Profile Report</t>
  </si>
  <si>
    <t>PIR on Defcon1</t>
  </si>
  <si>
    <t>Account Meeting</t>
  </si>
  <si>
    <t xml:space="preserve">Good - I wasn't sure on how to replicate the issue </t>
  </si>
  <si>
    <t>He is leaving Domino's</t>
  </si>
  <si>
    <t>Gregg</t>
  </si>
  <si>
    <t>Great issue .
Good - but issue was tricky - but good learning</t>
  </si>
  <si>
    <t xml:space="preserve">A beneficial retrospective session that was able to clarify a lot of uncertainties
can't think of  anything to get to 10, </t>
  </si>
  <si>
    <t>found the unresponsiveness from tanya frustrating, liked the pressure this generated and overall liked that this drill was different</t>
  </si>
  <si>
    <t>Holiday in Bangalore</t>
  </si>
  <si>
    <t>We have to repeat this in few months</t>
  </si>
  <si>
    <t>It was tough for him. Wasn't able to understand that there are 2 separate issue. Liked how it forced him to prioritize the incidents</t>
  </si>
  <si>
    <t>Constructive feedback was really good. Understood the ways on to improve further in the comms, checking changes</t>
  </si>
  <si>
    <t>He's not available on 5th Nov. Requested to do it week after 5th</t>
  </si>
  <si>
    <t>OOO</t>
  </si>
  <si>
    <t>Liked the drill, can see his confidence improve form his first drill and likes the learnings he is gaining from these sessions</t>
  </si>
  <si>
    <t>Anandaraj</t>
  </si>
  <si>
    <t>felt the pressure of this session, sees she needs to improve her business coms.</t>
  </si>
  <si>
    <t>Defcon1</t>
  </si>
  <si>
    <t>Has more fun running the drills; this is probably why we got a lower score this time. in the next pir don't make her fill out any information just go through he timeline and show her where she can improve in different areas</t>
  </si>
  <si>
    <t xml:space="preserve">Good to know where he lacked and key decision making points </t>
  </si>
  <si>
    <t xml:space="preserve">Really a good drill. Learned a lot from this. Never experienced ransomware. </t>
  </si>
  <si>
    <t>Skipping the session today</t>
  </si>
  <si>
    <t>Liked the drill but i can tell he needs a lot of work when updating business comms and coordinating the team</t>
  </si>
  <si>
    <t>Attendance is confirmed</t>
  </si>
  <si>
    <t>This is like account meeting</t>
  </si>
  <si>
    <t xml:space="preserve">Nice drill. Learnt a lot. However he got timed out as hwe was bit slow but he liked the drill and in his experince he has got a bit of an idea about security policies which he was able to apply in this one </t>
  </si>
  <si>
    <t xml:space="preserve">Never had a ransomware attack before. It was intense, and the drill was really good that he was able to get so much learning out of this </t>
  </si>
  <si>
    <t>Felt that drill could be finished before forensics step, that impacted the score</t>
  </si>
  <si>
    <t>He has 2 timestamps one with 32 mins and one with 35 mins. He did all his check and wanted to close incident. @Rishikesh Kumar . Perhaps we can add end drill before forensics step</t>
  </si>
  <si>
    <t>It was a good one. But in his organization even they do such communications but the people are defined for these 3rd party communications. So he didn't had the same clarity in this OB setup who will be POC for 3rd party or how a communication is going to happen with them</t>
  </si>
  <si>
    <t>He is going to play Defcon1 next week, it is worth to mention to him</t>
  </si>
  <si>
    <t>Would like to see more opportunities for timeboxing</t>
  </si>
  <si>
    <t>Bez Beatles Day</t>
  </si>
  <si>
    <t>Due to production issue support</t>
  </si>
  <si>
    <t>Waiting for response to move to 11:30am. He can play either defcon1 or Radio Silence</t>
  </si>
  <si>
    <t xml:space="preserve">Good scenario, lot more difficult as outage was from loss of revenue </t>
  </si>
  <si>
    <t>Drew</t>
  </si>
  <si>
    <t>Loved the drill and made her think if they have something like this in place in case this happens to them</t>
  </si>
  <si>
    <t>Need to update 3 to -&gt; 10 as she didn't mean to score 3</t>
  </si>
  <si>
    <t xml:space="preserve">He enjoyed playing it. He was into ransomware attack earlier but not of this sort </t>
  </si>
  <si>
    <t>He enjoyed it and has seen such issues quite a lot where things happen only in local systems not on a wide scale</t>
  </si>
  <si>
    <t>Drill was very basic but it's good introductionary drill to start with</t>
  </si>
  <si>
    <t>Due to eyes-on support on prod release</t>
  </si>
  <si>
    <t>Found this drill was a step up from what she previously played</t>
  </si>
  <si>
    <t>On planned leave</t>
  </si>
  <si>
    <t xml:space="preserve">Realistic drill where its not always the rollback but sometimes fix has to be made. </t>
  </si>
  <si>
    <t>Found it challenging</t>
  </si>
  <si>
    <t>Good drill. He said it's of really great value. It will improve his way of handling incidents. And he feels his performance was not upto the mark , however these coachings are really making difference
What it'd take to get 10? 
He said he cant say much on this on what to improve in the drill. However , he feels its still very early , he's still trying to understand the platform and the characters</t>
  </si>
  <si>
    <t>This drill was really helpful. He had similar issue and then discussed his pain points which he was able to understand the solution to those with this drill</t>
  </si>
  <si>
    <t>She felt the pressure whilst playing the drill but understood the learnings from this session</t>
  </si>
  <si>
    <t>It was good sicne it was 3rd party issue .</t>
  </si>
  <si>
    <t>Last three sessions he was dealing with P1s. I said it's totally understandable if he can't make it, but to give us notice next time</t>
  </si>
  <si>
    <t>Good drill, lots of things to handle but liked the flow of the drill. Key thing for him to focus on is to avoid doing all the investigation themself, but rather allocate that to the team, as he missed key details in the chat</t>
  </si>
  <si>
    <t>Leon</t>
  </si>
  <si>
    <t xml:space="preserve">Interesting - Al characters were great - useful </t>
  </si>
  <si>
    <t xml:space="preserve">This session was beneficial and helpful. He will go through them again. </t>
  </si>
  <si>
    <t>it was a good drill , however chaos test in general is handled by platform team because it lies under reliability and performance. 
And also said that misconfigurations of chaos can't happen that way, there are guards setup for prod.</t>
  </si>
  <si>
    <t>Was held-up in production call that took more time than scheduled</t>
  </si>
  <si>
    <t xml:space="preserve">Despite not completing the drill he learned a lot about the importance of engaging the whole team </t>
  </si>
  <si>
    <t xml:space="preserve">It was realistic and especially the pressure from management. 
She didn't specify what it'd take to get 10. </t>
  </si>
  <si>
    <t>It was pretty good - Close to reality and this is not due to change .</t>
  </si>
  <si>
    <t>He enjoyed playing it, it was quite easy compared to other ones but he tried to unlock all possible fixes for Tinus. Worked as a network engineer in past , he suggested VPN or ethernet , not browser . So this was a learning for him on how to pick up clues given by bots where Hamed did mention specific to browser</t>
  </si>
  <si>
    <t>An incident is ongoing</t>
  </si>
  <si>
    <t>Declined the iinvite</t>
  </si>
  <si>
    <t>Occupied this week on some tasks</t>
  </si>
  <si>
    <t>he enjoyed the realism of interacting with the characters. Part of this score is his own personal performance as he felt he could have done better</t>
  </si>
  <si>
    <t>Couldn't think of anything that would get to 9/10 but will take the learnings from this drill to next session</t>
  </si>
  <si>
    <t>Move him to every 2 weeks</t>
  </si>
  <si>
    <t>Unavailable today</t>
  </si>
  <si>
    <t>Currently focused on a production issue</t>
  </si>
  <si>
    <t>Declined the invite</t>
  </si>
  <si>
    <t>Feroze Din</t>
  </si>
  <si>
    <t>Engaged in something</t>
  </si>
  <si>
    <t xml:space="preserve">He liked this drill specially because it wasn't change related - took onboard the feedback provided in regards to appropriate escalation times and learning about the team more </t>
  </si>
  <si>
    <t xml:space="preserve">This is good - This is real life scenario .
</t>
  </si>
  <si>
    <t xml:space="preserve">It was a good drill where he had to push Dan a lot. He learnt the importance of being assertive and backing up the question to people with data </t>
  </si>
  <si>
    <t xml:space="preserve">Liked the drill. all is new to him and he enjoys this </t>
  </si>
  <si>
    <t>Thought the characters not communicating often was quite strange(my fault in not letting him know that this drill is different) but enjoyed the challenge overall</t>
  </si>
  <si>
    <t>He liked the drill but didn't have too much time since he only had 30 minutes to run a drill and not really much time after for post session</t>
  </si>
  <si>
    <t>had to cut the session short since he only had 30 minutes, decided that it's worth playing an early drill since he was confident in his skills</t>
  </si>
  <si>
    <t xml:space="preserve">This is close to reality .
Character responses were prompt </t>
  </si>
  <si>
    <t>He said the drill was not too bad, I think the low score came from the fact that the drill wasn't surprising, he completed the drill really quickly,</t>
  </si>
  <si>
    <t>Have some other important call scheduled at same time</t>
  </si>
  <si>
    <t>This is a very common we face in Dominos where people do not respond - But good learning</t>
  </si>
  <si>
    <t>Occupied and might not be able to attend</t>
  </si>
  <si>
    <t>None of the static content like - org chart, arch diagram and dev chart is opening in /help</t>
  </si>
  <si>
    <t>INC-281 slack help links need updating to new wordpress site</t>
  </si>
  <si>
    <t xml:space="preserve">Drill was good to play where it was the 3rd party issue and triggered with checking changes and have to rule out this possibility. 
What would it take to get 10?
By the left sidebar bar, there could've been a list of all characters that he can DM. So it was all about bringing an easy way for them to remember the org chart. Later, with a follow-up discussion, he understood why we need to keep everybody in the chat </t>
  </si>
  <si>
    <t>Unavailable</t>
  </si>
  <si>
    <t xml:space="preserve">thought it was a great way to learn P1's 
I can tell he really liked the session and is looking forward to the next one </t>
  </si>
  <si>
    <t>Did not provide any reason.</t>
  </si>
  <si>
    <t xml:space="preserve">Onboarding session had to be rescheduled since the user wasn't invited to slack and drills failed to start. </t>
  </si>
  <si>
    <t>INC-280 Users not in slack after registration was disabled</t>
  </si>
  <si>
    <t>On holidays until September 8th</t>
  </si>
  <si>
    <t>He asked to reschedule to Friday</t>
  </si>
  <si>
    <t>Rescheduled to September 22nd</t>
  </si>
  <si>
    <t xml:space="preserve">Feels like a real incident .
I thought i was in real issue 
</t>
  </si>
  <si>
    <t xml:space="preserve">Enjoyed this session. Learned that it's not always a wider impact, could be one person as well. </t>
  </si>
  <si>
    <t>Found it stressful but very enjoyable</t>
  </si>
  <si>
    <t xml:space="preserve">This is great drill which we see in real life .
We used to see these type of issue in my previous company </t>
  </si>
  <si>
    <t>They had an incident last week</t>
  </si>
  <si>
    <t xml:space="preserve">It was a good one. He was able to size up properly, didn't check changes, and suggested to clear the cache much quicker 
</t>
  </si>
  <si>
    <t>There's a conflict</t>
  </si>
  <si>
    <t>Has other important work</t>
  </si>
  <si>
    <t>Got an incident at the moment</t>
  </si>
  <si>
    <t>He is on planned leeave</t>
  </si>
  <si>
    <t>Not available</t>
  </si>
  <si>
    <t>Was busy in his EOW work</t>
  </si>
  <si>
    <t xml:space="preserve">Drill was good, feels that he could have used more time </t>
  </si>
  <si>
    <t>He likes playing our drills and found the scenario today challenged him as he knows that problems aren't only just change related</t>
  </si>
  <si>
    <t>Can't make it.</t>
  </si>
  <si>
    <t xml:space="preserve">He liked it and understood where it could've formed the working theory, not to check the changes. </t>
  </si>
  <si>
    <t>He is busy today</t>
  </si>
  <si>
    <t>he send a msg that he couldn't make it, but joined the call and said sorry as he needed to be in another call. so next week Intro</t>
  </si>
  <si>
    <t>Why 10 ? :
UAT scripts running in PROD is a great real time example .
Learning - Impact assessment should be done at beginning .</t>
  </si>
  <si>
    <t>Liked the narrative and overall motive of the scenario. It was his first drill doing it independently. So took some time to grasp the roles and names. 
What it would take to get 10?
1. There could've been a designation written by the names of each character.
2. Responses were quite slow and did not pick up exact commands. Context - he asked to roll back the payment and checkout change both to Shay. Shay did his own, so he thought it was done for both</t>
  </si>
  <si>
    <t xml:space="preserve">Its was a good drill - he got to double check with Tanya on chaos test. He's a SRE but he's seeing the value and pain points of an Incident Manager. 
Why 10 ?
It's helping him in doing better communication. Handling high-stakes people. </t>
  </si>
  <si>
    <t>There are some priority issues</t>
  </si>
  <si>
    <t xml:space="preserve">it was a good drill
is liking the sessions and the experience he is gaining from them. He is an SRE so all of this is new to him  </t>
  </si>
  <si>
    <t>Unavailable due to other work</t>
  </si>
  <si>
    <t>Something came up and won't be able to attend</t>
  </si>
  <si>
    <t xml:space="preserve">Change was not correlating with errors .
What were the factors - This is great place to handle tough personality </t>
  </si>
  <si>
    <t>There's an internal call and its overlapping with the session</t>
  </si>
  <si>
    <t>Had to reschedule due to internal issues</t>
  </si>
  <si>
    <t>Internal Reschedule/Cancellation</t>
  </si>
  <si>
    <t xml:space="preserve">He didn't timed out on the drill but despite that felt he learned a lot, with how to manage frequent business updates and pushback from characters.
There was a lot of confusion on how to use the business comms channel as he was tagging shay and Bob in that channel. He may have needed a more comprehensive onboarding experience </t>
  </si>
  <si>
    <t>She is off</t>
  </si>
  <si>
    <t>Early Cancellation</t>
  </si>
  <si>
    <t xml:space="preserve">He found drill fun and interesting. For him being an IM is interesting as in Dominos he is SRE
  </t>
  </si>
  <si>
    <t>Felt good and its great to recall old drills and practice the drills</t>
  </si>
  <si>
    <t>Maram</t>
  </si>
  <si>
    <t>Pre Sales</t>
  </si>
  <si>
    <t>She is unavailable</t>
  </si>
  <si>
    <t>Enjoyed the drill but still needs to learn character roles</t>
  </si>
  <si>
    <t xml:space="preserve">Enjoyed the drill
</t>
  </si>
  <si>
    <t>Hamed</t>
  </si>
  <si>
    <t>Raghunandan</t>
  </si>
  <si>
    <t>8 is the score for a simple drill, There is a lot of noise and a lot of msg coming in at the same time</t>
  </si>
  <si>
    <t>Joe</t>
  </si>
  <si>
    <t>Swetha: "I normally give 10 - I learnt a lot in this drill l- time was short."</t>
  </si>
  <si>
    <t>Ed,Hamed</t>
  </si>
  <si>
    <t>He will be on vacation until November 11th.</t>
  </si>
  <si>
    <t>Please record the session</t>
  </si>
  <si>
    <t>Notes for Mildred</t>
  </si>
  <si>
    <t>Technical Issue Reason</t>
  </si>
  <si>
    <t>Technical Issues</t>
  </si>
  <si>
    <t>INC #</t>
  </si>
  <si>
    <t>Attendance Reason</t>
  </si>
  <si>
    <t>Attendance</t>
  </si>
  <si>
    <t>Feedback Notes</t>
  </si>
  <si>
    <t>Feedback Quality Score</t>
  </si>
  <si>
    <t>Session ID</t>
  </si>
  <si>
    <t>Score Notes</t>
  </si>
  <si>
    <t>GUOT</t>
  </si>
  <si>
    <t>Session Notes</t>
  </si>
  <si>
    <t>Star Guru</t>
  </si>
  <si>
    <t>Lead</t>
  </si>
  <si>
    <t>AI</t>
  </si>
  <si>
    <t>Session Plan</t>
  </si>
  <si>
    <t>Sessions Done</t>
  </si>
  <si>
    <t>Company</t>
  </si>
  <si>
    <t>Name</t>
  </si>
  <si>
    <t>Time</t>
  </si>
  <si>
    <t>Date</t>
  </si>
  <si>
    <t>Month</t>
  </si>
  <si>
    <t>Average of GUOT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</si>
</sst>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21"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0" fontId="18" fillId="0" borderId="0" xfId="0" applyFont="1"/>
    <xf numFmtId="9" fontId="0" fillId="0" borderId="0" xfId="1" applyFont="1"/>
    <xf numFmtId="18" fontId="0" fillId="0" borderId="0" xfId="0" applyNumberFormat="1"/>
    <xf numFmtId="0" fontId="0" fillId="0" borderId="0" xfId="0" applyAlignment="1">
      <alignment wrapText="1"/>
    </xf>
    <xf numFmtId="14" fontId="0" fillId="0" borderId="0" xfId="0" applyNumberFormat="1" applyAlignment="1">
      <alignment horizontal="left"/>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7">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[dominos_sessions.xlsx]GUOT pivot!PivotTable10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Good Use</a:t>
            </a:r>
            <a:r>
              <a:rPr lang="en-US" baseline="0"/>
              <a:t> Of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'GUOT pivot'!$B$3</c:f>
              <c:strCache>
                <c:ptCount val="1"/>
                <c:pt idx="0">
                  <c:v>Total</c:v>
                </c:pt>
              </c:strCache>
            </c:strRef>
          </c:tx>
          <c:spPr>
            <a:ln w="28575" cap="rnd">
              <a:solidFill>
                <a:schemeClr val="accent1"/>
              </a:solidFill>
              <a:round/>
            </a:ln>
            <a:effectLst/>
          </c:spPr>
          <c:marker>
            <c:symbol val="none"/>
          </c:marker>
          <c:cat>
            <c:strRef>
              <c:f>'GUOT pivot'!$A$4:$A$13</c:f>
              <c:strCache>
                <c:ptCount val="9"/>
                <c:pt idx="0">
                  <c:v>01/07/2025</c:v>
                </c:pt>
                <c:pt idx="1">
                  <c:v>01/08/2025</c:v>
                </c:pt>
                <c:pt idx="2">
                  <c:v>01/09/2025</c:v>
                </c:pt>
                <c:pt idx="3">
                  <c:v>01/10/2025</c:v>
                </c:pt>
                <c:pt idx="4">
                  <c:v>01/11/2025</c:v>
                </c:pt>
                <c:pt idx="5">
                  <c:v>01/12/2025</c:v>
                </c:pt>
                <c:pt idx="6">
                  <c:v>01/01/2026</c:v>
                </c:pt>
                <c:pt idx="7">
                  <c:v>01/02/2026</c:v>
                </c:pt>
                <c:pt idx="8">
                  <c:v>01/03/2026</c:v>
                </c:pt>
              </c:strCache>
            </c:strRef>
          </c:cat>
          <c:val>
            <c:numRef>
              <c:f>'GUOT pivot'!$B$4:$B$13</c:f>
              <c:numCache>
                <c:formatCode>General</c:formatCode>
                <c:ptCount val="9"/>
                <c:pt idx="0">
                  <c:v>9.7777777777777786</c:v>
                </c:pt>
                <c:pt idx="1">
                  <c:v>9.6</c:v>
                </c:pt>
                <c:pt idx="2">
                  <c:v>9</c:v>
                </c:pt>
                <c:pt idx="3">
                  <c:v>9.304347826086957</c:v>
                </c:pt>
                <c:pt idx="4">
                  <c:v>9.6</c:v>
                </c:pt>
                <c:pt idx="5">
                  <c:v>9.3636363636363633</c:v>
                </c:pt>
                <c:pt idx="6">
                  <c:v>9.6666666666666661</c:v>
                </c:pt>
                <c:pt idx="7">
                  <c:v>9.3333333333333339</c:v>
                </c:pt>
                <c:pt idx="8">
                  <c:v>9.6666666666666661</c:v>
                </c:pt>
              </c:numCache>
            </c:numRef>
          </c:val>
          <c:smooth val="0"/>
          <c:extLst>
            <c:ext xmlns:c16="http://schemas.microsoft.com/office/drawing/2014/chart" uri="{C3380CC4-5D6E-409C-BE32-E72D297353CC}">
              <c16:uniqueId val="{00000000-91A6-A444-8EC4-FCAAE8F243E2}"/>
            </c:ext>
          </c:extLst>
        </c:ser>
        <c:dLbls>
          <c:showLegendKey val="0"/>
          <c:showVal val="0"/>
          <c:showCatName val="0"/>
          <c:showSerName val="0"/>
          <c:showPercent val="0"/>
          <c:showBubbleSize val="0"/>
        </c:dLbls>
        <c:smooth val="0"/>
        <c:axId val="1485060096"/>
        <c:axId val="1110696704"/>
      </c:lineChart>
      <c:catAx>
        <c:axId val="148506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696704"/>
        <c:crosses val="autoZero"/>
        <c:auto val="1"/>
        <c:lblAlgn val="ctr"/>
        <c:lblOffset val="100"/>
        <c:noMultiLvlLbl val="0"/>
      </c:catAx>
      <c:valAx>
        <c:axId val="1110696704"/>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06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[dominos_sessions.xlsx]sessions 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Sessions Played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'sessions pivot'!$B$3</c:f>
              <c:strCache>
                <c:ptCount val="1"/>
                <c:pt idx="0">
                  <c:v>Total</c:v>
                </c:pt>
              </c:strCache>
            </c:strRef>
          </c:tx>
          <c:spPr>
            <a:solidFill>
              <a:schemeClr val="accent1"/>
            </a:solidFill>
            <a:ln>
              <a:noFill/>
            </a:ln>
            <a:effectLst/>
          </c:spPr>
          <c:invertIfNegative val="0"/>
          <c:cat>
            <c:strRef>
              <c:f>'sessions pivot'!$A$4:$A$17</c:f>
              <c:strCache>
                <c:ptCount val="13"/>
                <c:pt idx="0">
                  <c:v>ramesh.matta</c:v>
                </c:pt>
                <c:pt idx="1">
                  <c:v>vallabh.vyas</c:v>
                </c:pt>
                <c:pt idx="2">
                  <c:v>vaishnavi.b</c:v>
                </c:pt>
                <c:pt idx="3">
                  <c:v>pradeep.c</c:v>
                </c:pt>
                <c:pt idx="4">
                  <c:v>swetha.nayudu</c:v>
                </c:pt>
                <c:pt idx="5">
                  <c:v>yeshwanth.tp</c:v>
                </c:pt>
                <c:pt idx="6">
                  <c:v>praveen.sadul</c:v>
                </c:pt>
                <c:pt idx="7">
                  <c:v>gowthamkumar.b</c:v>
                </c:pt>
                <c:pt idx="8">
                  <c:v>latif.khan</c:v>
                </c:pt>
                <c:pt idx="9">
                  <c:v>chris.watts</c:v>
                </c:pt>
                <c:pt idx="10">
                  <c:v>anandaraj.mani</c:v>
                </c:pt>
                <c:pt idx="11">
                  <c:v>ranjan.padhi</c:v>
                </c:pt>
                <c:pt idx="12">
                  <c:v>gregg.winkel</c:v>
                </c:pt>
              </c:strCache>
            </c:strRef>
          </c:cat>
          <c:val>
            <c:numRef>
              <c:f>'sessions pivot'!$B$4:$B$17</c:f>
              <c:numCache>
                <c:formatCode>General</c:formatCode>
                <c:ptCount val="13"/>
                <c:pt idx="0">
                  <c:v>12</c:v>
                </c:pt>
                <c:pt idx="1">
                  <c:v>11</c:v>
                </c:pt>
                <c:pt idx="2">
                  <c:v>11</c:v>
                </c:pt>
                <c:pt idx="3">
                  <c:v>11</c:v>
                </c:pt>
                <c:pt idx="4">
                  <c:v>11</c:v>
                </c:pt>
                <c:pt idx="5">
                  <c:v>10</c:v>
                </c:pt>
                <c:pt idx="6">
                  <c:v>10</c:v>
                </c:pt>
                <c:pt idx="7">
                  <c:v>9</c:v>
                </c:pt>
                <c:pt idx="8">
                  <c:v>8</c:v>
                </c:pt>
                <c:pt idx="9">
                  <c:v>7</c:v>
                </c:pt>
                <c:pt idx="10">
                  <c:v>4</c:v>
                </c:pt>
                <c:pt idx="11">
                  <c:v>3</c:v>
                </c:pt>
                <c:pt idx="12">
                  <c:v>2</c:v>
                </c:pt>
              </c:numCache>
            </c:numRef>
          </c:val>
          <c:extLst>
            <c:ext xmlns:c16="http://schemas.microsoft.com/office/drawing/2014/chart" uri="{C3380CC4-5D6E-409C-BE32-E72D297353CC}">
              <c16:uniqueId val="{00000000-63A8-F84F-9B8D-223E4E5D6582}"/>
            </c:ext>
          </c:extLst>
        </c:ser>
        <c:dLbls>
          <c:showLegendKey val="0"/>
          <c:showVal val="0"/>
          <c:showCatName val="0"/>
          <c:showSerName val="0"/>
          <c:showPercent val="0"/>
          <c:showBubbleSize val="0"/>
        </c:dLbls>
        <c:gapWidth val="219"/>
        <c:overlap val="-27"/>
        <c:axId val="1111717440"/>
        <c:axId val="1111716096"/>
      </c:barChart>
      <c:catAx>
        <c:axId val="111171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716096"/>
        <c:crosses val="autoZero"/>
        <c:auto val="1"/>
        <c:lblAlgn val="ctr"/>
        <c:lblOffset val="100"/>
        <c:noMultiLvlLbl val="0"/>
      </c:catAx>
      <c:valAx>
        <c:axId val="111171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71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pivot'!$B$44</c:f>
              <c:strCache>
                <c:ptCount val="1"/>
                <c:pt idx="0">
                  <c:v>Commanding The Incident</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F442-6047-824B-0B489610C13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F442-6047-824B-0B489610C13B}"/>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F442-6047-824B-0B489610C13B}"/>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F442-6047-824B-0B489610C13B}"/>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F442-6047-824B-0B489610C13B}"/>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F442-6047-824B-0B489610C13B}"/>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F442-6047-824B-0B489610C13B}"/>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F442-6047-824B-0B489610C13B}"/>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F442-6047-824B-0B489610C13B}"/>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F442-6047-824B-0B489610C13B}"/>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F442-6047-824B-0B489610C13B}"/>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F442-6047-824B-0B489610C13B}"/>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F442-6047-824B-0B489610C13B}"/>
              </c:ext>
            </c:extLst>
          </c:dPt>
          <c:cat>
            <c:strRef>
              <c:f>'sessions pivot'!$A$45:$A$57</c:f>
              <c:strCache>
                <c:ptCount val="13"/>
                <c:pt idx="0">
                  <c:v>ramesh.matta</c:v>
                </c:pt>
                <c:pt idx="1">
                  <c:v>vallabh.vyas</c:v>
                </c:pt>
                <c:pt idx="2">
                  <c:v>vaishnavi.b</c:v>
                </c:pt>
                <c:pt idx="3">
                  <c:v>pradeep.c</c:v>
                </c:pt>
                <c:pt idx="4">
                  <c:v>swetha.nayudu</c:v>
                </c:pt>
                <c:pt idx="5">
                  <c:v>yeshwanth.tp</c:v>
                </c:pt>
                <c:pt idx="6">
                  <c:v>praveen.sadul</c:v>
                </c:pt>
                <c:pt idx="7">
                  <c:v>gowthamkumar.b</c:v>
                </c:pt>
                <c:pt idx="8">
                  <c:v>latif.khan</c:v>
                </c:pt>
                <c:pt idx="9">
                  <c:v>chris.watts</c:v>
                </c:pt>
                <c:pt idx="10">
                  <c:v>anandaraj.mani</c:v>
                </c:pt>
                <c:pt idx="11">
                  <c:v>ranjan.padhi</c:v>
                </c:pt>
                <c:pt idx="12">
                  <c:v>gregg.winkel</c:v>
                </c:pt>
              </c:strCache>
            </c:strRef>
          </c:cat>
          <c:val>
            <c:numRef>
              <c:f>'sessions pivot'!$B$45:$B$57</c:f>
              <c:numCache>
                <c:formatCode>0%</c:formatCode>
                <c:ptCount val="13"/>
                <c:pt idx="0">
                  <c:v>0.22727272727272682</c:v>
                </c:pt>
                <c:pt idx="1">
                  <c:v>0.23140495867768551</c:v>
                </c:pt>
                <c:pt idx="2">
                  <c:v>0.24793388429752025</c:v>
                </c:pt>
                <c:pt idx="3">
                  <c:v>0.23966942148760276</c:v>
                </c:pt>
                <c:pt idx="4">
                  <c:v>0.31404958677685912</c:v>
                </c:pt>
                <c:pt idx="5">
                  <c:v>0.28181818181818125</c:v>
                </c:pt>
                <c:pt idx="6">
                  <c:v>0.16363636363636327</c:v>
                </c:pt>
                <c:pt idx="7">
                  <c:v>0.18181818181818121</c:v>
                </c:pt>
                <c:pt idx="8">
                  <c:v>0.34090909090909038</c:v>
                </c:pt>
                <c:pt idx="9">
                  <c:v>0.20779220779220725</c:v>
                </c:pt>
                <c:pt idx="10">
                  <c:v>0.29545454545454475</c:v>
                </c:pt>
                <c:pt idx="11">
                  <c:v>0.12121212121212066</c:v>
                </c:pt>
                <c:pt idx="12">
                  <c:v>0.27272727272727243</c:v>
                </c:pt>
              </c:numCache>
            </c:numRef>
          </c:val>
          <c:extLst>
            <c:ext xmlns:c16="http://schemas.microsoft.com/office/drawing/2014/chart" uri="{C3380CC4-5D6E-409C-BE32-E72D297353CC}">
              <c16:uniqueId val="{0000001A-F442-6047-824B-0B489610C13B}"/>
            </c:ext>
          </c:extLst>
        </c:ser>
        <c:dLbls>
          <c:showLegendKey val="0"/>
          <c:showVal val="0"/>
          <c:showCatName val="0"/>
          <c:showSerName val="0"/>
          <c:showPercent val="0"/>
          <c:showBubbleSize val="0"/>
        </c:dLbls>
        <c:gapWidth val="182"/>
        <c:axId val="994155968"/>
        <c:axId val="994161792"/>
      </c:barChart>
      <c:catAx>
        <c:axId val="99415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61792"/>
        <c:crosses val="autoZero"/>
        <c:auto val="1"/>
        <c:lblAlgn val="ctr"/>
        <c:lblOffset val="100"/>
        <c:noMultiLvlLbl val="0"/>
      </c:catAx>
      <c:valAx>
        <c:axId val="9941617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5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pivot'!$G$44</c:f>
              <c:strCache>
                <c:ptCount val="1"/>
                <c:pt idx="0">
                  <c:v>Sessions Played</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50BC-EB40-819E-85611A82B14F}"/>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50BC-EB40-819E-85611A82B14F}"/>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50BC-EB40-819E-85611A82B14F}"/>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50BC-EB40-819E-85611A82B14F}"/>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50BC-EB40-819E-85611A82B14F}"/>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50BC-EB40-819E-85611A82B14F}"/>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50BC-EB40-819E-85611A82B14F}"/>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50BC-EB40-819E-85611A82B14F}"/>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50BC-EB40-819E-85611A82B14F}"/>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50BC-EB40-819E-85611A82B14F}"/>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50BC-EB40-819E-85611A82B14F}"/>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50BC-EB40-819E-85611A82B14F}"/>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50BC-EB40-819E-85611A82B14F}"/>
              </c:ext>
            </c:extLst>
          </c:dPt>
          <c:cat>
            <c:strRef>
              <c:f>'sessions pivot'!$A$45:$A$57</c:f>
              <c:strCache>
                <c:ptCount val="13"/>
                <c:pt idx="0">
                  <c:v>ramesh.matta</c:v>
                </c:pt>
                <c:pt idx="1">
                  <c:v>vallabh.vyas</c:v>
                </c:pt>
                <c:pt idx="2">
                  <c:v>vaishnavi.b</c:v>
                </c:pt>
                <c:pt idx="3">
                  <c:v>pradeep.c</c:v>
                </c:pt>
                <c:pt idx="4">
                  <c:v>swetha.nayudu</c:v>
                </c:pt>
                <c:pt idx="5">
                  <c:v>yeshwanth.tp</c:v>
                </c:pt>
                <c:pt idx="6">
                  <c:v>praveen.sadul</c:v>
                </c:pt>
                <c:pt idx="7">
                  <c:v>gowthamkumar.b</c:v>
                </c:pt>
                <c:pt idx="8">
                  <c:v>latif.khan</c:v>
                </c:pt>
                <c:pt idx="9">
                  <c:v>chris.watts</c:v>
                </c:pt>
                <c:pt idx="10">
                  <c:v>anandaraj.mani</c:v>
                </c:pt>
                <c:pt idx="11">
                  <c:v>ranjan.padhi</c:v>
                </c:pt>
                <c:pt idx="12">
                  <c:v>gregg.winkel</c:v>
                </c:pt>
              </c:strCache>
            </c:strRef>
          </c:cat>
          <c:val>
            <c:numRef>
              <c:f>'sessions pivot'!$G$45:$G$57</c:f>
              <c:numCache>
                <c:formatCode>General</c:formatCode>
                <c:ptCount val="13"/>
                <c:pt idx="0">
                  <c:v>12</c:v>
                </c:pt>
                <c:pt idx="1">
                  <c:v>11</c:v>
                </c:pt>
                <c:pt idx="2">
                  <c:v>11</c:v>
                </c:pt>
                <c:pt idx="3">
                  <c:v>11</c:v>
                </c:pt>
                <c:pt idx="4">
                  <c:v>11</c:v>
                </c:pt>
                <c:pt idx="5">
                  <c:v>10</c:v>
                </c:pt>
                <c:pt idx="6">
                  <c:v>10</c:v>
                </c:pt>
                <c:pt idx="7">
                  <c:v>9</c:v>
                </c:pt>
                <c:pt idx="8">
                  <c:v>8</c:v>
                </c:pt>
                <c:pt idx="9">
                  <c:v>7</c:v>
                </c:pt>
                <c:pt idx="10">
                  <c:v>4</c:v>
                </c:pt>
                <c:pt idx="11">
                  <c:v>3</c:v>
                </c:pt>
                <c:pt idx="12">
                  <c:v>2</c:v>
                </c:pt>
              </c:numCache>
            </c:numRef>
          </c:val>
          <c:extLst>
            <c:ext xmlns:c16="http://schemas.microsoft.com/office/drawing/2014/chart" uri="{C3380CC4-5D6E-409C-BE32-E72D297353CC}">
              <c16:uniqueId val="{0000001A-50BC-EB40-819E-85611A82B14F}"/>
            </c:ext>
          </c:extLst>
        </c:ser>
        <c:dLbls>
          <c:showLegendKey val="0"/>
          <c:showVal val="0"/>
          <c:showCatName val="0"/>
          <c:showSerName val="0"/>
          <c:showPercent val="0"/>
          <c:showBubbleSize val="0"/>
        </c:dLbls>
        <c:gapWidth val="182"/>
        <c:axId val="994155968"/>
        <c:axId val="994161792"/>
      </c:barChart>
      <c:catAx>
        <c:axId val="99415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61792"/>
        <c:crosses val="autoZero"/>
        <c:auto val="1"/>
        <c:lblAlgn val="ctr"/>
        <c:lblOffset val="100"/>
        <c:noMultiLvlLbl val="0"/>
      </c:catAx>
      <c:valAx>
        <c:axId val="994161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5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pivot'!$F$44</c:f>
              <c:strCache>
                <c:ptCount val="1"/>
                <c:pt idx="0">
                  <c:v>Incident Mechanics</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426-6348-86FE-ACBEB4B70E88}"/>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6426-6348-86FE-ACBEB4B70E88}"/>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6426-6348-86FE-ACBEB4B70E88}"/>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6426-6348-86FE-ACBEB4B70E88}"/>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6426-6348-86FE-ACBEB4B70E88}"/>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6426-6348-86FE-ACBEB4B70E88}"/>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6426-6348-86FE-ACBEB4B70E88}"/>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6426-6348-86FE-ACBEB4B70E88}"/>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6426-6348-86FE-ACBEB4B70E88}"/>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6426-6348-86FE-ACBEB4B70E88}"/>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6426-6348-86FE-ACBEB4B70E88}"/>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6426-6348-86FE-ACBEB4B70E88}"/>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6426-6348-86FE-ACBEB4B70E88}"/>
              </c:ext>
            </c:extLst>
          </c:dPt>
          <c:cat>
            <c:strRef>
              <c:f>'sessions pivot'!$A$45:$A$57</c:f>
              <c:strCache>
                <c:ptCount val="13"/>
                <c:pt idx="0">
                  <c:v>ramesh.matta</c:v>
                </c:pt>
                <c:pt idx="1">
                  <c:v>vallabh.vyas</c:v>
                </c:pt>
                <c:pt idx="2">
                  <c:v>vaishnavi.b</c:v>
                </c:pt>
                <c:pt idx="3">
                  <c:v>pradeep.c</c:v>
                </c:pt>
                <c:pt idx="4">
                  <c:v>swetha.nayudu</c:v>
                </c:pt>
                <c:pt idx="5">
                  <c:v>yeshwanth.tp</c:v>
                </c:pt>
                <c:pt idx="6">
                  <c:v>praveen.sadul</c:v>
                </c:pt>
                <c:pt idx="7">
                  <c:v>gowthamkumar.b</c:v>
                </c:pt>
                <c:pt idx="8">
                  <c:v>latif.khan</c:v>
                </c:pt>
                <c:pt idx="9">
                  <c:v>chris.watts</c:v>
                </c:pt>
                <c:pt idx="10">
                  <c:v>anandaraj.mani</c:v>
                </c:pt>
                <c:pt idx="11">
                  <c:v>ranjan.padhi</c:v>
                </c:pt>
                <c:pt idx="12">
                  <c:v>gregg.winkel</c:v>
                </c:pt>
              </c:strCache>
            </c:strRef>
          </c:cat>
          <c:val>
            <c:numRef>
              <c:f>'sessions pivot'!$F$45:$F$57</c:f>
              <c:numCache>
                <c:formatCode>0%</c:formatCode>
                <c:ptCount val="13"/>
                <c:pt idx="0">
                  <c:v>0.95833333333333337</c:v>
                </c:pt>
                <c:pt idx="1">
                  <c:v>0.90909090909090906</c:v>
                </c:pt>
                <c:pt idx="2">
                  <c:v>0.86363636363636365</c:v>
                </c:pt>
                <c:pt idx="3">
                  <c:v>0.77272727272727271</c:v>
                </c:pt>
                <c:pt idx="4">
                  <c:v>0.86363636363636365</c:v>
                </c:pt>
                <c:pt idx="5">
                  <c:v>0.85</c:v>
                </c:pt>
                <c:pt idx="6">
                  <c:v>0.85</c:v>
                </c:pt>
                <c:pt idx="7">
                  <c:v>0.88888888888888884</c:v>
                </c:pt>
                <c:pt idx="8">
                  <c:v>0.6875</c:v>
                </c:pt>
                <c:pt idx="9">
                  <c:v>0.8571428571428571</c:v>
                </c:pt>
                <c:pt idx="10">
                  <c:v>0.75</c:v>
                </c:pt>
                <c:pt idx="11">
                  <c:v>0.5</c:v>
                </c:pt>
                <c:pt idx="12">
                  <c:v>0.5</c:v>
                </c:pt>
              </c:numCache>
            </c:numRef>
          </c:val>
          <c:extLst>
            <c:ext xmlns:c16="http://schemas.microsoft.com/office/drawing/2014/chart" uri="{C3380CC4-5D6E-409C-BE32-E72D297353CC}">
              <c16:uniqueId val="{0000001A-6426-6348-86FE-ACBEB4B70E88}"/>
            </c:ext>
          </c:extLst>
        </c:ser>
        <c:dLbls>
          <c:showLegendKey val="0"/>
          <c:showVal val="0"/>
          <c:showCatName val="0"/>
          <c:showSerName val="0"/>
          <c:showPercent val="0"/>
          <c:showBubbleSize val="0"/>
        </c:dLbls>
        <c:gapWidth val="182"/>
        <c:axId val="994155968"/>
        <c:axId val="994161792"/>
      </c:barChart>
      <c:catAx>
        <c:axId val="99415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61792"/>
        <c:crosses val="autoZero"/>
        <c:auto val="1"/>
        <c:lblAlgn val="ctr"/>
        <c:lblOffset val="100"/>
        <c:noMultiLvlLbl val="0"/>
      </c:catAx>
      <c:valAx>
        <c:axId val="9941617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5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pivot'!$D$44</c:f>
              <c:strCache>
                <c:ptCount val="1"/>
                <c:pt idx="0">
                  <c:v>Identify Scope</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330-E740-A1A5-FAFF5067B84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C330-E740-A1A5-FAFF5067B841}"/>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C330-E740-A1A5-FAFF5067B84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C330-E740-A1A5-FAFF5067B841}"/>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C330-E740-A1A5-FAFF5067B841}"/>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C330-E740-A1A5-FAFF5067B841}"/>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C330-E740-A1A5-FAFF5067B841}"/>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C330-E740-A1A5-FAFF5067B841}"/>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C330-E740-A1A5-FAFF5067B841}"/>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C330-E740-A1A5-FAFF5067B841}"/>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C330-E740-A1A5-FAFF5067B841}"/>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C330-E740-A1A5-FAFF5067B841}"/>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C330-E740-A1A5-FAFF5067B841}"/>
              </c:ext>
            </c:extLst>
          </c:dPt>
          <c:cat>
            <c:strRef>
              <c:f>'sessions pivot'!$A$45:$A$57</c:f>
              <c:strCache>
                <c:ptCount val="13"/>
                <c:pt idx="0">
                  <c:v>ramesh.matta</c:v>
                </c:pt>
                <c:pt idx="1">
                  <c:v>vallabh.vyas</c:v>
                </c:pt>
                <c:pt idx="2">
                  <c:v>vaishnavi.b</c:v>
                </c:pt>
                <c:pt idx="3">
                  <c:v>pradeep.c</c:v>
                </c:pt>
                <c:pt idx="4">
                  <c:v>swetha.nayudu</c:v>
                </c:pt>
                <c:pt idx="5">
                  <c:v>yeshwanth.tp</c:v>
                </c:pt>
                <c:pt idx="6">
                  <c:v>praveen.sadul</c:v>
                </c:pt>
                <c:pt idx="7">
                  <c:v>gowthamkumar.b</c:v>
                </c:pt>
                <c:pt idx="8">
                  <c:v>latif.khan</c:v>
                </c:pt>
                <c:pt idx="9">
                  <c:v>chris.watts</c:v>
                </c:pt>
                <c:pt idx="10">
                  <c:v>anandaraj.mani</c:v>
                </c:pt>
                <c:pt idx="11">
                  <c:v>ranjan.padhi</c:v>
                </c:pt>
                <c:pt idx="12">
                  <c:v>gregg.winkel</c:v>
                </c:pt>
              </c:strCache>
            </c:strRef>
          </c:cat>
          <c:val>
            <c:numRef>
              <c:f>'sessions pivot'!$D$45:$D$57</c:f>
              <c:numCache>
                <c:formatCode>0%</c:formatCode>
                <c:ptCount val="13"/>
                <c:pt idx="0">
                  <c:v>0.38888888888888845</c:v>
                </c:pt>
                <c:pt idx="1">
                  <c:v>0.51515151515151458</c:v>
                </c:pt>
                <c:pt idx="2">
                  <c:v>0.5858585858585853</c:v>
                </c:pt>
                <c:pt idx="3">
                  <c:v>0.5353535353535348</c:v>
                </c:pt>
                <c:pt idx="4">
                  <c:v>0.56565656565656497</c:v>
                </c:pt>
                <c:pt idx="5">
                  <c:v>0.5222222222222217</c:v>
                </c:pt>
                <c:pt idx="6">
                  <c:v>0.46666666666666623</c:v>
                </c:pt>
                <c:pt idx="7">
                  <c:v>0.54320987654320929</c:v>
                </c:pt>
                <c:pt idx="8">
                  <c:v>0.52777777777777724</c:v>
                </c:pt>
                <c:pt idx="9">
                  <c:v>0.50793650793650735</c:v>
                </c:pt>
                <c:pt idx="10">
                  <c:v>0.4999999999999995</c:v>
                </c:pt>
                <c:pt idx="11">
                  <c:v>0.48148148148148096</c:v>
                </c:pt>
                <c:pt idx="12">
                  <c:v>0.61111111111111049</c:v>
                </c:pt>
              </c:numCache>
            </c:numRef>
          </c:val>
          <c:extLst>
            <c:ext xmlns:c16="http://schemas.microsoft.com/office/drawing/2014/chart" uri="{C3380CC4-5D6E-409C-BE32-E72D297353CC}">
              <c16:uniqueId val="{0000001A-C330-E740-A1A5-FAFF5067B841}"/>
            </c:ext>
          </c:extLst>
        </c:ser>
        <c:dLbls>
          <c:showLegendKey val="0"/>
          <c:showVal val="0"/>
          <c:showCatName val="0"/>
          <c:showSerName val="0"/>
          <c:showPercent val="0"/>
          <c:showBubbleSize val="0"/>
        </c:dLbls>
        <c:gapWidth val="182"/>
        <c:axId val="994155968"/>
        <c:axId val="994161792"/>
      </c:barChart>
      <c:catAx>
        <c:axId val="99415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61792"/>
        <c:crosses val="autoZero"/>
        <c:auto val="1"/>
        <c:lblAlgn val="ctr"/>
        <c:lblOffset val="100"/>
        <c:noMultiLvlLbl val="0"/>
      </c:catAx>
      <c:valAx>
        <c:axId val="9941617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5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pivot'!$E$44</c:f>
              <c:strCache>
                <c:ptCount val="1"/>
                <c:pt idx="0">
                  <c:v>External Comms</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D9D-2D4B-AA45-83445E868B0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CD9D-2D4B-AA45-83445E868B01}"/>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CD9D-2D4B-AA45-83445E868B0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CD9D-2D4B-AA45-83445E868B01}"/>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CD9D-2D4B-AA45-83445E868B01}"/>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CD9D-2D4B-AA45-83445E868B01}"/>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CD9D-2D4B-AA45-83445E868B01}"/>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CD9D-2D4B-AA45-83445E868B01}"/>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CD9D-2D4B-AA45-83445E868B01}"/>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CD9D-2D4B-AA45-83445E868B01}"/>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CD9D-2D4B-AA45-83445E868B01}"/>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CD9D-2D4B-AA45-83445E868B01}"/>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CD9D-2D4B-AA45-83445E868B01}"/>
              </c:ext>
            </c:extLst>
          </c:dPt>
          <c:cat>
            <c:strRef>
              <c:f>'sessions pivot'!$A$45:$A$57</c:f>
              <c:strCache>
                <c:ptCount val="13"/>
                <c:pt idx="0">
                  <c:v>ramesh.matta</c:v>
                </c:pt>
                <c:pt idx="1">
                  <c:v>vallabh.vyas</c:v>
                </c:pt>
                <c:pt idx="2">
                  <c:v>vaishnavi.b</c:v>
                </c:pt>
                <c:pt idx="3">
                  <c:v>pradeep.c</c:v>
                </c:pt>
                <c:pt idx="4">
                  <c:v>swetha.nayudu</c:v>
                </c:pt>
                <c:pt idx="5">
                  <c:v>yeshwanth.tp</c:v>
                </c:pt>
                <c:pt idx="6">
                  <c:v>praveen.sadul</c:v>
                </c:pt>
                <c:pt idx="7">
                  <c:v>gowthamkumar.b</c:v>
                </c:pt>
                <c:pt idx="8">
                  <c:v>latif.khan</c:v>
                </c:pt>
                <c:pt idx="9">
                  <c:v>chris.watts</c:v>
                </c:pt>
                <c:pt idx="10">
                  <c:v>anandaraj.mani</c:v>
                </c:pt>
                <c:pt idx="11">
                  <c:v>ranjan.padhi</c:v>
                </c:pt>
                <c:pt idx="12">
                  <c:v>gregg.winkel</c:v>
                </c:pt>
              </c:strCache>
            </c:strRef>
          </c:cat>
          <c:val>
            <c:numRef>
              <c:f>'sessions pivot'!$E$45:$E$57</c:f>
              <c:numCache>
                <c:formatCode>0%</c:formatCode>
                <c:ptCount val="13"/>
                <c:pt idx="0">
                  <c:v>0.49999999999999983</c:v>
                </c:pt>
                <c:pt idx="1">
                  <c:v>0.63636363636363591</c:v>
                </c:pt>
                <c:pt idx="2">
                  <c:v>0.56060606060606033</c:v>
                </c:pt>
                <c:pt idx="3">
                  <c:v>0.60606060606060574</c:v>
                </c:pt>
                <c:pt idx="4">
                  <c:v>0.63636363636363591</c:v>
                </c:pt>
                <c:pt idx="5">
                  <c:v>0.56666666666666621</c:v>
                </c:pt>
                <c:pt idx="6">
                  <c:v>0.53333333333333288</c:v>
                </c:pt>
                <c:pt idx="7">
                  <c:v>0.57407407407407374</c:v>
                </c:pt>
                <c:pt idx="8">
                  <c:v>0.43749999999999961</c:v>
                </c:pt>
                <c:pt idx="9">
                  <c:v>0.49999999999999967</c:v>
                </c:pt>
                <c:pt idx="10">
                  <c:v>0.45833333333333304</c:v>
                </c:pt>
                <c:pt idx="11">
                  <c:v>0.33333333333333298</c:v>
                </c:pt>
                <c:pt idx="12">
                  <c:v>0.58333333333333304</c:v>
                </c:pt>
              </c:numCache>
            </c:numRef>
          </c:val>
          <c:extLst>
            <c:ext xmlns:c16="http://schemas.microsoft.com/office/drawing/2014/chart" uri="{C3380CC4-5D6E-409C-BE32-E72D297353CC}">
              <c16:uniqueId val="{0000001A-CD9D-2D4B-AA45-83445E868B01}"/>
            </c:ext>
          </c:extLst>
        </c:ser>
        <c:dLbls>
          <c:showLegendKey val="0"/>
          <c:showVal val="0"/>
          <c:showCatName val="0"/>
          <c:showSerName val="0"/>
          <c:showPercent val="0"/>
          <c:showBubbleSize val="0"/>
        </c:dLbls>
        <c:gapWidth val="182"/>
        <c:axId val="994155968"/>
        <c:axId val="994161792"/>
      </c:barChart>
      <c:catAx>
        <c:axId val="99415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61792"/>
        <c:crosses val="autoZero"/>
        <c:auto val="1"/>
        <c:lblAlgn val="ctr"/>
        <c:lblOffset val="100"/>
        <c:noMultiLvlLbl val="0"/>
      </c:catAx>
      <c:valAx>
        <c:axId val="9941617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5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pivot'!$C$44</c:f>
              <c:strCache>
                <c:ptCount val="1"/>
                <c:pt idx="0">
                  <c:v>Internal Comms</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1750-AB41-8B9E-B1129A04870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1750-AB41-8B9E-B1129A048702}"/>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1750-AB41-8B9E-B1129A048702}"/>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1750-AB41-8B9E-B1129A048702}"/>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1750-AB41-8B9E-B1129A048702}"/>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1750-AB41-8B9E-B1129A048702}"/>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1750-AB41-8B9E-B1129A048702}"/>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1750-AB41-8B9E-B1129A048702}"/>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1750-AB41-8B9E-B1129A048702}"/>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1750-AB41-8B9E-B1129A048702}"/>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1750-AB41-8B9E-B1129A048702}"/>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1750-AB41-8B9E-B1129A048702}"/>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1750-AB41-8B9E-B1129A048702}"/>
              </c:ext>
            </c:extLst>
          </c:dPt>
          <c:cat>
            <c:strRef>
              <c:f>'sessions pivot'!$A$45:$A$57</c:f>
              <c:strCache>
                <c:ptCount val="13"/>
                <c:pt idx="0">
                  <c:v>ramesh.matta</c:v>
                </c:pt>
                <c:pt idx="1">
                  <c:v>vallabh.vyas</c:v>
                </c:pt>
                <c:pt idx="2">
                  <c:v>vaishnavi.b</c:v>
                </c:pt>
                <c:pt idx="3">
                  <c:v>pradeep.c</c:v>
                </c:pt>
                <c:pt idx="4">
                  <c:v>swetha.nayudu</c:v>
                </c:pt>
                <c:pt idx="5">
                  <c:v>yeshwanth.tp</c:v>
                </c:pt>
                <c:pt idx="6">
                  <c:v>praveen.sadul</c:v>
                </c:pt>
                <c:pt idx="7">
                  <c:v>gowthamkumar.b</c:v>
                </c:pt>
                <c:pt idx="8">
                  <c:v>latif.khan</c:v>
                </c:pt>
                <c:pt idx="9">
                  <c:v>chris.watts</c:v>
                </c:pt>
                <c:pt idx="10">
                  <c:v>anandaraj.mani</c:v>
                </c:pt>
                <c:pt idx="11">
                  <c:v>ranjan.padhi</c:v>
                </c:pt>
                <c:pt idx="12">
                  <c:v>gregg.winkel</c:v>
                </c:pt>
              </c:strCache>
            </c:strRef>
          </c:cat>
          <c:val>
            <c:numRef>
              <c:f>'sessions pivot'!$C$45:$C$57</c:f>
              <c:numCache>
                <c:formatCode>0%</c:formatCode>
                <c:ptCount val="13"/>
                <c:pt idx="0">
                  <c:v>0.31111111111111067</c:v>
                </c:pt>
                <c:pt idx="1">
                  <c:v>0.42424242424242392</c:v>
                </c:pt>
                <c:pt idx="2">
                  <c:v>0.42424242424242409</c:v>
                </c:pt>
                <c:pt idx="3">
                  <c:v>0.35757575757575721</c:v>
                </c:pt>
                <c:pt idx="4">
                  <c:v>0.46060606060606024</c:v>
                </c:pt>
                <c:pt idx="5">
                  <c:v>0.41333333333333294</c:v>
                </c:pt>
                <c:pt idx="6">
                  <c:v>0.33999999999999964</c:v>
                </c:pt>
                <c:pt idx="7">
                  <c:v>0.36296296296296271</c:v>
                </c:pt>
                <c:pt idx="8">
                  <c:v>0.52499999999999936</c:v>
                </c:pt>
                <c:pt idx="9">
                  <c:v>0.40952380952380912</c:v>
                </c:pt>
                <c:pt idx="10">
                  <c:v>0.483333333333333</c:v>
                </c:pt>
                <c:pt idx="11">
                  <c:v>0.26666666666666633</c:v>
                </c:pt>
                <c:pt idx="12">
                  <c:v>0.66666666666666652</c:v>
                </c:pt>
              </c:numCache>
            </c:numRef>
          </c:val>
          <c:extLst>
            <c:ext xmlns:c16="http://schemas.microsoft.com/office/drawing/2014/chart" uri="{C3380CC4-5D6E-409C-BE32-E72D297353CC}">
              <c16:uniqueId val="{0000001A-1750-AB41-8B9E-B1129A048702}"/>
            </c:ext>
          </c:extLst>
        </c:ser>
        <c:dLbls>
          <c:showLegendKey val="0"/>
          <c:showVal val="0"/>
          <c:showCatName val="0"/>
          <c:showSerName val="0"/>
          <c:showPercent val="0"/>
          <c:showBubbleSize val="0"/>
        </c:dLbls>
        <c:gapWidth val="182"/>
        <c:axId val="994155968"/>
        <c:axId val="994161792"/>
      </c:barChart>
      <c:catAx>
        <c:axId val="99415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61792"/>
        <c:crosses val="autoZero"/>
        <c:auto val="1"/>
        <c:lblAlgn val="ctr"/>
        <c:lblOffset val="100"/>
        <c:noMultiLvlLbl val="0"/>
      </c:catAx>
      <c:valAx>
        <c:axId val="9941617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5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[dominos_sessions.xlsx]GUOT pivot!PivotTable10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Good Use</a:t>
            </a:r>
            <a:r>
              <a:rPr lang="en-US" baseline="0"/>
              <a:t> Of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'GUOT pivot'!$B$3</c:f>
              <c:strCache>
                <c:ptCount val="1"/>
                <c:pt idx="0">
                  <c:v>Total</c:v>
                </c:pt>
              </c:strCache>
            </c:strRef>
          </c:tx>
          <c:spPr>
            <a:ln w="28575" cap="rnd">
              <a:solidFill>
                <a:schemeClr val="accent1"/>
              </a:solidFill>
              <a:round/>
            </a:ln>
            <a:effectLst/>
          </c:spPr>
          <c:marker>
            <c:symbol val="none"/>
          </c:marker>
          <c:cat>
            <c:strRef>
              <c:f>'GUOT pivot'!$A$4:$A$13</c:f>
              <c:strCache>
                <c:ptCount val="9"/>
                <c:pt idx="0">
                  <c:v>01/07/2025</c:v>
                </c:pt>
                <c:pt idx="1">
                  <c:v>01/08/2025</c:v>
                </c:pt>
                <c:pt idx="2">
                  <c:v>01/09/2025</c:v>
                </c:pt>
                <c:pt idx="3">
                  <c:v>01/10/2025</c:v>
                </c:pt>
                <c:pt idx="4">
                  <c:v>01/11/2025</c:v>
                </c:pt>
                <c:pt idx="5">
                  <c:v>01/12/2025</c:v>
                </c:pt>
                <c:pt idx="6">
                  <c:v>01/01/2026</c:v>
                </c:pt>
                <c:pt idx="7">
                  <c:v>01/02/2026</c:v>
                </c:pt>
                <c:pt idx="8">
                  <c:v>01/03/2026</c:v>
                </c:pt>
              </c:strCache>
            </c:strRef>
          </c:cat>
          <c:val>
            <c:numRef>
              <c:f>'GUOT pivot'!$B$4:$B$13</c:f>
              <c:numCache>
                <c:formatCode>General</c:formatCode>
                <c:ptCount val="9"/>
                <c:pt idx="0">
                  <c:v>9.7777777777777786</c:v>
                </c:pt>
                <c:pt idx="1">
                  <c:v>9.6</c:v>
                </c:pt>
                <c:pt idx="2">
                  <c:v>9</c:v>
                </c:pt>
                <c:pt idx="3">
                  <c:v>9.304347826086957</c:v>
                </c:pt>
                <c:pt idx="4">
                  <c:v>9.6</c:v>
                </c:pt>
                <c:pt idx="5">
                  <c:v>9.3636363636363633</c:v>
                </c:pt>
                <c:pt idx="6">
                  <c:v>9.6666666666666661</c:v>
                </c:pt>
                <c:pt idx="7">
                  <c:v>9.3333333333333339</c:v>
                </c:pt>
                <c:pt idx="8">
                  <c:v>9.6666666666666661</c:v>
                </c:pt>
              </c:numCache>
            </c:numRef>
          </c:val>
          <c:smooth val="0"/>
          <c:extLst>
            <c:ext xmlns:c16="http://schemas.microsoft.com/office/drawing/2014/chart" uri="{C3380CC4-5D6E-409C-BE32-E72D297353CC}">
              <c16:uniqueId val="{00000000-3736-6C49-8784-894C1335D87B}"/>
            </c:ext>
          </c:extLst>
        </c:ser>
        <c:dLbls>
          <c:showLegendKey val="0"/>
          <c:showVal val="0"/>
          <c:showCatName val="0"/>
          <c:showSerName val="0"/>
          <c:showPercent val="0"/>
          <c:showBubbleSize val="0"/>
        </c:dLbls>
        <c:smooth val="0"/>
        <c:axId val="1485060096"/>
        <c:axId val="1110696704"/>
      </c:lineChart>
      <c:catAx>
        <c:axId val="148506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696704"/>
        <c:crosses val="autoZero"/>
        <c:auto val="1"/>
        <c:lblAlgn val="ctr"/>
        <c:lblOffset val="100"/>
        <c:noMultiLvlLbl val="0"/>
      </c:catAx>
      <c:valAx>
        <c:axId val="1110696704"/>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06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[dominos_sessions.xlsx]sessions pivot!PivotTable8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Sessions Played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'sessions pivot'!$B$3</c:f>
              <c:strCache>
                <c:ptCount val="1"/>
                <c:pt idx="0">
                  <c:v>Total</c:v>
                </c:pt>
              </c:strCache>
            </c:strRef>
          </c:tx>
          <c:spPr>
            <a:solidFill>
              <a:schemeClr val="accent1"/>
            </a:solidFill>
            <a:ln>
              <a:noFill/>
            </a:ln>
            <a:effectLst/>
          </c:spPr>
          <c:invertIfNegative val="0"/>
          <c:cat>
            <c:strRef>
              <c:f>'sessions pivot'!$A$4:$A$17</c:f>
              <c:strCache>
                <c:ptCount val="13"/>
                <c:pt idx="0">
                  <c:v>ramesh.matta</c:v>
                </c:pt>
                <c:pt idx="1">
                  <c:v>vallabh.vyas</c:v>
                </c:pt>
                <c:pt idx="2">
                  <c:v>vaishnavi.b</c:v>
                </c:pt>
                <c:pt idx="3">
                  <c:v>pradeep.c</c:v>
                </c:pt>
                <c:pt idx="4">
                  <c:v>swetha.nayudu</c:v>
                </c:pt>
                <c:pt idx="5">
                  <c:v>yeshwanth.tp</c:v>
                </c:pt>
                <c:pt idx="6">
                  <c:v>praveen.sadul</c:v>
                </c:pt>
                <c:pt idx="7">
                  <c:v>gowthamkumar.b</c:v>
                </c:pt>
                <c:pt idx="8">
                  <c:v>latif.khan</c:v>
                </c:pt>
                <c:pt idx="9">
                  <c:v>chris.watts</c:v>
                </c:pt>
                <c:pt idx="10">
                  <c:v>anandaraj.mani</c:v>
                </c:pt>
                <c:pt idx="11">
                  <c:v>ranjan.padhi</c:v>
                </c:pt>
                <c:pt idx="12">
                  <c:v>gregg.winkel</c:v>
                </c:pt>
              </c:strCache>
            </c:strRef>
          </c:cat>
          <c:val>
            <c:numRef>
              <c:f>'sessions pivot'!$B$4:$B$17</c:f>
              <c:numCache>
                <c:formatCode>General</c:formatCode>
                <c:ptCount val="13"/>
                <c:pt idx="0">
                  <c:v>12</c:v>
                </c:pt>
                <c:pt idx="1">
                  <c:v>11</c:v>
                </c:pt>
                <c:pt idx="2">
                  <c:v>11</c:v>
                </c:pt>
                <c:pt idx="3">
                  <c:v>11</c:v>
                </c:pt>
                <c:pt idx="4">
                  <c:v>11</c:v>
                </c:pt>
                <c:pt idx="5">
                  <c:v>10</c:v>
                </c:pt>
                <c:pt idx="6">
                  <c:v>10</c:v>
                </c:pt>
                <c:pt idx="7">
                  <c:v>9</c:v>
                </c:pt>
                <c:pt idx="8">
                  <c:v>8</c:v>
                </c:pt>
                <c:pt idx="9">
                  <c:v>7</c:v>
                </c:pt>
                <c:pt idx="10">
                  <c:v>4</c:v>
                </c:pt>
                <c:pt idx="11">
                  <c:v>3</c:v>
                </c:pt>
                <c:pt idx="12">
                  <c:v>2</c:v>
                </c:pt>
              </c:numCache>
            </c:numRef>
          </c:val>
          <c:extLst>
            <c:ext xmlns:c16="http://schemas.microsoft.com/office/drawing/2014/chart" uri="{C3380CC4-5D6E-409C-BE32-E72D297353CC}">
              <c16:uniqueId val="{00000000-1A65-F64E-9E94-5BA9416427A6}"/>
            </c:ext>
          </c:extLst>
        </c:ser>
        <c:dLbls>
          <c:showLegendKey val="0"/>
          <c:showVal val="0"/>
          <c:showCatName val="0"/>
          <c:showSerName val="0"/>
          <c:showPercent val="0"/>
          <c:showBubbleSize val="0"/>
        </c:dLbls>
        <c:gapWidth val="219"/>
        <c:overlap val="-27"/>
        <c:axId val="1111717440"/>
        <c:axId val="1111716096"/>
      </c:barChart>
      <c:catAx>
        <c:axId val="111171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716096"/>
        <c:crosses val="autoZero"/>
        <c:auto val="1"/>
        <c:lblAlgn val="ctr"/>
        <c:lblOffset val="100"/>
        <c:noMultiLvlLbl val="0"/>
      </c:catAx>
      <c:valAx>
        <c:axId val="111171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71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pivot'!$B$44</c:f>
              <c:strCache>
                <c:ptCount val="1"/>
                <c:pt idx="0">
                  <c:v>Commanding The Incident</c:v>
                </c:pt>
              </c:strCache>
            </c:strRef>
          </c:tx>
          <c:invertIfNegative val="0"/>
          <c:dPt>
            <c:idx val="0"/>
            <c:invertIfNegative val="0"/>
            <c:bubble3D val="0"/>
            <c:spPr>
              <a:solidFill>
                <a:schemeClr val="accent1"/>
              </a:solidFill>
              <a:ln>
                <a:noFill/>
              </a:ln>
              <a:effectLst/>
            </c:spPr>
          </c:dPt>
          <c:dPt>
            <c:idx val="1"/>
            <c:invertIfNegative val="0"/>
            <c:bubble3D val="0"/>
            <c:spPr>
              <a:solidFill>
                <a:schemeClr val="accent2"/>
              </a:solidFill>
              <a:ln>
                <a:noFill/>
              </a:ln>
              <a:effectLst/>
            </c:spPr>
          </c:dPt>
          <c:dPt>
            <c:idx val="2"/>
            <c:invertIfNegative val="0"/>
            <c:bubble3D val="0"/>
            <c:spPr>
              <a:solidFill>
                <a:schemeClr val="accent3"/>
              </a:solidFill>
              <a:ln>
                <a:noFill/>
              </a:ln>
              <a:effectLst/>
            </c:spPr>
          </c:dPt>
          <c:dPt>
            <c:idx val="3"/>
            <c:invertIfNegative val="0"/>
            <c:bubble3D val="0"/>
            <c:spPr>
              <a:solidFill>
                <a:schemeClr val="accent4"/>
              </a:solidFill>
              <a:ln>
                <a:noFill/>
              </a:ln>
              <a:effectLst/>
            </c:spPr>
          </c:dPt>
          <c:dPt>
            <c:idx val="4"/>
            <c:invertIfNegative val="0"/>
            <c:bubble3D val="0"/>
            <c:spPr>
              <a:solidFill>
                <a:schemeClr val="accent5"/>
              </a:solidFill>
              <a:ln>
                <a:noFill/>
              </a:ln>
              <a:effectLst/>
            </c:spPr>
          </c:dPt>
          <c:dPt>
            <c:idx val="5"/>
            <c:invertIfNegative val="0"/>
            <c:bubble3D val="0"/>
            <c:spPr>
              <a:solidFill>
                <a:schemeClr val="accent6"/>
              </a:solidFill>
              <a:ln>
                <a:noFill/>
              </a:ln>
              <a:effectLst/>
            </c:spPr>
          </c:dPt>
          <c:dPt>
            <c:idx val="6"/>
            <c:invertIfNegative val="0"/>
            <c:bubble3D val="0"/>
            <c:spPr>
              <a:solidFill>
                <a:schemeClr val="accent1">
                  <a:lumMod val="60000"/>
                </a:schemeClr>
              </a:solidFill>
              <a:ln>
                <a:noFill/>
              </a:ln>
              <a:effectLst/>
            </c:spPr>
          </c:dPt>
          <c:dPt>
            <c:idx val="7"/>
            <c:invertIfNegative val="0"/>
            <c:bubble3D val="0"/>
            <c:spPr>
              <a:solidFill>
                <a:schemeClr val="accent2">
                  <a:lumMod val="60000"/>
                </a:schemeClr>
              </a:solidFill>
              <a:ln>
                <a:noFill/>
              </a:ln>
              <a:effectLst/>
            </c:spPr>
          </c:dPt>
          <c:dPt>
            <c:idx val="8"/>
            <c:invertIfNegative val="0"/>
            <c:bubble3D val="0"/>
            <c:spPr>
              <a:solidFill>
                <a:schemeClr val="accent3">
                  <a:lumMod val="60000"/>
                </a:schemeClr>
              </a:solidFill>
              <a:ln>
                <a:noFill/>
              </a:ln>
              <a:effectLst/>
            </c:spPr>
          </c:dPt>
          <c:dPt>
            <c:idx val="9"/>
            <c:invertIfNegative val="0"/>
            <c:bubble3D val="0"/>
            <c:spPr>
              <a:solidFill>
                <a:schemeClr val="accent4">
                  <a:lumMod val="60000"/>
                </a:schemeClr>
              </a:solidFill>
              <a:ln>
                <a:noFill/>
              </a:ln>
              <a:effectLst/>
            </c:spPr>
          </c:dPt>
          <c:dPt>
            <c:idx val="10"/>
            <c:invertIfNegative val="0"/>
            <c:bubble3D val="0"/>
            <c:spPr>
              <a:solidFill>
                <a:schemeClr val="accent5">
                  <a:lumMod val="60000"/>
                </a:schemeClr>
              </a:solidFill>
              <a:ln>
                <a:noFill/>
              </a:ln>
              <a:effectLst/>
            </c:spPr>
          </c:dPt>
          <c:dPt>
            <c:idx val="11"/>
            <c:invertIfNegative val="0"/>
            <c:bubble3D val="0"/>
            <c:spPr>
              <a:solidFill>
                <a:schemeClr val="accent6">
                  <a:lumMod val="60000"/>
                </a:schemeClr>
              </a:solidFill>
              <a:ln>
                <a:noFill/>
              </a:ln>
              <a:effectLst/>
            </c:spPr>
          </c:dPt>
          <c:dPt>
            <c:idx val="12"/>
            <c:invertIfNegative val="0"/>
            <c:bubble3D val="0"/>
            <c:spPr>
              <a:solidFill>
                <a:schemeClr val="accent1">
                  <a:lumMod val="80000"/>
                  <a:lumOff val="20000"/>
                </a:schemeClr>
              </a:solidFill>
              <a:ln>
                <a:noFill/>
              </a:ln>
              <a:effectLst/>
            </c:spPr>
          </c:dPt>
          <c:cat>
            <c:strRef>
              <c:f>'sessions pivot'!$A$45:$A$57</c:f>
              <c:strCache>
                <c:ptCount val="13"/>
                <c:pt idx="0">
                  <c:v>ramesh.matta</c:v>
                </c:pt>
                <c:pt idx="1">
                  <c:v>vallabh.vyas</c:v>
                </c:pt>
                <c:pt idx="2">
                  <c:v>vaishnavi.b</c:v>
                </c:pt>
                <c:pt idx="3">
                  <c:v>pradeep.c</c:v>
                </c:pt>
                <c:pt idx="4">
                  <c:v>swetha.nayudu</c:v>
                </c:pt>
                <c:pt idx="5">
                  <c:v>yeshwanth.tp</c:v>
                </c:pt>
                <c:pt idx="6">
                  <c:v>praveen.sadul</c:v>
                </c:pt>
                <c:pt idx="7">
                  <c:v>gowthamkumar.b</c:v>
                </c:pt>
                <c:pt idx="8">
                  <c:v>latif.khan</c:v>
                </c:pt>
                <c:pt idx="9">
                  <c:v>chris.watts</c:v>
                </c:pt>
                <c:pt idx="10">
                  <c:v>anandaraj.mani</c:v>
                </c:pt>
                <c:pt idx="11">
                  <c:v>ranjan.padhi</c:v>
                </c:pt>
                <c:pt idx="12">
                  <c:v>gregg.winkel</c:v>
                </c:pt>
              </c:strCache>
            </c:strRef>
          </c:cat>
          <c:val>
            <c:numRef>
              <c:f>'sessions pivot'!$B$45:$B$57</c:f>
              <c:numCache>
                <c:formatCode>0%</c:formatCode>
                <c:ptCount val="13"/>
                <c:pt idx="0">
                  <c:v>0.22727272727272682</c:v>
                </c:pt>
                <c:pt idx="1">
                  <c:v>0.23140495867768551</c:v>
                </c:pt>
                <c:pt idx="2">
                  <c:v>0.24793388429752025</c:v>
                </c:pt>
                <c:pt idx="3">
                  <c:v>0.23966942148760276</c:v>
                </c:pt>
                <c:pt idx="4">
                  <c:v>0.31404958677685912</c:v>
                </c:pt>
                <c:pt idx="5">
                  <c:v>0.28181818181818125</c:v>
                </c:pt>
                <c:pt idx="6">
                  <c:v>0.16363636363636327</c:v>
                </c:pt>
                <c:pt idx="7">
                  <c:v>0.18181818181818121</c:v>
                </c:pt>
                <c:pt idx="8">
                  <c:v>0.34090909090909038</c:v>
                </c:pt>
                <c:pt idx="9">
                  <c:v>0.20779220779220725</c:v>
                </c:pt>
                <c:pt idx="10">
                  <c:v>0.29545454545454475</c:v>
                </c:pt>
                <c:pt idx="11">
                  <c:v>0.12121212121212066</c:v>
                </c:pt>
                <c:pt idx="12">
                  <c:v>0.27272727272727243</c:v>
                </c:pt>
              </c:numCache>
            </c:numRef>
          </c:val>
          <c:extLst>
            <c:ext xmlns:c16="http://schemas.microsoft.com/office/drawing/2014/chart" uri="{C3380CC4-5D6E-409C-BE32-E72D297353CC}">
              <c16:uniqueId val="{00000000-E0D2-9243-A9EF-0AFF7200B753}"/>
            </c:ext>
          </c:extLst>
        </c:ser>
        <c:dLbls>
          <c:showLegendKey val="0"/>
          <c:showVal val="0"/>
          <c:showCatName val="0"/>
          <c:showSerName val="0"/>
          <c:showPercent val="0"/>
          <c:showBubbleSize val="0"/>
        </c:dLbls>
        <c:gapWidth val="182"/>
        <c:axId val="994155968"/>
        <c:axId val="994161792"/>
      </c:barChart>
      <c:catAx>
        <c:axId val="99415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61792"/>
        <c:crosses val="autoZero"/>
        <c:auto val="1"/>
        <c:lblAlgn val="ctr"/>
        <c:lblOffset val="100"/>
        <c:noMultiLvlLbl val="0"/>
      </c:catAx>
      <c:valAx>
        <c:axId val="9941617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5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pivot'!$B$44</c:f>
              <c:strCache>
                <c:ptCount val="1"/>
                <c:pt idx="0">
                  <c:v>Commanding The Incident</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A0F-3247-B784-4E00F172594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DA0F-3247-B784-4E00F1725941}"/>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DA0F-3247-B784-4E00F172594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DA0F-3247-B784-4E00F1725941}"/>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DA0F-3247-B784-4E00F1725941}"/>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DA0F-3247-B784-4E00F1725941}"/>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DA0F-3247-B784-4E00F1725941}"/>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DA0F-3247-B784-4E00F1725941}"/>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DA0F-3247-B784-4E00F1725941}"/>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DA0F-3247-B784-4E00F1725941}"/>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DA0F-3247-B784-4E00F1725941}"/>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DA0F-3247-B784-4E00F1725941}"/>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DA0F-3247-B784-4E00F1725941}"/>
              </c:ext>
            </c:extLst>
          </c:dPt>
          <c:cat>
            <c:strRef>
              <c:f>'sessions pivot'!$A$45:$A$57</c:f>
              <c:strCache>
                <c:ptCount val="13"/>
                <c:pt idx="0">
                  <c:v>ramesh.matta</c:v>
                </c:pt>
                <c:pt idx="1">
                  <c:v>vallabh.vyas</c:v>
                </c:pt>
                <c:pt idx="2">
                  <c:v>vaishnavi.b</c:v>
                </c:pt>
                <c:pt idx="3">
                  <c:v>pradeep.c</c:v>
                </c:pt>
                <c:pt idx="4">
                  <c:v>swetha.nayudu</c:v>
                </c:pt>
                <c:pt idx="5">
                  <c:v>yeshwanth.tp</c:v>
                </c:pt>
                <c:pt idx="6">
                  <c:v>praveen.sadul</c:v>
                </c:pt>
                <c:pt idx="7">
                  <c:v>gowthamkumar.b</c:v>
                </c:pt>
                <c:pt idx="8">
                  <c:v>latif.khan</c:v>
                </c:pt>
                <c:pt idx="9">
                  <c:v>chris.watts</c:v>
                </c:pt>
                <c:pt idx="10">
                  <c:v>anandaraj.mani</c:v>
                </c:pt>
                <c:pt idx="11">
                  <c:v>ranjan.padhi</c:v>
                </c:pt>
                <c:pt idx="12">
                  <c:v>gregg.winkel</c:v>
                </c:pt>
              </c:strCache>
            </c:strRef>
          </c:cat>
          <c:val>
            <c:numRef>
              <c:f>'sessions pivot'!$B$45:$B$57</c:f>
              <c:numCache>
                <c:formatCode>0%</c:formatCode>
                <c:ptCount val="13"/>
                <c:pt idx="0">
                  <c:v>0.22727272727272682</c:v>
                </c:pt>
                <c:pt idx="1">
                  <c:v>0.23140495867768551</c:v>
                </c:pt>
                <c:pt idx="2">
                  <c:v>0.24793388429752025</c:v>
                </c:pt>
                <c:pt idx="3">
                  <c:v>0.23966942148760276</c:v>
                </c:pt>
                <c:pt idx="4">
                  <c:v>0.31404958677685912</c:v>
                </c:pt>
                <c:pt idx="5">
                  <c:v>0.28181818181818125</c:v>
                </c:pt>
                <c:pt idx="6">
                  <c:v>0.16363636363636327</c:v>
                </c:pt>
                <c:pt idx="7">
                  <c:v>0.18181818181818121</c:v>
                </c:pt>
                <c:pt idx="8">
                  <c:v>0.34090909090909038</c:v>
                </c:pt>
                <c:pt idx="9">
                  <c:v>0.20779220779220725</c:v>
                </c:pt>
                <c:pt idx="10">
                  <c:v>0.29545454545454475</c:v>
                </c:pt>
                <c:pt idx="11">
                  <c:v>0.12121212121212066</c:v>
                </c:pt>
                <c:pt idx="12">
                  <c:v>0.27272727272727243</c:v>
                </c:pt>
              </c:numCache>
            </c:numRef>
          </c:val>
          <c:extLst>
            <c:ext xmlns:c16="http://schemas.microsoft.com/office/drawing/2014/chart" uri="{C3380CC4-5D6E-409C-BE32-E72D297353CC}">
              <c16:uniqueId val="{00000000-E0D2-9243-A9EF-0AFF7200B753}"/>
            </c:ext>
          </c:extLst>
        </c:ser>
        <c:dLbls>
          <c:showLegendKey val="0"/>
          <c:showVal val="0"/>
          <c:showCatName val="0"/>
          <c:showSerName val="0"/>
          <c:showPercent val="0"/>
          <c:showBubbleSize val="0"/>
        </c:dLbls>
        <c:gapWidth val="182"/>
        <c:axId val="994155968"/>
        <c:axId val="994161792"/>
      </c:barChart>
      <c:catAx>
        <c:axId val="99415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61792"/>
        <c:crosses val="autoZero"/>
        <c:auto val="1"/>
        <c:lblAlgn val="ctr"/>
        <c:lblOffset val="100"/>
        <c:noMultiLvlLbl val="0"/>
      </c:catAx>
      <c:valAx>
        <c:axId val="9941617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5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pivot'!$G$44</c:f>
              <c:strCache>
                <c:ptCount val="1"/>
                <c:pt idx="0">
                  <c:v>Sessions Played</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A0F-3247-B784-4E00F172594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DA0F-3247-B784-4E00F1725941}"/>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DA0F-3247-B784-4E00F172594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DA0F-3247-B784-4E00F1725941}"/>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DA0F-3247-B784-4E00F1725941}"/>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DA0F-3247-B784-4E00F1725941}"/>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DA0F-3247-B784-4E00F1725941}"/>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DA0F-3247-B784-4E00F1725941}"/>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DA0F-3247-B784-4E00F1725941}"/>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DA0F-3247-B784-4E00F1725941}"/>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DA0F-3247-B784-4E00F1725941}"/>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DA0F-3247-B784-4E00F1725941}"/>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DA0F-3247-B784-4E00F1725941}"/>
              </c:ext>
            </c:extLst>
          </c:dPt>
          <c:cat>
            <c:strRef>
              <c:f>'sessions pivot'!$A$45:$A$57</c:f>
              <c:strCache>
                <c:ptCount val="13"/>
                <c:pt idx="0">
                  <c:v>ramesh.matta</c:v>
                </c:pt>
                <c:pt idx="1">
                  <c:v>vallabh.vyas</c:v>
                </c:pt>
                <c:pt idx="2">
                  <c:v>vaishnavi.b</c:v>
                </c:pt>
                <c:pt idx="3">
                  <c:v>pradeep.c</c:v>
                </c:pt>
                <c:pt idx="4">
                  <c:v>swetha.nayudu</c:v>
                </c:pt>
                <c:pt idx="5">
                  <c:v>yeshwanth.tp</c:v>
                </c:pt>
                <c:pt idx="6">
                  <c:v>praveen.sadul</c:v>
                </c:pt>
                <c:pt idx="7">
                  <c:v>gowthamkumar.b</c:v>
                </c:pt>
                <c:pt idx="8">
                  <c:v>latif.khan</c:v>
                </c:pt>
                <c:pt idx="9">
                  <c:v>chris.watts</c:v>
                </c:pt>
                <c:pt idx="10">
                  <c:v>anandaraj.mani</c:v>
                </c:pt>
                <c:pt idx="11">
                  <c:v>ranjan.padhi</c:v>
                </c:pt>
                <c:pt idx="12">
                  <c:v>gregg.winkel</c:v>
                </c:pt>
              </c:strCache>
            </c:strRef>
          </c:cat>
          <c:val>
            <c:numRef>
              <c:f>'sessions pivot'!$G$45:$G$57</c:f>
              <c:numCache>
                <c:formatCode>General</c:formatCode>
                <c:ptCount val="13"/>
                <c:pt idx="0">
                  <c:v>12</c:v>
                </c:pt>
                <c:pt idx="1">
                  <c:v>11</c:v>
                </c:pt>
                <c:pt idx="2">
                  <c:v>11</c:v>
                </c:pt>
                <c:pt idx="3">
                  <c:v>11</c:v>
                </c:pt>
                <c:pt idx="4">
                  <c:v>11</c:v>
                </c:pt>
                <c:pt idx="5">
                  <c:v>10</c:v>
                </c:pt>
                <c:pt idx="6">
                  <c:v>10</c:v>
                </c:pt>
                <c:pt idx="7">
                  <c:v>9</c:v>
                </c:pt>
                <c:pt idx="8">
                  <c:v>8</c:v>
                </c:pt>
                <c:pt idx="9">
                  <c:v>7</c:v>
                </c:pt>
                <c:pt idx="10">
                  <c:v>4</c:v>
                </c:pt>
                <c:pt idx="11">
                  <c:v>3</c:v>
                </c:pt>
                <c:pt idx="12">
                  <c:v>2</c:v>
                </c:pt>
              </c:numCache>
            </c:numRef>
          </c:val>
          <c:extLst>
            <c:ext xmlns:c16="http://schemas.microsoft.com/office/drawing/2014/chart" uri="{C3380CC4-5D6E-409C-BE32-E72D297353CC}">
              <c16:uniqueId val="{00000000-E0D2-9243-A9EF-0AFF7200B753}"/>
            </c:ext>
          </c:extLst>
        </c:ser>
        <c:dLbls>
          <c:showLegendKey val="0"/>
          <c:showVal val="0"/>
          <c:showCatName val="0"/>
          <c:showSerName val="0"/>
          <c:showPercent val="0"/>
          <c:showBubbleSize val="0"/>
        </c:dLbls>
        <c:gapWidth val="182"/>
        <c:axId val="994155968"/>
        <c:axId val="994161792"/>
      </c:barChart>
      <c:catAx>
        <c:axId val="99415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61792"/>
        <c:crosses val="autoZero"/>
        <c:auto val="1"/>
        <c:lblAlgn val="ctr"/>
        <c:lblOffset val="100"/>
        <c:noMultiLvlLbl val="0"/>
      </c:catAx>
      <c:valAx>
        <c:axId val="994161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5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pivot'!$F$44</c:f>
              <c:strCache>
                <c:ptCount val="1"/>
                <c:pt idx="0">
                  <c:v>Incident Mechanics</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A0F-3247-B784-4E00F172594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DA0F-3247-B784-4E00F1725941}"/>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DA0F-3247-B784-4E00F172594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DA0F-3247-B784-4E00F1725941}"/>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DA0F-3247-B784-4E00F1725941}"/>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DA0F-3247-B784-4E00F1725941}"/>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DA0F-3247-B784-4E00F1725941}"/>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DA0F-3247-B784-4E00F1725941}"/>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DA0F-3247-B784-4E00F1725941}"/>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DA0F-3247-B784-4E00F1725941}"/>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DA0F-3247-B784-4E00F1725941}"/>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DA0F-3247-B784-4E00F1725941}"/>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DA0F-3247-B784-4E00F1725941}"/>
              </c:ext>
            </c:extLst>
          </c:dPt>
          <c:cat>
            <c:strRef>
              <c:f>'sessions pivot'!$A$45:$A$57</c:f>
              <c:strCache>
                <c:ptCount val="13"/>
                <c:pt idx="0">
                  <c:v>ramesh.matta</c:v>
                </c:pt>
                <c:pt idx="1">
                  <c:v>vallabh.vyas</c:v>
                </c:pt>
                <c:pt idx="2">
                  <c:v>vaishnavi.b</c:v>
                </c:pt>
                <c:pt idx="3">
                  <c:v>pradeep.c</c:v>
                </c:pt>
                <c:pt idx="4">
                  <c:v>swetha.nayudu</c:v>
                </c:pt>
                <c:pt idx="5">
                  <c:v>yeshwanth.tp</c:v>
                </c:pt>
                <c:pt idx="6">
                  <c:v>praveen.sadul</c:v>
                </c:pt>
                <c:pt idx="7">
                  <c:v>gowthamkumar.b</c:v>
                </c:pt>
                <c:pt idx="8">
                  <c:v>latif.khan</c:v>
                </c:pt>
                <c:pt idx="9">
                  <c:v>chris.watts</c:v>
                </c:pt>
                <c:pt idx="10">
                  <c:v>anandaraj.mani</c:v>
                </c:pt>
                <c:pt idx="11">
                  <c:v>ranjan.padhi</c:v>
                </c:pt>
                <c:pt idx="12">
                  <c:v>gregg.winkel</c:v>
                </c:pt>
              </c:strCache>
            </c:strRef>
          </c:cat>
          <c:val>
            <c:numRef>
              <c:f>'sessions pivot'!$F$45:$F$57</c:f>
              <c:numCache>
                <c:formatCode>0%</c:formatCode>
                <c:ptCount val="13"/>
                <c:pt idx="0">
                  <c:v>0.95833333333333337</c:v>
                </c:pt>
                <c:pt idx="1">
                  <c:v>0.90909090909090906</c:v>
                </c:pt>
                <c:pt idx="2">
                  <c:v>0.86363636363636365</c:v>
                </c:pt>
                <c:pt idx="3">
                  <c:v>0.77272727272727271</c:v>
                </c:pt>
                <c:pt idx="4">
                  <c:v>0.86363636363636365</c:v>
                </c:pt>
                <c:pt idx="5">
                  <c:v>0.85</c:v>
                </c:pt>
                <c:pt idx="6">
                  <c:v>0.85</c:v>
                </c:pt>
                <c:pt idx="7">
                  <c:v>0.88888888888888884</c:v>
                </c:pt>
                <c:pt idx="8">
                  <c:v>0.6875</c:v>
                </c:pt>
                <c:pt idx="9">
                  <c:v>0.8571428571428571</c:v>
                </c:pt>
                <c:pt idx="10">
                  <c:v>0.75</c:v>
                </c:pt>
                <c:pt idx="11">
                  <c:v>0.5</c:v>
                </c:pt>
                <c:pt idx="12">
                  <c:v>0.5</c:v>
                </c:pt>
              </c:numCache>
            </c:numRef>
          </c:val>
          <c:extLst>
            <c:ext xmlns:c16="http://schemas.microsoft.com/office/drawing/2014/chart" uri="{C3380CC4-5D6E-409C-BE32-E72D297353CC}">
              <c16:uniqueId val="{00000000-E0D2-9243-A9EF-0AFF7200B753}"/>
            </c:ext>
          </c:extLst>
        </c:ser>
        <c:dLbls>
          <c:showLegendKey val="0"/>
          <c:showVal val="0"/>
          <c:showCatName val="0"/>
          <c:showSerName val="0"/>
          <c:showPercent val="0"/>
          <c:showBubbleSize val="0"/>
        </c:dLbls>
        <c:gapWidth val="182"/>
        <c:axId val="994155968"/>
        <c:axId val="994161792"/>
      </c:barChart>
      <c:catAx>
        <c:axId val="99415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61792"/>
        <c:crosses val="autoZero"/>
        <c:auto val="1"/>
        <c:lblAlgn val="ctr"/>
        <c:lblOffset val="100"/>
        <c:noMultiLvlLbl val="0"/>
      </c:catAx>
      <c:valAx>
        <c:axId val="9941617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5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pivot'!$D$44</c:f>
              <c:strCache>
                <c:ptCount val="1"/>
                <c:pt idx="0">
                  <c:v>Identify Scope</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A0F-3247-B784-4E00F172594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DA0F-3247-B784-4E00F1725941}"/>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DA0F-3247-B784-4E00F172594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DA0F-3247-B784-4E00F1725941}"/>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DA0F-3247-B784-4E00F1725941}"/>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DA0F-3247-B784-4E00F1725941}"/>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DA0F-3247-B784-4E00F1725941}"/>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DA0F-3247-B784-4E00F1725941}"/>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DA0F-3247-B784-4E00F1725941}"/>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DA0F-3247-B784-4E00F1725941}"/>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DA0F-3247-B784-4E00F1725941}"/>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DA0F-3247-B784-4E00F1725941}"/>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DA0F-3247-B784-4E00F1725941}"/>
              </c:ext>
            </c:extLst>
          </c:dPt>
          <c:cat>
            <c:strRef>
              <c:f>'sessions pivot'!$A$45:$A$57</c:f>
              <c:strCache>
                <c:ptCount val="13"/>
                <c:pt idx="0">
                  <c:v>ramesh.matta</c:v>
                </c:pt>
                <c:pt idx="1">
                  <c:v>vallabh.vyas</c:v>
                </c:pt>
                <c:pt idx="2">
                  <c:v>vaishnavi.b</c:v>
                </c:pt>
                <c:pt idx="3">
                  <c:v>pradeep.c</c:v>
                </c:pt>
                <c:pt idx="4">
                  <c:v>swetha.nayudu</c:v>
                </c:pt>
                <c:pt idx="5">
                  <c:v>yeshwanth.tp</c:v>
                </c:pt>
                <c:pt idx="6">
                  <c:v>praveen.sadul</c:v>
                </c:pt>
                <c:pt idx="7">
                  <c:v>gowthamkumar.b</c:v>
                </c:pt>
                <c:pt idx="8">
                  <c:v>latif.khan</c:v>
                </c:pt>
                <c:pt idx="9">
                  <c:v>chris.watts</c:v>
                </c:pt>
                <c:pt idx="10">
                  <c:v>anandaraj.mani</c:v>
                </c:pt>
                <c:pt idx="11">
                  <c:v>ranjan.padhi</c:v>
                </c:pt>
                <c:pt idx="12">
                  <c:v>gregg.winkel</c:v>
                </c:pt>
              </c:strCache>
            </c:strRef>
          </c:cat>
          <c:val>
            <c:numRef>
              <c:f>'sessions pivot'!$D$45:$D$57</c:f>
              <c:numCache>
                <c:formatCode>0%</c:formatCode>
                <c:ptCount val="13"/>
                <c:pt idx="0">
                  <c:v>0.38888888888888845</c:v>
                </c:pt>
                <c:pt idx="1">
                  <c:v>0.51515151515151458</c:v>
                </c:pt>
                <c:pt idx="2">
                  <c:v>0.5858585858585853</c:v>
                </c:pt>
                <c:pt idx="3">
                  <c:v>0.5353535353535348</c:v>
                </c:pt>
                <c:pt idx="4">
                  <c:v>0.56565656565656497</c:v>
                </c:pt>
                <c:pt idx="5">
                  <c:v>0.5222222222222217</c:v>
                </c:pt>
                <c:pt idx="6">
                  <c:v>0.46666666666666623</c:v>
                </c:pt>
                <c:pt idx="7">
                  <c:v>0.54320987654320929</c:v>
                </c:pt>
                <c:pt idx="8">
                  <c:v>0.52777777777777724</c:v>
                </c:pt>
                <c:pt idx="9">
                  <c:v>0.50793650793650735</c:v>
                </c:pt>
                <c:pt idx="10">
                  <c:v>0.4999999999999995</c:v>
                </c:pt>
                <c:pt idx="11">
                  <c:v>0.48148148148148096</c:v>
                </c:pt>
                <c:pt idx="12">
                  <c:v>0.61111111111111049</c:v>
                </c:pt>
              </c:numCache>
            </c:numRef>
          </c:val>
          <c:extLst>
            <c:ext xmlns:c16="http://schemas.microsoft.com/office/drawing/2014/chart" uri="{C3380CC4-5D6E-409C-BE32-E72D297353CC}">
              <c16:uniqueId val="{00000000-E0D2-9243-A9EF-0AFF7200B753}"/>
            </c:ext>
          </c:extLst>
        </c:ser>
        <c:dLbls>
          <c:showLegendKey val="0"/>
          <c:showVal val="0"/>
          <c:showCatName val="0"/>
          <c:showSerName val="0"/>
          <c:showPercent val="0"/>
          <c:showBubbleSize val="0"/>
        </c:dLbls>
        <c:gapWidth val="182"/>
        <c:axId val="994155968"/>
        <c:axId val="994161792"/>
      </c:barChart>
      <c:catAx>
        <c:axId val="99415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61792"/>
        <c:crosses val="autoZero"/>
        <c:auto val="1"/>
        <c:lblAlgn val="ctr"/>
        <c:lblOffset val="100"/>
        <c:noMultiLvlLbl val="0"/>
      </c:catAx>
      <c:valAx>
        <c:axId val="9941617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5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pivot'!$E$44</c:f>
              <c:strCache>
                <c:ptCount val="1"/>
                <c:pt idx="0">
                  <c:v>External Comms</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A0F-3247-B784-4E00F172594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DA0F-3247-B784-4E00F1725941}"/>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DA0F-3247-B784-4E00F172594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DA0F-3247-B784-4E00F1725941}"/>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DA0F-3247-B784-4E00F1725941}"/>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DA0F-3247-B784-4E00F1725941}"/>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DA0F-3247-B784-4E00F1725941}"/>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DA0F-3247-B784-4E00F1725941}"/>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DA0F-3247-B784-4E00F1725941}"/>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DA0F-3247-B784-4E00F1725941}"/>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DA0F-3247-B784-4E00F1725941}"/>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DA0F-3247-B784-4E00F1725941}"/>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DA0F-3247-B784-4E00F1725941}"/>
              </c:ext>
            </c:extLst>
          </c:dPt>
          <c:cat>
            <c:strRef>
              <c:f>'sessions pivot'!$A$45:$A$57</c:f>
              <c:strCache>
                <c:ptCount val="13"/>
                <c:pt idx="0">
                  <c:v>ramesh.matta</c:v>
                </c:pt>
                <c:pt idx="1">
                  <c:v>vallabh.vyas</c:v>
                </c:pt>
                <c:pt idx="2">
                  <c:v>vaishnavi.b</c:v>
                </c:pt>
                <c:pt idx="3">
                  <c:v>pradeep.c</c:v>
                </c:pt>
                <c:pt idx="4">
                  <c:v>swetha.nayudu</c:v>
                </c:pt>
                <c:pt idx="5">
                  <c:v>yeshwanth.tp</c:v>
                </c:pt>
                <c:pt idx="6">
                  <c:v>praveen.sadul</c:v>
                </c:pt>
                <c:pt idx="7">
                  <c:v>gowthamkumar.b</c:v>
                </c:pt>
                <c:pt idx="8">
                  <c:v>latif.khan</c:v>
                </c:pt>
                <c:pt idx="9">
                  <c:v>chris.watts</c:v>
                </c:pt>
                <c:pt idx="10">
                  <c:v>anandaraj.mani</c:v>
                </c:pt>
                <c:pt idx="11">
                  <c:v>ranjan.padhi</c:v>
                </c:pt>
                <c:pt idx="12">
                  <c:v>gregg.winkel</c:v>
                </c:pt>
              </c:strCache>
            </c:strRef>
          </c:cat>
          <c:val>
            <c:numRef>
              <c:f>'sessions pivot'!$E$45:$E$57</c:f>
              <c:numCache>
                <c:formatCode>0%</c:formatCode>
                <c:ptCount val="13"/>
                <c:pt idx="0">
                  <c:v>0.49999999999999983</c:v>
                </c:pt>
                <c:pt idx="1">
                  <c:v>0.63636363636363591</c:v>
                </c:pt>
                <c:pt idx="2">
                  <c:v>0.56060606060606033</c:v>
                </c:pt>
                <c:pt idx="3">
                  <c:v>0.60606060606060574</c:v>
                </c:pt>
                <c:pt idx="4">
                  <c:v>0.63636363636363591</c:v>
                </c:pt>
                <c:pt idx="5">
                  <c:v>0.56666666666666621</c:v>
                </c:pt>
                <c:pt idx="6">
                  <c:v>0.53333333333333288</c:v>
                </c:pt>
                <c:pt idx="7">
                  <c:v>0.57407407407407374</c:v>
                </c:pt>
                <c:pt idx="8">
                  <c:v>0.43749999999999961</c:v>
                </c:pt>
                <c:pt idx="9">
                  <c:v>0.49999999999999967</c:v>
                </c:pt>
                <c:pt idx="10">
                  <c:v>0.45833333333333304</c:v>
                </c:pt>
                <c:pt idx="11">
                  <c:v>0.33333333333333298</c:v>
                </c:pt>
                <c:pt idx="12">
                  <c:v>0.58333333333333304</c:v>
                </c:pt>
              </c:numCache>
            </c:numRef>
          </c:val>
          <c:extLst>
            <c:ext xmlns:c16="http://schemas.microsoft.com/office/drawing/2014/chart" uri="{C3380CC4-5D6E-409C-BE32-E72D297353CC}">
              <c16:uniqueId val="{00000000-E0D2-9243-A9EF-0AFF7200B753}"/>
            </c:ext>
          </c:extLst>
        </c:ser>
        <c:dLbls>
          <c:showLegendKey val="0"/>
          <c:showVal val="0"/>
          <c:showCatName val="0"/>
          <c:showSerName val="0"/>
          <c:showPercent val="0"/>
          <c:showBubbleSize val="0"/>
        </c:dLbls>
        <c:gapWidth val="182"/>
        <c:axId val="994155968"/>
        <c:axId val="994161792"/>
      </c:barChart>
      <c:catAx>
        <c:axId val="99415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61792"/>
        <c:crosses val="autoZero"/>
        <c:auto val="1"/>
        <c:lblAlgn val="ctr"/>
        <c:lblOffset val="100"/>
        <c:noMultiLvlLbl val="0"/>
      </c:catAx>
      <c:valAx>
        <c:axId val="9941617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5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pivot'!$C$44</c:f>
              <c:strCache>
                <c:ptCount val="1"/>
                <c:pt idx="0">
                  <c:v>Internal Comms</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A0F-3247-B784-4E00F172594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DA0F-3247-B784-4E00F1725941}"/>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DA0F-3247-B784-4E00F172594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DA0F-3247-B784-4E00F1725941}"/>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DA0F-3247-B784-4E00F1725941}"/>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DA0F-3247-B784-4E00F1725941}"/>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DA0F-3247-B784-4E00F1725941}"/>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DA0F-3247-B784-4E00F1725941}"/>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DA0F-3247-B784-4E00F1725941}"/>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DA0F-3247-B784-4E00F1725941}"/>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DA0F-3247-B784-4E00F1725941}"/>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DA0F-3247-B784-4E00F1725941}"/>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DA0F-3247-B784-4E00F1725941}"/>
              </c:ext>
            </c:extLst>
          </c:dPt>
          <c:cat>
            <c:strRef>
              <c:f>'sessions pivot'!$A$45:$A$57</c:f>
              <c:strCache>
                <c:ptCount val="13"/>
                <c:pt idx="0">
                  <c:v>ramesh.matta</c:v>
                </c:pt>
                <c:pt idx="1">
                  <c:v>vallabh.vyas</c:v>
                </c:pt>
                <c:pt idx="2">
                  <c:v>vaishnavi.b</c:v>
                </c:pt>
                <c:pt idx="3">
                  <c:v>pradeep.c</c:v>
                </c:pt>
                <c:pt idx="4">
                  <c:v>swetha.nayudu</c:v>
                </c:pt>
                <c:pt idx="5">
                  <c:v>yeshwanth.tp</c:v>
                </c:pt>
                <c:pt idx="6">
                  <c:v>praveen.sadul</c:v>
                </c:pt>
                <c:pt idx="7">
                  <c:v>gowthamkumar.b</c:v>
                </c:pt>
                <c:pt idx="8">
                  <c:v>latif.khan</c:v>
                </c:pt>
                <c:pt idx="9">
                  <c:v>chris.watts</c:v>
                </c:pt>
                <c:pt idx="10">
                  <c:v>anandaraj.mani</c:v>
                </c:pt>
                <c:pt idx="11">
                  <c:v>ranjan.padhi</c:v>
                </c:pt>
                <c:pt idx="12">
                  <c:v>gregg.winkel</c:v>
                </c:pt>
              </c:strCache>
            </c:strRef>
          </c:cat>
          <c:val>
            <c:numRef>
              <c:f>'sessions pivot'!$C$45:$C$57</c:f>
              <c:numCache>
                <c:formatCode>0%</c:formatCode>
                <c:ptCount val="13"/>
                <c:pt idx="0">
                  <c:v>0.31111111111111067</c:v>
                </c:pt>
                <c:pt idx="1">
                  <c:v>0.42424242424242392</c:v>
                </c:pt>
                <c:pt idx="2">
                  <c:v>0.42424242424242409</c:v>
                </c:pt>
                <c:pt idx="3">
                  <c:v>0.35757575757575721</c:v>
                </c:pt>
                <c:pt idx="4">
                  <c:v>0.46060606060606024</c:v>
                </c:pt>
                <c:pt idx="5">
                  <c:v>0.41333333333333294</c:v>
                </c:pt>
                <c:pt idx="6">
                  <c:v>0.33999999999999964</c:v>
                </c:pt>
                <c:pt idx="7">
                  <c:v>0.36296296296296271</c:v>
                </c:pt>
                <c:pt idx="8">
                  <c:v>0.52499999999999936</c:v>
                </c:pt>
                <c:pt idx="9">
                  <c:v>0.40952380952380912</c:v>
                </c:pt>
                <c:pt idx="10">
                  <c:v>0.483333333333333</c:v>
                </c:pt>
                <c:pt idx="11">
                  <c:v>0.26666666666666633</c:v>
                </c:pt>
                <c:pt idx="12">
                  <c:v>0.66666666666666652</c:v>
                </c:pt>
              </c:numCache>
            </c:numRef>
          </c:val>
          <c:extLst>
            <c:ext xmlns:c16="http://schemas.microsoft.com/office/drawing/2014/chart" uri="{C3380CC4-5D6E-409C-BE32-E72D297353CC}">
              <c16:uniqueId val="{00000000-E0D2-9243-A9EF-0AFF7200B753}"/>
            </c:ext>
          </c:extLst>
        </c:ser>
        <c:dLbls>
          <c:showLegendKey val="0"/>
          <c:showVal val="0"/>
          <c:showCatName val="0"/>
          <c:showSerName val="0"/>
          <c:showPercent val="0"/>
          <c:showBubbleSize val="0"/>
        </c:dLbls>
        <c:gapWidth val="182"/>
        <c:axId val="994155968"/>
        <c:axId val="994161792"/>
      </c:barChart>
      <c:catAx>
        <c:axId val="99415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61792"/>
        <c:crosses val="autoZero"/>
        <c:auto val="1"/>
        <c:lblAlgn val="ctr"/>
        <c:lblOffset val="100"/>
        <c:noMultiLvlLbl val="0"/>
      </c:catAx>
      <c:valAx>
        <c:axId val="9941617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5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6</xdr:col>
      <xdr:colOff>19050</xdr:colOff>
      <xdr:row>15</xdr:row>
      <xdr:rowOff>196850</xdr:rowOff>
    </xdr:from>
    <xdr:to>
      <xdr:col>11</xdr:col>
      <xdr:colOff>463550</xdr:colOff>
      <xdr:row>29</xdr:row>
      <xdr:rowOff>95250</xdr:rowOff>
    </xdr:to>
    <xdr:graphicFrame macro="">
      <xdr:nvGraphicFramePr>
        <xdr:cNvPr id="2" name="Chart 1">
          <a:extLst>
            <a:ext uri="{FF2B5EF4-FFF2-40B4-BE49-F238E27FC236}">
              <a16:creationId xmlns:a16="http://schemas.microsoft.com/office/drawing/2014/main" id="{608EE0DE-DFCF-EDE8-B941-A963D9B8CB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151876</xdr:colOff>
      <xdr:row>13</xdr:row>
      <xdr:rowOff>183299</xdr:rowOff>
    </xdr:to>
    <xdr:graphicFrame macro="">
      <xdr:nvGraphicFramePr>
        <xdr:cNvPr id="2" name="Chart 1">
          <a:extLst>
            <a:ext uri="{FF2B5EF4-FFF2-40B4-BE49-F238E27FC236}">
              <a16:creationId xmlns:a16="http://schemas.microsoft.com/office/drawing/2014/main" id="{588533EA-CCA0-864A-9670-0365DE860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131611</xdr:rowOff>
    </xdr:from>
    <xdr:to>
      <xdr:col>5</xdr:col>
      <xdr:colOff>429176</xdr:colOff>
      <xdr:row>29</xdr:row>
      <xdr:rowOff>117994</xdr:rowOff>
    </xdr:to>
    <xdr:graphicFrame macro="">
      <xdr:nvGraphicFramePr>
        <xdr:cNvPr id="3" name="Chart 2">
          <a:extLst>
            <a:ext uri="{FF2B5EF4-FFF2-40B4-BE49-F238E27FC236}">
              <a16:creationId xmlns:a16="http://schemas.microsoft.com/office/drawing/2014/main" id="{CD2A9813-A9CF-B54C-AB63-777094976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648348</xdr:colOff>
      <xdr:row>44</xdr:row>
      <xdr:rowOff>2737</xdr:rowOff>
    </xdr:from>
    <xdr:to>
      <xdr:col>11</xdr:col>
      <xdr:colOff>263421</xdr:colOff>
      <xdr:row>57</xdr:row>
      <xdr:rowOff>184505</xdr:rowOff>
    </xdr:to>
    <xdr:graphicFrame macro="">
      <xdr:nvGraphicFramePr>
        <xdr:cNvPr id="4" name="Chart 3">
          <a:extLst>
            <a:ext uri="{FF2B5EF4-FFF2-40B4-BE49-F238E27FC236}">
              <a16:creationId xmlns:a16="http://schemas.microsoft.com/office/drawing/2014/main" id="{977AE690-9EAE-7945-B8A4-C8BDB218E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29851</xdr:colOff>
      <xdr:row>44</xdr:row>
      <xdr:rowOff>37303</xdr:rowOff>
    </xdr:from>
    <xdr:to>
      <xdr:col>5</xdr:col>
      <xdr:colOff>459027</xdr:colOff>
      <xdr:row>58</xdr:row>
      <xdr:rowOff>23686</xdr:rowOff>
    </xdr:to>
    <xdr:graphicFrame macro="">
      <xdr:nvGraphicFramePr>
        <xdr:cNvPr id="5" name="Chart 4">
          <a:extLst>
            <a:ext uri="{FF2B5EF4-FFF2-40B4-BE49-F238E27FC236}">
              <a16:creationId xmlns:a16="http://schemas.microsoft.com/office/drawing/2014/main" id="{A2D18B9A-96B1-4D48-82AD-D0B3D6EF6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103695</xdr:colOff>
      <xdr:row>29</xdr:row>
      <xdr:rowOff>126897</xdr:rowOff>
    </xdr:from>
    <xdr:to>
      <xdr:col>5</xdr:col>
      <xdr:colOff>532871</xdr:colOff>
      <xdr:row>43</xdr:row>
      <xdr:rowOff>113280</xdr:rowOff>
    </xdr:to>
    <xdr:graphicFrame macro="">
      <xdr:nvGraphicFramePr>
        <xdr:cNvPr id="6" name="Chart 5">
          <a:extLst>
            <a:ext uri="{FF2B5EF4-FFF2-40B4-BE49-F238E27FC236}">
              <a16:creationId xmlns:a16="http://schemas.microsoft.com/office/drawing/2014/main" id="{25A9DC53-DA26-BF4C-84C8-29A9BB1D5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647301</xdr:colOff>
      <xdr:row>29</xdr:row>
      <xdr:rowOff>95998</xdr:rowOff>
    </xdr:from>
    <xdr:to>
      <xdr:col>11</xdr:col>
      <xdr:colOff>262374</xdr:colOff>
      <xdr:row>43</xdr:row>
      <xdr:rowOff>82381</xdr:rowOff>
    </xdr:to>
    <xdr:graphicFrame macro="">
      <xdr:nvGraphicFramePr>
        <xdr:cNvPr id="7" name="Chart 6">
          <a:extLst>
            <a:ext uri="{FF2B5EF4-FFF2-40B4-BE49-F238E27FC236}">
              <a16:creationId xmlns:a16="http://schemas.microsoft.com/office/drawing/2014/main" id="{18848008-E590-CB4F-ACD4-D924CBAE0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668774</xdr:colOff>
      <xdr:row>14</xdr:row>
      <xdr:rowOff>141037</xdr:rowOff>
    </xdr:from>
    <xdr:to>
      <xdr:col>11</xdr:col>
      <xdr:colOff>283847</xdr:colOff>
      <xdr:row>28</xdr:row>
      <xdr:rowOff>127420</xdr:rowOff>
    </xdr:to>
    <xdr:graphicFrame macro="">
      <xdr:nvGraphicFramePr>
        <xdr:cNvPr id="8" name="Chart 7">
          <a:extLst>
            <a:ext uri="{FF2B5EF4-FFF2-40B4-BE49-F238E27FC236}">
              <a16:creationId xmlns:a16="http://schemas.microsoft.com/office/drawing/2014/main" id="{E078B74D-8D35-6244-99BA-F5DC85694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674077</xdr:colOff>
      <xdr:row>0</xdr:row>
      <xdr:rowOff>88899</xdr:rowOff>
    </xdr:from>
    <xdr:to>
      <xdr:col>13</xdr:col>
      <xdr:colOff>350064</xdr:colOff>
      <xdr:row>14</xdr:row>
      <xdr:rowOff>96715</xdr:rowOff>
    </xdr:to>
    <xdr:graphicFrame macro="">
      <xdr:nvGraphicFramePr>
        <xdr:cNvPr id="9" name="Chart 8">
          <a:extLst>
            <a:ext uri="{FF2B5EF4-FFF2-40B4-BE49-F238E27FC236}">
              <a16:creationId xmlns:a16="http://schemas.microsoft.com/office/drawing/2014/main" id="{F6D4A2FF-E7C1-1D48-8738-4EB37B8E9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12700</xdr:colOff>
      <xdr:row>3</xdr:row>
      <xdr:rowOff>0</xdr:rowOff>
    </xdr:from>
    <xdr:to>
      <xdr:col>8</xdr:col>
      <xdr:colOff>457200</xdr:colOff>
      <xdr:row>16</xdr:row>
      <xdr:rowOff>101600</xdr:rowOff>
    </xdr:to>
    <xdr:graphicFrame macro="">
      <xdr:nvGraphicFramePr>
        <xdr:cNvPr id="2" name="Chart 1">
          <a:extLst>
            <a:ext uri="{FF2B5EF4-FFF2-40B4-BE49-F238E27FC236}">
              <a16:creationId xmlns:a16="http://schemas.microsoft.com/office/drawing/2014/main" id="{5E28AB97-CC97-A6CB-47F1-153F434B8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800100</xdr:colOff>
      <xdr:row>42</xdr:row>
      <xdr:rowOff>107950</xdr:rowOff>
    </xdr:from>
    <xdr:to>
      <xdr:col>13</xdr:col>
      <xdr:colOff>419100</xdr:colOff>
      <xdr:row>56</xdr:row>
      <xdr:rowOff>6350</xdr:rowOff>
    </xdr:to>
    <xdr:graphicFrame macro="">
      <xdr:nvGraphicFramePr>
        <xdr:cNvPr id="4" name="Chart 3">
          <a:extLst>
            <a:ext uri="{FF2B5EF4-FFF2-40B4-BE49-F238E27FC236}">
              <a16:creationId xmlns:a16="http://schemas.microsoft.com/office/drawing/2014/main" id="{09691059-9ACA-9F2A-F86E-83A187012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127654</xdr:colOff>
      <xdr:row>43</xdr:row>
      <xdr:rowOff>50866</xdr:rowOff>
    </xdr:from>
    <xdr:to>
      <xdr:col>13</xdr:col>
      <xdr:colOff>571500</xdr:colOff>
      <xdr:row>56</xdr:row>
      <xdr:rowOff>158750</xdr:rowOff>
    </xdr:to>
    <xdr:graphicFrame macro="">
      <xdr:nvGraphicFramePr>
        <xdr:cNvPr id="5" name="Chart 4">
          <a:extLst>
            <a:ext uri="{FF2B5EF4-FFF2-40B4-BE49-F238E27FC236}">
              <a16:creationId xmlns:a16="http://schemas.microsoft.com/office/drawing/2014/main" id="{98C605D4-06CB-E512-6DD9-83A3132127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790672</xdr:colOff>
      <xdr:row>70</xdr:row>
      <xdr:rowOff>150894</xdr:rowOff>
    </xdr:from>
    <xdr:to>
      <xdr:col>19</xdr:col>
      <xdr:colOff>409673</xdr:colOff>
      <xdr:row>84</xdr:row>
      <xdr:rowOff>49294</xdr:rowOff>
    </xdr:to>
    <xdr:graphicFrame macro="">
      <xdr:nvGraphicFramePr>
        <xdr:cNvPr id="6" name="Chart 5">
          <a:extLst>
            <a:ext uri="{FF2B5EF4-FFF2-40B4-BE49-F238E27FC236}">
              <a16:creationId xmlns:a16="http://schemas.microsoft.com/office/drawing/2014/main" id="{7F9B8BDB-29E5-E41F-A39C-6DDFC81B8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157505</xdr:colOff>
      <xdr:row>70</xdr:row>
      <xdr:rowOff>185460</xdr:rowOff>
    </xdr:from>
    <xdr:to>
      <xdr:col>13</xdr:col>
      <xdr:colOff>601351</xdr:colOff>
      <xdr:row>84</xdr:row>
      <xdr:rowOff>83860</xdr:rowOff>
    </xdr:to>
    <xdr:graphicFrame macro="">
      <xdr:nvGraphicFramePr>
        <xdr:cNvPr id="7" name="Chart 6">
          <a:extLst>
            <a:ext uri="{FF2B5EF4-FFF2-40B4-BE49-F238E27FC236}">
              <a16:creationId xmlns:a16="http://schemas.microsoft.com/office/drawing/2014/main" id="{B561DA8C-F62B-3F48-1F5C-6E3CDD69EA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231349</xdr:colOff>
      <xdr:row>56</xdr:row>
      <xdr:rowOff>167653</xdr:rowOff>
    </xdr:from>
    <xdr:to>
      <xdr:col>13</xdr:col>
      <xdr:colOff>675195</xdr:colOff>
      <xdr:row>70</xdr:row>
      <xdr:rowOff>66052</xdr:rowOff>
    </xdr:to>
    <xdr:graphicFrame macro="">
      <xdr:nvGraphicFramePr>
        <xdr:cNvPr id="8" name="Chart 7">
          <a:extLst>
            <a:ext uri="{FF2B5EF4-FFF2-40B4-BE49-F238E27FC236}">
              <a16:creationId xmlns:a16="http://schemas.microsoft.com/office/drawing/2014/main" id="{B567EDDB-4C0C-EE51-12D9-A6A0E1B4AE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789625</xdr:colOff>
      <xdr:row>56</xdr:row>
      <xdr:rowOff>136754</xdr:rowOff>
    </xdr:from>
    <xdr:to>
      <xdr:col>19</xdr:col>
      <xdr:colOff>408626</xdr:colOff>
      <xdr:row>70</xdr:row>
      <xdr:rowOff>35153</xdr:rowOff>
    </xdr:to>
    <xdr:graphicFrame macro="">
      <xdr:nvGraphicFramePr>
        <xdr:cNvPr id="9" name="Chart 8">
          <a:extLst>
            <a:ext uri="{FF2B5EF4-FFF2-40B4-BE49-F238E27FC236}">
              <a16:creationId xmlns:a16="http://schemas.microsoft.com/office/drawing/2014/main" id="{1E9AD8BC-E66A-6A9F-A2D0-B69CBA486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811098</xdr:colOff>
      <xdr:row>42</xdr:row>
      <xdr:rowOff>66576</xdr:rowOff>
    </xdr:from>
    <xdr:to>
      <xdr:col>19</xdr:col>
      <xdr:colOff>430099</xdr:colOff>
      <xdr:row>55</xdr:row>
      <xdr:rowOff>174461</xdr:rowOff>
    </xdr:to>
    <xdr:graphicFrame macro="">
      <xdr:nvGraphicFramePr>
        <xdr:cNvPr id="10" name="Chart 9">
          <a:extLst>
            <a:ext uri="{FF2B5EF4-FFF2-40B4-BE49-F238E27FC236}">
              <a16:creationId xmlns:a16="http://schemas.microsoft.com/office/drawing/2014/main" id="{39C1DAAC-5213-61A5-CD6D-8F59BF6CC1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art rimell" refreshedDate="46097.670051273148" createdVersion="8" refreshedVersion="8" minRefreshableVersion="3" recordCount="110" xr:uid="{8DD3D0A2-60CE-C14D-9421-30D284CC50FA}">
  <cacheSource type="worksheet">
    <worksheetSource ref="A1:AS1048576" sheet="dominos_sessions_for_dragging_i"/>
  </cacheSource>
  <cacheFields count="45">
    <cacheField name="session_start" numFmtId="0">
      <sharedItems containsBlank="1"/>
    </cacheField>
    <cacheField name="month" numFmtId="0">
      <sharedItems containsNonDate="0" containsDate="1" containsString="0" containsBlank="1" minDate="2025-07-01T00:00:00" maxDate="2026-03-02T00:00:00" count="10">
        <d v="2025-07-01T00:00:00"/>
        <d v="2025-08-01T00:00:00"/>
        <d v="2025-09-01T00:00:00"/>
        <d v="2025-10-01T00:00:00"/>
        <d v="2025-11-01T00:00:00"/>
        <d v="2025-12-01T00:00:00"/>
        <d v="2026-01-01T00:00:00"/>
        <d v="2026-02-01T00:00:00"/>
        <d v="2026-03-01T00:00:00"/>
        <m/>
      </sharedItems>
    </cacheField>
    <cacheField name="day_of_week" numFmtId="0">
      <sharedItems containsBlank="1"/>
    </cacheField>
    <cacheField name="duration" numFmtId="0">
      <sharedItems containsNonDate="0" containsDate="1" containsString="0" containsBlank="1" minDate="1899-12-30T00:07:33" maxDate="1899-12-30T00:40:03"/>
    </cacheField>
    <cacheField name="level" numFmtId="0">
      <sharedItems containsString="0" containsBlank="1" containsNumber="1" containsInteger="1" minValue="3" maxValue="33"/>
    </cacheField>
    <cacheField name="name" numFmtId="0">
      <sharedItems containsBlank="1"/>
    </cacheField>
    <cacheField name="player" numFmtId="0">
      <sharedItems containsBlank="1" count="14">
        <s v="swetha.nayudu"/>
        <s v="yeshwanth.tp"/>
        <s v="pradeep.c"/>
        <s v="ramesh.matta"/>
        <s v="praveen.sadul"/>
        <s v="anandaraj.mani"/>
        <s v="vallabh.vyas"/>
        <s v="latif.khan"/>
        <s v="gowthamkumar.b"/>
        <s v="vaishnavi.b"/>
        <s v="gregg.winkel"/>
        <s v="ranjan.padhi"/>
        <s v="chris.watts"/>
        <m/>
      </sharedItems>
    </cacheField>
    <cacheField name="completion_status" numFmtId="0">
      <sharedItems containsBlank="1"/>
    </cacheField>
    <cacheField name="identify_scope" numFmtId="0">
      <sharedItems containsString="0" containsBlank="1" containsNumber="1" minValue="0.11111111111111099" maxValue="0.88888888888888795"/>
    </cacheField>
    <cacheField name="incident_mechanics" numFmtId="0">
      <sharedItems containsString="0" containsBlank="1" containsNumber="1" minValue="0" maxValue="1"/>
    </cacheField>
    <cacheField name="external_comms" numFmtId="0">
      <sharedItems containsString="0" containsBlank="1" containsNumber="1" minValue="0.16666666666666599" maxValue="0.83333333333333304"/>
    </cacheField>
    <cacheField name="internal_comms" numFmtId="0">
      <sharedItems containsString="0" containsBlank="1" containsNumber="1" minValue="0" maxValue="0.86666666666666603"/>
    </cacheField>
    <cacheField name="commanding_the_incident" numFmtId="0">
      <sharedItems containsString="0" containsBlank="1" containsNumber="1" minValue="0" maxValue="0.72727272727272696"/>
    </cacheField>
    <cacheField name="Complexity: Ambiguous cues (multiple alternatives)" numFmtId="0">
      <sharedItems containsString="0" containsBlank="1" containsNumber="1" containsInteger="1" minValue="0" maxValue="1"/>
    </cacheField>
    <cacheField name="Complexity: Attention Demands" numFmtId="0">
      <sharedItems containsString="0" containsBlank="1" containsNumber="1" containsInteger="1" minValue="0" maxValue="1"/>
    </cacheField>
    <cacheField name="Complexity: Conflicting Advice" numFmtId="0">
      <sharedItems containsString="0" containsBlank="1" containsNumber="1" containsInteger="1" minValue="0" maxValue="1"/>
    </cacheField>
    <cacheField name="Complexity: Decreased access to team members" numFmtId="0">
      <sharedItems containsString="0" containsBlank="1" containsNumber="1" containsInteger="1" minValue="0" maxValue="1"/>
    </cacheField>
    <cacheField name="Complexity: Distributed information across individuals/organiza" numFmtId="0">
      <sharedItems containsString="0" containsBlank="1" containsNumber="1" containsInteger="1" minValue="0" maxValue="1"/>
    </cacheField>
    <cacheField name="Complexity: Doublebind situations (dilemmas)" numFmtId="0">
      <sharedItems containsString="0" containsBlank="1" containsNumber="1" containsInteger="1" minValue="0" maxValue="1"/>
    </cacheField>
    <cacheField name="Complexity: False prime explanations (garden path)" numFmtId="0">
      <sharedItems containsString="0" containsBlank="1" containsNumber="1" containsInteger="1" minValue="0" maxValue="1"/>
    </cacheField>
    <cacheField name="Complexity: Hidden coupling (effects at a distance; cascading e" numFmtId="0">
      <sharedItems containsString="0" containsBlank="1" containsNumber="1" containsInteger="1" minValue="0" maxValue="1"/>
    </cacheField>
    <cacheField name="Complexity: Implied relationship (red herring)" numFmtId="0">
      <sharedItems containsString="0" containsBlank="1" containsNumber="1" containsInteger="1" minValue="0" maxValue="1"/>
    </cacheField>
    <cacheField name="Complexity: Interdependencies amongst roles (someone needs some" numFmtId="0">
      <sharedItems containsString="0" containsBlank="1" containsNumber="1" containsInteger="1" minValue="0" maxValue="1"/>
    </cacheField>
    <cacheField name="Complexity: Lack of predefined plan" numFmtId="0">
      <sharedItems containsString="0" containsBlank="1" containsNumber="1" containsInteger="1" minValue="0" maxValue="1"/>
    </cacheField>
    <cacheField name="Complexity: Misleading indicators (low predictive value)" numFmtId="0">
      <sharedItems containsString="0" containsBlank="1" containsNumber="1" containsInteger="1" minValue="0" maxValue="1"/>
    </cacheField>
    <cacheField name="Complexity: Mismatch between prede fined plans or procedures an" numFmtId="0">
      <sharedItems containsString="0" containsBlank="1" containsNumber="1" containsInteger="1" minValue="0" maxValue="1"/>
    </cacheField>
    <cacheField name="Complexity: Missing Information" numFmtId="0">
      <sharedItems containsString="0" containsBlank="1" containsNumber="1" containsInteger="1" minValue="0" maxValue="1"/>
    </cacheField>
    <cacheField name="Complexity: Multi Party Dilema" numFmtId="0">
      <sharedItems containsString="0" containsBlank="1" containsNumber="1" containsInteger="1" minValue="0" maxValue="1"/>
    </cacheField>
    <cacheField name="Complexity: Multiple simultaneous influences (more than one exp" numFmtId="0">
      <sharedItems containsString="0" containsBlank="1" containsNumber="1" containsInteger="1" minValue="0" maxValue="0"/>
    </cacheField>
    <cacheField name="Complexity: Multiple simultaneous influences (multiple explanat" numFmtId="0">
      <sharedItems containsString="0" containsBlank="1" containsNumber="1" containsInteger="1" minValue="0" maxValue="1"/>
    </cacheField>
    <cacheField name="Complexity: Saturation" numFmtId="0">
      <sharedItems containsString="0" containsBlank="1" containsNumber="1" containsInteger="1" minValue="0" maxValue="1"/>
    </cacheField>
    <cacheField name="Complexity: Simultaneous seperate issues" numFmtId="0">
      <sharedItems containsString="0" containsBlank="1" containsNumber="1" containsInteger="1" minValue="0" maxValue="1"/>
    </cacheField>
    <cacheField name="Complexity: Stakeholder Interference" numFmtId="0">
      <sharedItems containsString="0" containsBlank="1" containsNumber="1" containsInteger="1" minValue="0" maxValue="1"/>
    </cacheField>
    <cacheField name="Complexity: Stereotype violations (not the usual suspect)" numFmtId="0">
      <sharedItems containsString="0" containsBlank="1" containsNumber="1" containsInteger="1" minValue="0" maxValue="1"/>
    </cacheField>
    <cacheField name="Complexity: Stress or fatigue" numFmtId="0">
      <sharedItems containsString="0" containsBlank="1" containsNumber="1" containsInteger="1" minValue="0" maxValue="1"/>
    </cacheField>
    <cacheField name="Complexity: Uncertain information (unreliable data)" numFmtId="0">
      <sharedItems containsString="0" containsBlank="1" containsNumber="1" containsInteger="1" minValue="0" maxValue="1"/>
    </cacheField>
    <cacheField name="Complexity: Unintended effects (managing side effects)" numFmtId="0">
      <sharedItems containsString="0" containsBlank="1" containsNumber="1" containsInteger="1" minValue="0" maxValue="1"/>
    </cacheField>
    <cacheField name="Complexity: Absence of strong signals (no alarms, no threshold" numFmtId="0">
      <sharedItems containsString="0" containsBlank="1" containsNumber="1" containsInteger="1" minValue="0" maxValue="1"/>
    </cacheField>
    <cacheField name="max" numFmtId="0">
      <sharedItems containsBlank="1"/>
    </cacheField>
    <cacheField name="Category: Detecting" numFmtId="0">
      <sharedItems containsString="0" containsBlank="1" containsNumber="1" containsInteger="1" minValue="0" maxValue="1"/>
    </cacheField>
    <cacheField name="Category: Sensemaking" numFmtId="0">
      <sharedItems containsString="0" containsBlank="1" containsNumber="1" containsInteger="1" minValue="0" maxValue="4"/>
    </cacheField>
    <cacheField name="Category: Planning" numFmtId="0">
      <sharedItems containsString="0" containsBlank="1" containsNumber="1" containsInteger="1" minValue="0" maxValue="2"/>
    </cacheField>
    <cacheField name="Category: Deciding" numFmtId="0">
      <sharedItems containsString="0" containsBlank="1" containsNumber="1" containsInteger="1" minValue="0" maxValue="2"/>
    </cacheField>
    <cacheField name="Category: Coordination" numFmtId="0">
      <sharedItems containsString="0" containsBlank="1" containsNumber="1" containsInteger="1" minValue="0" maxValue="2"/>
    </cacheField>
    <cacheField name="Category: Executing"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art rimell" refreshedDate="46097.680704861108" createdVersion="8" refreshedVersion="8" minRefreshableVersion="3" recordCount="277" xr:uid="{ECDE6736-DE6E-6040-829D-389795AAF5A1}">
  <cacheSource type="worksheet">
    <worksheetSource ref="A1:V1048576" sheet="dominos airtable"/>
  </cacheSource>
  <cacheFields count="22">
    <cacheField name="Date" numFmtId="0">
      <sharedItems containsNonDate="0" containsDate="1" containsString="0" containsBlank="1" minDate="2024-10-22T00:00:00" maxDate="2026-03-21T00:00:00"/>
    </cacheField>
    <cacheField name="Month" numFmtId="0">
      <sharedItems containsNonDate="0" containsDate="1" containsString="0" containsBlank="1" minDate="2024-10-01T00:00:00" maxDate="2026-03-02T00:00:00" count="13">
        <d v="2024-10-01T00:00:00"/>
        <d v="2024-11-01T00:00:00"/>
        <d v="2024-12-01T00:00:00"/>
        <d v="2025-07-01T00:00:00"/>
        <d v="2025-08-01T00:00:00"/>
        <d v="2025-09-01T00:00:00"/>
        <d v="2025-10-01T00:00:00"/>
        <d v="2025-11-01T00:00:00"/>
        <d v="2025-12-01T00:00:00"/>
        <d v="2026-01-01T00:00:00"/>
        <d v="2026-02-01T00:00:00"/>
        <d v="2026-03-01T00:00:00"/>
        <m/>
      </sharedItems>
    </cacheField>
    <cacheField name="Time" numFmtId="0">
      <sharedItems containsNonDate="0" containsDate="1" containsString="0" containsBlank="1" minDate="1899-12-30T10:00:00" maxDate="1899-12-30T16:00:00"/>
    </cacheField>
    <cacheField name="Name" numFmtId="0">
      <sharedItems containsBlank="1"/>
    </cacheField>
    <cacheField name="Company" numFmtId="0">
      <sharedItems containsBlank="1"/>
    </cacheField>
    <cacheField name="Sessions Done" numFmtId="0">
      <sharedItems containsString="0" containsBlank="1" containsNumber="1" containsInteger="1" minValue="1" maxValue="17"/>
    </cacheField>
    <cacheField name="Session Plan" numFmtId="0">
      <sharedItems containsBlank="1"/>
    </cacheField>
    <cacheField name="AI" numFmtId="0">
      <sharedItems containsBlank="1"/>
    </cacheField>
    <cacheField name="Lead" numFmtId="0">
      <sharedItems containsBlank="1"/>
    </cacheField>
    <cacheField name="Star Guru" numFmtId="0">
      <sharedItems containsBlank="1"/>
    </cacheField>
    <cacheField name="Session Notes" numFmtId="0">
      <sharedItems containsBlank="1"/>
    </cacheField>
    <cacheField name="GUOT" numFmtId="0">
      <sharedItems containsBlank="1" containsMixedTypes="1" containsNumber="1" containsInteger="1" minValue="6" maxValue="10"/>
    </cacheField>
    <cacheField name="Score Notes" numFmtId="0">
      <sharedItems containsBlank="1" longText="1"/>
    </cacheField>
    <cacheField name="Session ID" numFmtId="0">
      <sharedItems containsString="0" containsBlank="1" containsNumber="1" containsInteger="1" minValue="4915" maxValue="7975"/>
    </cacheField>
    <cacheField name="Feedback Quality Score" numFmtId="0">
      <sharedItems containsNonDate="0" containsString="0" containsBlank="1"/>
    </cacheField>
    <cacheField name="Feedback Notes" numFmtId="0">
      <sharedItems containsNonDate="0" containsString="0" containsBlank="1"/>
    </cacheField>
    <cacheField name="Attendance" numFmtId="0">
      <sharedItems containsBlank="1"/>
    </cacheField>
    <cacheField name="Attendance Reason" numFmtId="0">
      <sharedItems containsBlank="1"/>
    </cacheField>
    <cacheField name="INC #" numFmtId="0">
      <sharedItems containsBlank="1"/>
    </cacheField>
    <cacheField name="Technical Issues" numFmtId="0">
      <sharedItems containsBlank="1"/>
    </cacheField>
    <cacheField name="Technical Issue Reason" numFmtId="0">
      <sharedItems containsBlank="1"/>
    </cacheField>
    <cacheField name="Notes for Mildre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
  <r>
    <s v="2025-07-09 01:00:00.000 +0100"/>
    <x v="0"/>
    <s v="Wednesday"/>
    <d v="1899-12-30T00:13:29"/>
    <n v="3"/>
    <s v="Too Good To Be True"/>
    <x v="0"/>
    <s v="COMPLETED"/>
    <n v="0.33333333333333298"/>
    <n v="1"/>
    <n v="0.83333333333333304"/>
    <n v="0.4"/>
    <n v="9.0909090909090898E-2"/>
    <n v="0"/>
    <n v="0"/>
    <n v="1"/>
    <n v="0"/>
    <n v="0"/>
    <n v="0"/>
    <n v="0"/>
    <n v="0"/>
    <n v="0"/>
    <n v="0"/>
    <n v="0"/>
    <n v="0"/>
    <n v="0"/>
    <n v="0"/>
    <n v="0"/>
    <n v="0"/>
    <n v="0"/>
    <n v="0"/>
    <n v="0"/>
    <n v="0"/>
    <n v="0"/>
    <n v="0"/>
    <n v="1"/>
    <n v="0"/>
    <n v="0"/>
    <s v="-"/>
    <n v="0"/>
    <n v="1"/>
    <n v="2"/>
    <n v="0"/>
    <n v="0"/>
    <n v="0"/>
  </r>
  <r>
    <s v="2025-07-10 01:00:00.000 +0100"/>
    <x v="0"/>
    <s v="Thursday "/>
    <d v="1899-12-30T00:14:01"/>
    <n v="3"/>
    <s v="Too Good To Be True"/>
    <x v="1"/>
    <s v="COMPLETED"/>
    <n v="0.44444444444444398"/>
    <n v="0.5"/>
    <n v="0.66666666666666596"/>
    <n v="0.4"/>
    <n v="0.27272727272727199"/>
    <n v="0"/>
    <n v="0"/>
    <n v="1"/>
    <n v="0"/>
    <n v="0"/>
    <n v="0"/>
    <n v="0"/>
    <n v="0"/>
    <n v="0"/>
    <n v="0"/>
    <n v="0"/>
    <n v="0"/>
    <n v="0"/>
    <n v="0"/>
    <n v="0"/>
    <n v="0"/>
    <n v="0"/>
    <n v="0"/>
    <n v="0"/>
    <n v="0"/>
    <n v="0"/>
    <n v="0"/>
    <n v="1"/>
    <n v="0"/>
    <n v="0"/>
    <s v="-"/>
    <n v="0"/>
    <n v="1"/>
    <n v="2"/>
    <n v="0"/>
    <n v="0"/>
    <n v="0"/>
  </r>
  <r>
    <s v="2025-07-14 01:00:00.000 +0100"/>
    <x v="0"/>
    <s v="Monday   "/>
    <d v="1899-12-30T00:16:59"/>
    <n v="3"/>
    <s v="Too Good To Be True"/>
    <x v="2"/>
    <s v="COMPLETED"/>
    <n v="0.77777777777777701"/>
    <n v="1"/>
    <n v="0.66666666666666596"/>
    <n v="0.53333333333333299"/>
    <n v="0.36363636363636298"/>
    <n v="0"/>
    <n v="0"/>
    <n v="1"/>
    <n v="0"/>
    <n v="0"/>
    <n v="0"/>
    <n v="0"/>
    <n v="0"/>
    <n v="0"/>
    <n v="0"/>
    <n v="0"/>
    <n v="0"/>
    <n v="0"/>
    <n v="0"/>
    <n v="0"/>
    <n v="0"/>
    <n v="0"/>
    <n v="0"/>
    <n v="0"/>
    <n v="0"/>
    <n v="0"/>
    <n v="0"/>
    <n v="1"/>
    <n v="0"/>
    <n v="0"/>
    <s v="-"/>
    <n v="0"/>
    <n v="1"/>
    <n v="2"/>
    <n v="0"/>
    <n v="0"/>
    <n v="0"/>
  </r>
  <r>
    <s v="2025-07-17 01:00:00.000 +0100"/>
    <x v="0"/>
    <s v="Thursday "/>
    <d v="1899-12-30T00:20:02"/>
    <n v="5"/>
    <s v="Bezs Beatles Day!"/>
    <x v="1"/>
    <s v="OUT_OF_TIME"/>
    <n v="0.22222222222222199"/>
    <n v="1"/>
    <n v="0.66666666666666596"/>
    <n v="0.2"/>
    <n v="9.0909090909090898E-2"/>
    <n v="0"/>
    <n v="0"/>
    <n v="1"/>
    <n v="0"/>
    <n v="0"/>
    <n v="0"/>
    <n v="0"/>
    <n v="0"/>
    <n v="0"/>
    <n v="0"/>
    <n v="0"/>
    <n v="1"/>
    <n v="0"/>
    <n v="0"/>
    <n v="0"/>
    <n v="0"/>
    <n v="0"/>
    <n v="0"/>
    <n v="0"/>
    <n v="0"/>
    <n v="0"/>
    <n v="0"/>
    <n v="0"/>
    <n v="0"/>
    <n v="0"/>
    <s v="-"/>
    <n v="0"/>
    <n v="1"/>
    <n v="1"/>
    <n v="0"/>
    <n v="0"/>
    <n v="0"/>
  </r>
  <r>
    <s v="2025-07-23 01:00:00.000 +0100"/>
    <x v="0"/>
    <s v="Wednesday"/>
    <d v="1899-12-30T00:15:40"/>
    <n v="5"/>
    <s v="Bezs Beatles Day!"/>
    <x v="0"/>
    <s v="COMPLETED"/>
    <n v="0.44444444444444398"/>
    <n v="1"/>
    <n v="0.83333333333333304"/>
    <n v="0.33333333333333298"/>
    <n v="9.0909090909090898E-2"/>
    <n v="0"/>
    <n v="0"/>
    <n v="1"/>
    <n v="0"/>
    <n v="0"/>
    <n v="0"/>
    <n v="0"/>
    <n v="0"/>
    <n v="0"/>
    <n v="0"/>
    <n v="0"/>
    <n v="1"/>
    <n v="0"/>
    <n v="0"/>
    <n v="0"/>
    <n v="0"/>
    <n v="0"/>
    <n v="0"/>
    <n v="0"/>
    <n v="0"/>
    <n v="0"/>
    <n v="0"/>
    <n v="0"/>
    <n v="0"/>
    <n v="0"/>
    <s v="-"/>
    <n v="0"/>
    <n v="1"/>
    <n v="1"/>
    <n v="0"/>
    <n v="0"/>
    <n v="0"/>
  </r>
  <r>
    <s v="2025-07-23 01:00:00.000 +0100"/>
    <x v="0"/>
    <s v="Wednesday"/>
    <d v="1899-12-30T00:18:01"/>
    <n v="29"/>
    <s v="Too Good To Be True V2"/>
    <x v="3"/>
    <s v="COMPLETED"/>
    <n v="0.33333333333333298"/>
    <n v="0.5"/>
    <n v="0.5"/>
    <n v="0.266666666666666"/>
    <n v="9.0909090909090898E-2"/>
    <n v="0"/>
    <n v="0"/>
    <n v="1"/>
    <n v="0"/>
    <n v="0"/>
    <n v="0"/>
    <n v="0"/>
    <n v="0"/>
    <n v="0"/>
    <n v="0"/>
    <n v="0"/>
    <n v="0"/>
    <n v="0"/>
    <n v="0"/>
    <n v="0"/>
    <n v="0"/>
    <n v="0"/>
    <n v="0"/>
    <n v="0"/>
    <n v="0"/>
    <n v="0"/>
    <n v="0"/>
    <n v="1"/>
    <n v="0"/>
    <n v="0"/>
    <s v="-"/>
    <n v="0"/>
    <n v="1"/>
    <n v="2"/>
    <n v="0"/>
    <n v="0"/>
    <n v="0"/>
  </r>
  <r>
    <s v="2025-07-24 01:00:00.000 +0100"/>
    <x v="0"/>
    <s v="Thursday "/>
    <d v="1899-12-30T00:20:02"/>
    <n v="5"/>
    <s v="Bezs Beatles Day!"/>
    <x v="2"/>
    <s v="OUT_OF_TIME"/>
    <n v="0.55555555555555503"/>
    <n v="1"/>
    <n v="0.83333333333333304"/>
    <n v="0.4"/>
    <n v="0.36363636363636298"/>
    <n v="0"/>
    <n v="0"/>
    <n v="1"/>
    <n v="0"/>
    <n v="0"/>
    <n v="0"/>
    <n v="0"/>
    <n v="0"/>
    <n v="0"/>
    <n v="0"/>
    <n v="0"/>
    <n v="1"/>
    <n v="0"/>
    <n v="0"/>
    <n v="0"/>
    <n v="0"/>
    <n v="0"/>
    <n v="0"/>
    <n v="0"/>
    <n v="0"/>
    <n v="0"/>
    <n v="0"/>
    <n v="0"/>
    <n v="0"/>
    <n v="0"/>
    <s v="-"/>
    <n v="0"/>
    <n v="1"/>
    <n v="1"/>
    <n v="0"/>
    <n v="0"/>
    <n v="0"/>
  </r>
  <r>
    <s v="2025-07-28 01:00:00.000 +0100"/>
    <x v="0"/>
    <s v="Monday   "/>
    <d v="1899-12-30T00:20:46"/>
    <n v="6"/>
    <s v="The Big Investor"/>
    <x v="2"/>
    <s v="COMPLETED"/>
    <n v="0.44444444444444398"/>
    <n v="0.5"/>
    <n v="0.83333333333333304"/>
    <n v="0.46666666666666601"/>
    <n v="0.27272727272727199"/>
    <n v="0"/>
    <n v="0"/>
    <n v="0"/>
    <n v="0"/>
    <n v="0"/>
    <n v="0"/>
    <n v="0"/>
    <n v="0"/>
    <n v="1"/>
    <n v="0"/>
    <n v="0"/>
    <n v="0"/>
    <n v="0"/>
    <n v="0"/>
    <n v="0"/>
    <n v="0"/>
    <n v="0"/>
    <n v="0"/>
    <n v="0"/>
    <n v="1"/>
    <n v="1"/>
    <n v="1"/>
    <n v="0"/>
    <n v="0"/>
    <n v="0"/>
    <s v="-"/>
    <n v="0"/>
    <n v="2"/>
    <n v="0"/>
    <n v="2"/>
    <n v="0"/>
    <n v="0"/>
  </r>
  <r>
    <s v="2025-07-30 01:00:00.000 +0100"/>
    <x v="0"/>
    <s v="Wednesday"/>
    <d v="1899-12-30T00:20:02"/>
    <n v="5"/>
    <s v="Bezs Beatles Day!"/>
    <x v="3"/>
    <s v="OUT_OF_TIME"/>
    <n v="0.33333333333333298"/>
    <n v="1"/>
    <n v="0.5"/>
    <n v="0.33333333333333298"/>
    <n v="0.27272727272727199"/>
    <n v="0"/>
    <n v="0"/>
    <n v="1"/>
    <n v="0"/>
    <n v="0"/>
    <n v="0"/>
    <n v="0"/>
    <n v="0"/>
    <n v="0"/>
    <n v="0"/>
    <n v="0"/>
    <n v="1"/>
    <n v="0"/>
    <n v="0"/>
    <n v="0"/>
    <n v="0"/>
    <n v="0"/>
    <n v="0"/>
    <n v="0"/>
    <n v="0"/>
    <n v="0"/>
    <n v="0"/>
    <n v="0"/>
    <n v="0"/>
    <n v="0"/>
    <s v="-"/>
    <n v="0"/>
    <n v="1"/>
    <n v="1"/>
    <n v="0"/>
    <n v="0"/>
    <n v="0"/>
  </r>
  <r>
    <s v="2025-07-30 01:00:00.000 +0100"/>
    <x v="0"/>
    <s v="Wednesday"/>
    <d v="1899-12-30T00:17:15"/>
    <n v="6"/>
    <s v="The Big Investor"/>
    <x v="0"/>
    <s v="COMPLETED"/>
    <n v="0.55555555555555503"/>
    <n v="1"/>
    <n v="0.66666666666666596"/>
    <n v="0.33333333333333298"/>
    <n v="0.36363636363636298"/>
    <n v="0"/>
    <n v="0"/>
    <n v="0"/>
    <n v="0"/>
    <n v="0"/>
    <n v="0"/>
    <n v="0"/>
    <n v="0"/>
    <n v="1"/>
    <n v="0"/>
    <n v="0"/>
    <n v="0"/>
    <n v="0"/>
    <n v="0"/>
    <n v="0"/>
    <n v="0"/>
    <n v="0"/>
    <n v="0"/>
    <n v="0"/>
    <n v="1"/>
    <n v="1"/>
    <n v="1"/>
    <n v="0"/>
    <n v="0"/>
    <n v="0"/>
    <s v="-"/>
    <n v="0"/>
    <n v="2"/>
    <n v="0"/>
    <n v="2"/>
    <n v="0"/>
    <n v="0"/>
  </r>
  <r>
    <s v="2025-08-04 01:00:00.000 +0100"/>
    <x v="1"/>
    <s v="Monday   "/>
    <d v="1899-12-30T00:19:31"/>
    <n v="7"/>
    <s v="Rumours"/>
    <x v="2"/>
    <s v="COMPLETED"/>
    <n v="0.55555555555555503"/>
    <n v="1"/>
    <n v="0.5"/>
    <n v="0.2"/>
    <n v="9.0909090909090898E-2"/>
    <n v="0"/>
    <n v="0"/>
    <n v="0"/>
    <n v="0"/>
    <n v="0"/>
    <n v="0"/>
    <n v="1"/>
    <n v="0"/>
    <n v="1"/>
    <n v="0"/>
    <n v="0"/>
    <n v="0"/>
    <n v="0"/>
    <n v="0"/>
    <n v="0"/>
    <n v="0"/>
    <n v="0"/>
    <n v="0"/>
    <n v="0"/>
    <n v="0"/>
    <n v="0"/>
    <n v="1"/>
    <n v="0"/>
    <n v="0"/>
    <n v="0"/>
    <s v="-"/>
    <n v="0"/>
    <n v="2"/>
    <n v="0"/>
    <n v="1"/>
    <n v="0"/>
    <n v="0"/>
  </r>
  <r>
    <s v="2025-08-07 01:00:00.000 +0100"/>
    <x v="1"/>
    <s v="Thursday "/>
    <d v="1899-12-30T00:20:01"/>
    <n v="6"/>
    <s v="The Big Investor"/>
    <x v="1"/>
    <s v="OUT_OF_TIME"/>
    <n v="0.22222222222222199"/>
    <n v="1"/>
    <n v="0.5"/>
    <n v="0.266666666666666"/>
    <n v="9.0909090909090898E-2"/>
    <n v="0"/>
    <n v="0"/>
    <n v="0"/>
    <n v="0"/>
    <n v="0"/>
    <n v="0"/>
    <n v="0"/>
    <n v="0"/>
    <n v="1"/>
    <n v="0"/>
    <n v="0"/>
    <n v="0"/>
    <n v="0"/>
    <n v="0"/>
    <n v="0"/>
    <n v="0"/>
    <n v="0"/>
    <n v="0"/>
    <n v="0"/>
    <n v="1"/>
    <n v="1"/>
    <n v="1"/>
    <n v="0"/>
    <n v="0"/>
    <n v="0"/>
    <s v="-"/>
    <n v="0"/>
    <n v="2"/>
    <n v="0"/>
    <n v="2"/>
    <n v="0"/>
    <n v="0"/>
  </r>
  <r>
    <s v="2025-08-07 01:00:00.000 +0100"/>
    <x v="1"/>
    <s v="Thursday "/>
    <d v="1899-12-30T00:20:01"/>
    <n v="6"/>
    <s v="The Big Investor"/>
    <x v="3"/>
    <s v="OUT_OF_TIME"/>
    <n v="0.33333333333333298"/>
    <n v="1"/>
    <n v="0.33333333333333298"/>
    <n v="0.266666666666666"/>
    <n v="9.0909090909090898E-2"/>
    <n v="0"/>
    <n v="0"/>
    <n v="0"/>
    <n v="0"/>
    <n v="0"/>
    <n v="0"/>
    <n v="0"/>
    <n v="0"/>
    <n v="1"/>
    <n v="0"/>
    <n v="0"/>
    <n v="0"/>
    <n v="0"/>
    <n v="0"/>
    <n v="0"/>
    <n v="0"/>
    <n v="0"/>
    <n v="0"/>
    <n v="0"/>
    <n v="1"/>
    <n v="1"/>
    <n v="1"/>
    <n v="0"/>
    <n v="0"/>
    <n v="0"/>
    <s v="-"/>
    <n v="0"/>
    <n v="2"/>
    <n v="0"/>
    <n v="2"/>
    <n v="0"/>
    <n v="0"/>
  </r>
  <r>
    <s v="2025-08-20 01:00:00.000 +0100"/>
    <x v="1"/>
    <s v="Wednesday"/>
    <d v="1899-12-30T00:07:33"/>
    <n v="7"/>
    <s v="Rumours"/>
    <x v="3"/>
    <s v="COMPLETED"/>
    <n v="0.55555555555555503"/>
    <n v="1"/>
    <n v="0.5"/>
    <n v="0.133333333333333"/>
    <n v="0.27272727272727199"/>
    <n v="0"/>
    <n v="0"/>
    <n v="0"/>
    <n v="0"/>
    <n v="0"/>
    <n v="0"/>
    <n v="1"/>
    <n v="0"/>
    <n v="1"/>
    <n v="0"/>
    <n v="0"/>
    <n v="0"/>
    <n v="0"/>
    <n v="0"/>
    <n v="0"/>
    <n v="0"/>
    <n v="0"/>
    <n v="0"/>
    <n v="0"/>
    <n v="0"/>
    <n v="0"/>
    <n v="1"/>
    <n v="0"/>
    <n v="0"/>
    <n v="0"/>
    <s v="-"/>
    <n v="0"/>
    <n v="2"/>
    <n v="0"/>
    <n v="1"/>
    <n v="0"/>
    <n v="0"/>
  </r>
  <r>
    <s v="2025-08-20 01:00:00.000 +0100"/>
    <x v="1"/>
    <s v="Wednesday"/>
    <d v="1899-12-30T00:12:27"/>
    <n v="7"/>
    <s v="Rumours"/>
    <x v="0"/>
    <s v="COMPLETED"/>
    <n v="0.66666666666666596"/>
    <n v="1"/>
    <n v="0.83333333333333304"/>
    <n v="0.33333333333333298"/>
    <n v="0.54545454545454497"/>
    <n v="0"/>
    <n v="0"/>
    <n v="0"/>
    <n v="0"/>
    <n v="0"/>
    <n v="0"/>
    <n v="1"/>
    <n v="0"/>
    <n v="1"/>
    <n v="0"/>
    <n v="0"/>
    <n v="0"/>
    <n v="0"/>
    <n v="0"/>
    <n v="0"/>
    <n v="0"/>
    <n v="0"/>
    <n v="0"/>
    <n v="0"/>
    <n v="0"/>
    <n v="0"/>
    <n v="1"/>
    <n v="0"/>
    <n v="0"/>
    <n v="0"/>
    <s v="-"/>
    <n v="0"/>
    <n v="2"/>
    <n v="0"/>
    <n v="1"/>
    <n v="0"/>
    <n v="0"/>
  </r>
  <r>
    <s v="2025-08-21 01:00:00.000 +0100"/>
    <x v="1"/>
    <s v="Thursday "/>
    <d v="1899-12-30T00:19:06"/>
    <n v="7"/>
    <s v="Rumours"/>
    <x v="1"/>
    <s v="COMPLETED"/>
    <n v="0.44444444444444398"/>
    <n v="0.5"/>
    <n v="0.33333333333333298"/>
    <n v="0.266666666666666"/>
    <n v="0.18181818181818099"/>
    <n v="0"/>
    <n v="0"/>
    <n v="0"/>
    <n v="0"/>
    <n v="0"/>
    <n v="0"/>
    <n v="1"/>
    <n v="0"/>
    <n v="1"/>
    <n v="0"/>
    <n v="0"/>
    <n v="0"/>
    <n v="0"/>
    <n v="0"/>
    <n v="0"/>
    <n v="0"/>
    <n v="0"/>
    <n v="0"/>
    <n v="0"/>
    <n v="0"/>
    <n v="0"/>
    <n v="1"/>
    <n v="0"/>
    <n v="0"/>
    <n v="0"/>
    <s v="-"/>
    <n v="0"/>
    <n v="2"/>
    <n v="0"/>
    <n v="1"/>
    <n v="0"/>
    <n v="0"/>
  </r>
  <r>
    <s v="2025-08-21 01:00:00.000 +0100"/>
    <x v="1"/>
    <s v="Thursday "/>
    <d v="1899-12-30T00:20:33"/>
    <n v="29"/>
    <s v="Too Good To Be True V2"/>
    <x v="4"/>
    <s v="COMPLETED"/>
    <n v="0.55555555555555503"/>
    <n v="1"/>
    <n v="0.66666666666666596"/>
    <n v="0.46666666666666601"/>
    <n v="0.18181818181818099"/>
    <n v="0"/>
    <n v="0"/>
    <n v="1"/>
    <n v="0"/>
    <n v="0"/>
    <n v="0"/>
    <n v="0"/>
    <n v="0"/>
    <n v="0"/>
    <n v="0"/>
    <n v="0"/>
    <n v="0"/>
    <n v="0"/>
    <n v="0"/>
    <n v="0"/>
    <n v="0"/>
    <n v="0"/>
    <n v="0"/>
    <n v="0"/>
    <n v="0"/>
    <n v="0"/>
    <n v="0"/>
    <n v="1"/>
    <n v="0"/>
    <n v="0"/>
    <s v="-"/>
    <n v="0"/>
    <n v="1"/>
    <n v="2"/>
    <n v="0"/>
    <n v="0"/>
    <n v="0"/>
  </r>
  <r>
    <s v="2025-08-22 01:00:00.000 +0100"/>
    <x v="1"/>
    <s v="Friday   "/>
    <d v="1899-12-30T00:15:01"/>
    <n v="27"/>
    <s v="First day blues"/>
    <x v="5"/>
    <s v="OUT_OF_TIME"/>
    <n v="0.11111111111111099"/>
    <n v="0.5"/>
    <n v="0.33333333333333298"/>
    <n v="0.266666666666666"/>
    <n v="0.18181818181818099"/>
    <n v="0"/>
    <n v="0"/>
    <n v="1"/>
    <n v="0"/>
    <n v="0"/>
    <n v="0"/>
    <n v="0"/>
    <n v="0"/>
    <n v="0"/>
    <n v="0"/>
    <n v="0"/>
    <n v="0"/>
    <n v="0"/>
    <n v="0"/>
    <n v="0"/>
    <n v="0"/>
    <n v="0"/>
    <n v="0"/>
    <n v="0"/>
    <n v="0"/>
    <n v="0"/>
    <n v="0"/>
    <n v="0"/>
    <n v="0"/>
    <n v="0"/>
    <s v="-"/>
    <n v="0"/>
    <n v="0"/>
    <n v="1"/>
    <n v="0"/>
    <n v="0"/>
    <n v="0"/>
  </r>
  <r>
    <s v="2025-08-29 01:00:00.000 +0100"/>
    <x v="1"/>
    <s v="Friday   "/>
    <d v="1899-12-30T00:15:40"/>
    <n v="14"/>
    <s v="Missing Delivery"/>
    <x v="3"/>
    <s v="COMPLETED"/>
    <n v="0.44444444444444398"/>
    <n v="1"/>
    <n v="0.5"/>
    <n v="0.2"/>
    <n v="0.27272727272727199"/>
    <n v="0"/>
    <n v="0"/>
    <n v="0"/>
    <n v="0"/>
    <n v="0"/>
    <n v="0"/>
    <n v="0"/>
    <n v="0"/>
    <n v="1"/>
    <n v="1"/>
    <n v="0"/>
    <n v="0"/>
    <n v="0"/>
    <n v="0"/>
    <n v="1"/>
    <n v="0"/>
    <n v="0"/>
    <n v="0"/>
    <n v="0"/>
    <n v="0"/>
    <n v="0"/>
    <n v="0"/>
    <n v="0"/>
    <n v="0"/>
    <n v="0"/>
    <s v="-"/>
    <n v="1"/>
    <n v="2"/>
    <n v="1"/>
    <n v="1"/>
    <n v="2"/>
    <n v="1"/>
  </r>
  <r>
    <s v="2025-09-02 01:00:00.000 +0100"/>
    <x v="2"/>
    <s v="Tuesday  "/>
    <d v="1899-12-30T00:18:53"/>
    <n v="16"/>
    <s v="Radio Silence"/>
    <x v="2"/>
    <s v="COMPLETED"/>
    <n v="0.66666666666666596"/>
    <n v="1"/>
    <n v="0.66666666666666596"/>
    <n v="0.33333333333333298"/>
    <n v="0.18181818181818099"/>
    <n v="0"/>
    <n v="0"/>
    <n v="0"/>
    <n v="1"/>
    <n v="0"/>
    <n v="0"/>
    <n v="0"/>
    <n v="0"/>
    <n v="0"/>
    <n v="0"/>
    <n v="0"/>
    <n v="0"/>
    <n v="0"/>
    <n v="1"/>
    <n v="0"/>
    <n v="0"/>
    <n v="0"/>
    <n v="0"/>
    <n v="0"/>
    <n v="0"/>
    <n v="0"/>
    <n v="0"/>
    <n v="0"/>
    <n v="0"/>
    <n v="0"/>
    <s v="-"/>
    <n v="0"/>
    <n v="1"/>
    <n v="0"/>
    <n v="0"/>
    <n v="1"/>
    <n v="0"/>
  </r>
  <r>
    <s v="2025-09-03 01:00:00.000 +0100"/>
    <x v="2"/>
    <s v="Wednesday"/>
    <d v="1899-12-30T00:10:47"/>
    <n v="29"/>
    <s v="Too Good To Be True V2"/>
    <x v="6"/>
    <s v="COMPLETED"/>
    <n v="0.44444444444444398"/>
    <n v="1"/>
    <n v="0.5"/>
    <n v="0.33333333333333298"/>
    <n v="0.18181818181818099"/>
    <n v="0"/>
    <n v="0"/>
    <n v="1"/>
    <n v="0"/>
    <n v="0"/>
    <n v="0"/>
    <n v="0"/>
    <n v="0"/>
    <n v="0"/>
    <n v="0"/>
    <n v="0"/>
    <n v="0"/>
    <n v="0"/>
    <n v="0"/>
    <n v="0"/>
    <n v="0"/>
    <n v="0"/>
    <n v="0"/>
    <n v="0"/>
    <n v="0"/>
    <n v="0"/>
    <n v="0"/>
    <n v="1"/>
    <n v="0"/>
    <n v="0"/>
    <s v="-"/>
    <n v="0"/>
    <n v="1"/>
    <n v="2"/>
    <n v="0"/>
    <n v="0"/>
    <n v="0"/>
  </r>
  <r>
    <s v="2025-09-04 01:00:00.000 +0100"/>
    <x v="2"/>
    <s v="Thursday "/>
    <d v="1899-12-30T00:12:57"/>
    <n v="31"/>
    <s v="Bezs Beatles Day! V2"/>
    <x v="7"/>
    <s v="COMPLETED"/>
    <n v="0.22222222222222199"/>
    <n v="1"/>
    <n v="0.66666666666666596"/>
    <n v="0.266666666666666"/>
    <n v="9.0909090909090898E-2"/>
    <n v="0"/>
    <n v="0"/>
    <n v="1"/>
    <n v="0"/>
    <n v="0"/>
    <n v="0"/>
    <n v="0"/>
    <n v="0"/>
    <n v="0"/>
    <n v="0"/>
    <n v="0"/>
    <n v="1"/>
    <n v="0"/>
    <n v="0"/>
    <n v="0"/>
    <n v="0"/>
    <n v="0"/>
    <n v="0"/>
    <n v="0"/>
    <n v="0"/>
    <n v="0"/>
    <n v="0"/>
    <n v="0"/>
    <n v="0"/>
    <n v="0"/>
    <s v="-"/>
    <n v="0"/>
    <n v="1"/>
    <n v="1"/>
    <n v="0"/>
    <n v="0"/>
    <n v="0"/>
  </r>
  <r>
    <s v="2025-09-04 01:00:00.000 +0100"/>
    <x v="2"/>
    <s v="Thursday "/>
    <d v="1899-12-30T00:20:02"/>
    <n v="31"/>
    <s v="Bezs Beatles Day! V2"/>
    <x v="4"/>
    <s v="OUT_OF_TIME"/>
    <n v="0.66666666666666596"/>
    <n v="1"/>
    <n v="0.66666666666666596"/>
    <n v="0.266666666666666"/>
    <n v="0"/>
    <n v="0"/>
    <n v="0"/>
    <n v="1"/>
    <n v="0"/>
    <n v="0"/>
    <n v="0"/>
    <n v="0"/>
    <n v="0"/>
    <n v="0"/>
    <n v="0"/>
    <n v="0"/>
    <n v="1"/>
    <n v="0"/>
    <n v="0"/>
    <n v="0"/>
    <n v="0"/>
    <n v="0"/>
    <n v="0"/>
    <n v="0"/>
    <n v="0"/>
    <n v="0"/>
    <n v="0"/>
    <n v="0"/>
    <n v="0"/>
    <n v="0"/>
    <s v="-"/>
    <n v="0"/>
    <n v="1"/>
    <n v="1"/>
    <n v="0"/>
    <n v="0"/>
    <n v="0"/>
  </r>
  <r>
    <s v="2025-09-05 01:00:00.000 +0100"/>
    <x v="2"/>
    <s v="Friday   "/>
    <d v="1899-12-30T00:20:01"/>
    <n v="31"/>
    <s v="Bezs Beatles Day! V2"/>
    <x v="5"/>
    <s v="OUT_OF_TIME"/>
    <n v="0.44444444444444398"/>
    <n v="0.5"/>
    <n v="0.5"/>
    <n v="0.6"/>
    <n v="0.27272727272727199"/>
    <n v="0"/>
    <n v="0"/>
    <n v="1"/>
    <n v="0"/>
    <n v="0"/>
    <n v="0"/>
    <n v="0"/>
    <n v="0"/>
    <n v="0"/>
    <n v="0"/>
    <n v="0"/>
    <n v="1"/>
    <n v="0"/>
    <n v="0"/>
    <n v="0"/>
    <n v="0"/>
    <n v="0"/>
    <n v="0"/>
    <n v="0"/>
    <n v="0"/>
    <n v="0"/>
    <n v="0"/>
    <n v="0"/>
    <n v="0"/>
    <n v="0"/>
    <s v="-"/>
    <n v="0"/>
    <n v="1"/>
    <n v="1"/>
    <n v="0"/>
    <n v="0"/>
    <n v="0"/>
  </r>
  <r>
    <s v="2025-09-05 01:00:00.000 +0100"/>
    <x v="2"/>
    <s v="Friday   "/>
    <d v="1899-12-30T00:20:01"/>
    <n v="16"/>
    <s v="Radio Silence"/>
    <x v="3"/>
    <s v="OUT_OF_TIME"/>
    <n v="0.22222222222222199"/>
    <n v="1"/>
    <n v="0.5"/>
    <n v="0.33333333333333298"/>
    <n v="0.27272727272727199"/>
    <n v="0"/>
    <n v="0"/>
    <n v="0"/>
    <n v="1"/>
    <n v="0"/>
    <n v="0"/>
    <n v="0"/>
    <n v="0"/>
    <n v="0"/>
    <n v="0"/>
    <n v="0"/>
    <n v="0"/>
    <n v="0"/>
    <n v="1"/>
    <n v="0"/>
    <n v="0"/>
    <n v="0"/>
    <n v="0"/>
    <n v="0"/>
    <n v="0"/>
    <n v="0"/>
    <n v="0"/>
    <n v="0"/>
    <n v="0"/>
    <n v="0"/>
    <s v="-"/>
    <n v="0"/>
    <n v="1"/>
    <n v="0"/>
    <n v="0"/>
    <n v="1"/>
    <n v="0"/>
  </r>
  <r>
    <s v="2025-09-05 01:00:00.000 +0100"/>
    <x v="2"/>
    <s v="Friday   "/>
    <d v="1899-12-30T00:18:59"/>
    <n v="29"/>
    <s v="Too Good To Be True V2"/>
    <x v="8"/>
    <s v="COMPLETED"/>
    <n v="0.44444444444444398"/>
    <n v="1"/>
    <n v="0.5"/>
    <n v="0.266666666666666"/>
    <n v="0.27272727272727199"/>
    <n v="0"/>
    <n v="0"/>
    <n v="1"/>
    <n v="0"/>
    <n v="0"/>
    <n v="0"/>
    <n v="0"/>
    <n v="0"/>
    <n v="0"/>
    <n v="0"/>
    <n v="0"/>
    <n v="0"/>
    <n v="0"/>
    <n v="0"/>
    <n v="0"/>
    <n v="0"/>
    <n v="0"/>
    <n v="0"/>
    <n v="0"/>
    <n v="0"/>
    <n v="0"/>
    <n v="0"/>
    <n v="1"/>
    <n v="0"/>
    <n v="0"/>
    <s v="-"/>
    <n v="0"/>
    <n v="1"/>
    <n v="2"/>
    <n v="0"/>
    <n v="0"/>
    <n v="0"/>
  </r>
  <r>
    <s v="2025-09-10 01:00:00.000 +0100"/>
    <x v="2"/>
    <s v="Wednesday"/>
    <d v="1899-12-30T00:18:49"/>
    <n v="31"/>
    <s v="Bezs Beatles Day! V2"/>
    <x v="6"/>
    <s v="COMPLETED"/>
    <n v="0.44444444444444398"/>
    <n v="1"/>
    <n v="0.66666666666666596"/>
    <n v="0.33333333333333298"/>
    <n v="9.0909090909090898E-2"/>
    <n v="0"/>
    <n v="0"/>
    <n v="1"/>
    <n v="0"/>
    <n v="0"/>
    <n v="0"/>
    <n v="0"/>
    <n v="0"/>
    <n v="0"/>
    <n v="0"/>
    <n v="0"/>
    <n v="1"/>
    <n v="0"/>
    <n v="0"/>
    <n v="0"/>
    <n v="0"/>
    <n v="0"/>
    <n v="0"/>
    <n v="0"/>
    <n v="0"/>
    <n v="0"/>
    <n v="0"/>
    <n v="0"/>
    <n v="0"/>
    <n v="0"/>
    <s v="-"/>
    <n v="0"/>
    <n v="1"/>
    <n v="1"/>
    <n v="0"/>
    <n v="0"/>
    <n v="0"/>
  </r>
  <r>
    <s v="2025-09-10 01:00:00.000 +0100"/>
    <x v="2"/>
    <s v="Wednesday"/>
    <d v="1899-12-30T00:15:54"/>
    <n v="14"/>
    <s v="Missing Delivery"/>
    <x v="0"/>
    <s v="COMPLETED"/>
    <n v="0.77777777777777701"/>
    <n v="1"/>
    <n v="0.66666666666666596"/>
    <n v="0.8"/>
    <n v="0.63636363636363602"/>
    <n v="0"/>
    <n v="0"/>
    <n v="0"/>
    <n v="0"/>
    <n v="0"/>
    <n v="0"/>
    <n v="0"/>
    <n v="0"/>
    <n v="1"/>
    <n v="1"/>
    <n v="0"/>
    <n v="0"/>
    <n v="0"/>
    <n v="0"/>
    <n v="1"/>
    <n v="0"/>
    <n v="0"/>
    <n v="0"/>
    <n v="0"/>
    <n v="0"/>
    <n v="0"/>
    <n v="0"/>
    <n v="0"/>
    <n v="0"/>
    <n v="0"/>
    <s v="-"/>
    <n v="1"/>
    <n v="2"/>
    <n v="1"/>
    <n v="1"/>
    <n v="2"/>
    <n v="1"/>
  </r>
  <r>
    <s v="2025-09-11 01:00:00.000 +0100"/>
    <x v="2"/>
    <s v="Thursday "/>
    <d v="1899-12-30T00:19:12"/>
    <n v="6"/>
    <s v="The Big Investor"/>
    <x v="7"/>
    <s v="COMPLETED"/>
    <n v="0.33333333333333298"/>
    <n v="1"/>
    <n v="0.33333333333333298"/>
    <n v="0.46666666666666601"/>
    <n v="0.27272727272727199"/>
    <n v="0"/>
    <n v="0"/>
    <n v="0"/>
    <n v="0"/>
    <n v="0"/>
    <n v="0"/>
    <n v="0"/>
    <n v="0"/>
    <n v="1"/>
    <n v="0"/>
    <n v="0"/>
    <n v="0"/>
    <n v="0"/>
    <n v="0"/>
    <n v="0"/>
    <n v="0"/>
    <n v="0"/>
    <n v="0"/>
    <n v="0"/>
    <n v="1"/>
    <n v="1"/>
    <n v="1"/>
    <n v="0"/>
    <n v="0"/>
    <n v="0"/>
    <s v="-"/>
    <n v="0"/>
    <n v="2"/>
    <n v="0"/>
    <n v="2"/>
    <n v="0"/>
    <n v="0"/>
  </r>
  <r>
    <s v="2025-09-12 01:00:00.000 +0100"/>
    <x v="2"/>
    <s v="Friday   "/>
    <d v="1899-12-30T00:20:01"/>
    <n v="4"/>
    <s v="Roblox"/>
    <x v="3"/>
    <s v="OUT_OF_TIME"/>
    <n v="0.22222222222222199"/>
    <n v="1"/>
    <n v="0.33333333333333298"/>
    <n v="0.266666666666666"/>
    <n v="0.18181818181818099"/>
    <n v="1"/>
    <n v="0"/>
    <n v="0"/>
    <n v="0"/>
    <n v="0"/>
    <n v="0"/>
    <n v="0"/>
    <n v="0"/>
    <n v="0"/>
    <n v="0"/>
    <n v="0"/>
    <n v="0"/>
    <n v="0"/>
    <n v="0"/>
    <n v="1"/>
    <n v="0"/>
    <n v="1"/>
    <n v="0"/>
    <n v="1"/>
    <n v="0"/>
    <n v="0"/>
    <n v="0"/>
    <n v="0"/>
    <n v="0"/>
    <n v="0"/>
    <s v="-"/>
    <n v="1"/>
    <n v="4"/>
    <n v="1"/>
    <n v="1"/>
    <n v="1"/>
    <n v="1"/>
  </r>
  <r>
    <s v="2025-09-12 01:00:00.000 +0100"/>
    <x v="2"/>
    <s v="Friday   "/>
    <d v="1899-12-30T00:18:30"/>
    <n v="31"/>
    <s v="Bezs Beatles Day! V2"/>
    <x v="8"/>
    <s v="COMPLETED"/>
    <n v="0.55555555555555503"/>
    <n v="1"/>
    <n v="0.33333333333333298"/>
    <n v="0.266666666666666"/>
    <n v="9.0909090909090898E-2"/>
    <n v="0"/>
    <n v="0"/>
    <n v="1"/>
    <n v="0"/>
    <n v="0"/>
    <n v="0"/>
    <n v="0"/>
    <n v="0"/>
    <n v="0"/>
    <n v="0"/>
    <n v="0"/>
    <n v="1"/>
    <n v="0"/>
    <n v="0"/>
    <n v="0"/>
    <n v="0"/>
    <n v="0"/>
    <n v="0"/>
    <n v="0"/>
    <n v="0"/>
    <n v="0"/>
    <n v="0"/>
    <n v="0"/>
    <n v="0"/>
    <n v="0"/>
    <s v="-"/>
    <n v="0"/>
    <n v="1"/>
    <n v="1"/>
    <n v="0"/>
    <n v="0"/>
    <n v="0"/>
  </r>
  <r>
    <s v="2025-09-18 01:00:00.000 +0100"/>
    <x v="2"/>
    <s v="Thursday "/>
    <d v="1899-12-30T00:13:10"/>
    <n v="7"/>
    <s v="Rumours"/>
    <x v="7"/>
    <s v="COMPLETED"/>
    <n v="0.44444444444444398"/>
    <n v="0.5"/>
    <n v="0.16666666666666599"/>
    <n v="0.46666666666666601"/>
    <n v="0.27272727272727199"/>
    <n v="0"/>
    <n v="0"/>
    <n v="0"/>
    <n v="0"/>
    <n v="0"/>
    <n v="0"/>
    <n v="1"/>
    <n v="0"/>
    <n v="1"/>
    <n v="0"/>
    <n v="0"/>
    <n v="0"/>
    <n v="0"/>
    <n v="0"/>
    <n v="0"/>
    <n v="0"/>
    <n v="0"/>
    <n v="0"/>
    <n v="0"/>
    <n v="0"/>
    <n v="0"/>
    <n v="1"/>
    <n v="0"/>
    <n v="0"/>
    <n v="0"/>
    <s v="-"/>
    <n v="0"/>
    <n v="2"/>
    <n v="0"/>
    <n v="1"/>
    <n v="0"/>
    <n v="0"/>
  </r>
  <r>
    <s v="2025-09-18 01:00:00.000 +0100"/>
    <x v="2"/>
    <s v="Thursday "/>
    <d v="1899-12-30T00:20:01"/>
    <n v="6"/>
    <s v="The Big Investor"/>
    <x v="4"/>
    <s v="OUT_OF_TIME"/>
    <n v="0.55555555555555503"/>
    <n v="1"/>
    <n v="0.83333333333333304"/>
    <n v="0.46666666666666601"/>
    <n v="0.27272727272727199"/>
    <n v="0"/>
    <n v="0"/>
    <n v="0"/>
    <n v="0"/>
    <n v="0"/>
    <n v="0"/>
    <n v="0"/>
    <n v="0"/>
    <n v="1"/>
    <n v="0"/>
    <n v="0"/>
    <n v="0"/>
    <n v="0"/>
    <n v="0"/>
    <n v="0"/>
    <n v="0"/>
    <n v="0"/>
    <n v="0"/>
    <n v="0"/>
    <n v="1"/>
    <n v="1"/>
    <n v="1"/>
    <n v="0"/>
    <n v="0"/>
    <n v="0"/>
    <s v="-"/>
    <n v="0"/>
    <n v="2"/>
    <n v="0"/>
    <n v="2"/>
    <n v="0"/>
    <n v="0"/>
  </r>
  <r>
    <s v="2025-09-19 01:00:00.000 +0100"/>
    <x v="2"/>
    <s v="Friday   "/>
    <d v="1899-12-30T00:24:54"/>
    <n v="29"/>
    <s v="Too Good To Be True V2"/>
    <x v="9"/>
    <s v="COMPLETED"/>
    <n v="0.55555555555555503"/>
    <n v="1"/>
    <n v="0.5"/>
    <n v="0.2"/>
    <n v="0"/>
    <n v="0"/>
    <n v="0"/>
    <n v="1"/>
    <n v="0"/>
    <n v="0"/>
    <n v="0"/>
    <n v="0"/>
    <n v="0"/>
    <n v="0"/>
    <n v="0"/>
    <n v="0"/>
    <n v="0"/>
    <n v="0"/>
    <n v="0"/>
    <n v="0"/>
    <n v="0"/>
    <n v="0"/>
    <n v="0"/>
    <n v="0"/>
    <n v="0"/>
    <n v="0"/>
    <n v="0"/>
    <n v="1"/>
    <n v="0"/>
    <n v="0"/>
    <s v="-"/>
    <n v="0"/>
    <n v="1"/>
    <n v="2"/>
    <n v="0"/>
    <n v="0"/>
    <n v="0"/>
  </r>
  <r>
    <s v="2025-09-19 01:00:00.000 +0100"/>
    <x v="2"/>
    <s v="Friday   "/>
    <d v="1899-12-30T00:20:02"/>
    <n v="6"/>
    <s v="The Big Investor"/>
    <x v="5"/>
    <s v="OUT_OF_TIME"/>
    <n v="0.66666666666666596"/>
    <n v="1"/>
    <n v="0.33333333333333298"/>
    <n v="0.33333333333333298"/>
    <n v="0.18181818181818099"/>
    <n v="0"/>
    <n v="0"/>
    <n v="0"/>
    <n v="0"/>
    <n v="0"/>
    <n v="0"/>
    <n v="0"/>
    <n v="0"/>
    <n v="1"/>
    <n v="0"/>
    <n v="0"/>
    <n v="0"/>
    <n v="0"/>
    <n v="0"/>
    <n v="0"/>
    <n v="0"/>
    <n v="0"/>
    <n v="0"/>
    <n v="0"/>
    <n v="1"/>
    <n v="1"/>
    <n v="1"/>
    <n v="0"/>
    <n v="0"/>
    <n v="0"/>
    <s v="-"/>
    <n v="0"/>
    <n v="2"/>
    <n v="0"/>
    <n v="2"/>
    <n v="0"/>
    <n v="0"/>
  </r>
  <r>
    <s v="2025-09-24 01:00:00.000 +0100"/>
    <x v="2"/>
    <s v="Wednesday"/>
    <d v="1899-12-30T00:18:37"/>
    <n v="6"/>
    <s v="The Big Investor"/>
    <x v="6"/>
    <s v="COMPLETED"/>
    <n v="0.44444444444444398"/>
    <n v="1"/>
    <n v="0.66666666666666596"/>
    <n v="0.33333333333333298"/>
    <n v="0.18181818181818099"/>
    <n v="0"/>
    <n v="0"/>
    <n v="0"/>
    <n v="0"/>
    <n v="0"/>
    <n v="0"/>
    <n v="0"/>
    <n v="0"/>
    <n v="1"/>
    <n v="0"/>
    <n v="0"/>
    <n v="0"/>
    <n v="0"/>
    <n v="0"/>
    <n v="0"/>
    <n v="0"/>
    <n v="0"/>
    <n v="0"/>
    <n v="0"/>
    <n v="1"/>
    <n v="1"/>
    <n v="1"/>
    <n v="0"/>
    <n v="0"/>
    <n v="0"/>
    <s v="-"/>
    <n v="0"/>
    <n v="2"/>
    <n v="0"/>
    <n v="2"/>
    <n v="0"/>
    <n v="0"/>
  </r>
  <r>
    <s v="2025-09-25 01:00:00.000 +0100"/>
    <x v="2"/>
    <s v="Thursday "/>
    <d v="1899-12-30T00:18:28"/>
    <n v="14"/>
    <s v="Missing Delivery"/>
    <x v="7"/>
    <s v="COMPLETED"/>
    <n v="0.66666666666666596"/>
    <n v="1"/>
    <n v="0.5"/>
    <n v="0.46666666666666601"/>
    <n v="0.36363636363636298"/>
    <n v="0"/>
    <n v="0"/>
    <n v="0"/>
    <n v="0"/>
    <n v="0"/>
    <n v="0"/>
    <n v="0"/>
    <n v="0"/>
    <n v="1"/>
    <n v="1"/>
    <n v="0"/>
    <n v="0"/>
    <n v="0"/>
    <n v="0"/>
    <n v="1"/>
    <n v="0"/>
    <n v="0"/>
    <n v="0"/>
    <n v="0"/>
    <n v="0"/>
    <n v="0"/>
    <n v="0"/>
    <n v="0"/>
    <n v="0"/>
    <n v="0"/>
    <s v="-"/>
    <n v="1"/>
    <n v="2"/>
    <n v="1"/>
    <n v="1"/>
    <n v="2"/>
    <n v="1"/>
  </r>
  <r>
    <s v="2025-09-25 01:00:00.000 +0100"/>
    <x v="2"/>
    <s v="Thursday "/>
    <d v="1899-12-30T00:25:02"/>
    <n v="14"/>
    <s v="Missing Delivery"/>
    <x v="1"/>
    <s v="OUT_OF_TIME"/>
    <n v="0.66666666666666596"/>
    <n v="1"/>
    <n v="0.83333333333333304"/>
    <n v="0.66666666666666596"/>
    <n v="0.45454545454545398"/>
    <n v="0"/>
    <n v="0"/>
    <n v="0"/>
    <n v="0"/>
    <n v="0"/>
    <n v="0"/>
    <n v="0"/>
    <n v="0"/>
    <n v="1"/>
    <n v="1"/>
    <n v="0"/>
    <n v="0"/>
    <n v="0"/>
    <n v="0"/>
    <n v="1"/>
    <n v="0"/>
    <n v="0"/>
    <n v="0"/>
    <n v="0"/>
    <n v="0"/>
    <n v="0"/>
    <n v="0"/>
    <n v="0"/>
    <n v="0"/>
    <n v="0"/>
    <s v="-"/>
    <n v="1"/>
    <n v="2"/>
    <n v="1"/>
    <n v="1"/>
    <n v="2"/>
    <n v="1"/>
  </r>
  <r>
    <s v="2025-09-25 01:00:00.000 +0100"/>
    <x v="2"/>
    <s v="Thursday "/>
    <d v="1899-12-30T00:25:01"/>
    <n v="14"/>
    <s v="Missing Delivery"/>
    <x v="4"/>
    <s v="OUT_OF_TIME"/>
    <n v="0.55555555555555503"/>
    <n v="1"/>
    <n v="0.33333333333333298"/>
    <n v="0.4"/>
    <n v="0.36363636363636298"/>
    <n v="0"/>
    <n v="0"/>
    <n v="0"/>
    <n v="0"/>
    <n v="0"/>
    <n v="0"/>
    <n v="0"/>
    <n v="0"/>
    <n v="1"/>
    <n v="1"/>
    <n v="0"/>
    <n v="0"/>
    <n v="0"/>
    <n v="0"/>
    <n v="1"/>
    <n v="0"/>
    <n v="0"/>
    <n v="0"/>
    <n v="0"/>
    <n v="0"/>
    <n v="0"/>
    <n v="0"/>
    <n v="0"/>
    <n v="0"/>
    <n v="0"/>
    <s v="-"/>
    <n v="1"/>
    <n v="2"/>
    <n v="1"/>
    <n v="1"/>
    <n v="2"/>
    <n v="1"/>
  </r>
  <r>
    <s v="2025-09-26 01:00:00.000 +0100"/>
    <x v="2"/>
    <s v="Friday   "/>
    <d v="1899-12-30T00:19:01"/>
    <n v="31"/>
    <s v="Bezs Beatles Day! V2"/>
    <x v="9"/>
    <s v="COMPLETED"/>
    <n v="0.66666666666666596"/>
    <n v="1"/>
    <n v="0.66666666666666596"/>
    <n v="0.53333333333333299"/>
    <n v="0.18181818181818099"/>
    <n v="0"/>
    <n v="0"/>
    <n v="1"/>
    <n v="0"/>
    <n v="0"/>
    <n v="0"/>
    <n v="0"/>
    <n v="0"/>
    <n v="0"/>
    <n v="0"/>
    <n v="0"/>
    <n v="1"/>
    <n v="0"/>
    <n v="0"/>
    <n v="0"/>
    <n v="0"/>
    <n v="0"/>
    <n v="0"/>
    <n v="0"/>
    <n v="0"/>
    <n v="0"/>
    <n v="0"/>
    <n v="0"/>
    <n v="0"/>
    <n v="0"/>
    <s v="-"/>
    <n v="0"/>
    <n v="1"/>
    <n v="1"/>
    <n v="0"/>
    <n v="0"/>
    <n v="0"/>
  </r>
  <r>
    <s v="2025-09-26 01:00:00.000 +0100"/>
    <x v="2"/>
    <s v="Friday   "/>
    <d v="1899-12-30T00:24:19"/>
    <n v="14"/>
    <s v="Missing Delivery"/>
    <x v="5"/>
    <s v="COMPLETED"/>
    <n v="0.77777777777777701"/>
    <n v="1"/>
    <n v="0.66666666666666596"/>
    <n v="0.73333333333333295"/>
    <n v="0.54545454545454497"/>
    <n v="0"/>
    <n v="0"/>
    <n v="0"/>
    <n v="0"/>
    <n v="0"/>
    <n v="0"/>
    <n v="0"/>
    <n v="0"/>
    <n v="1"/>
    <n v="1"/>
    <n v="0"/>
    <n v="0"/>
    <n v="0"/>
    <n v="0"/>
    <n v="1"/>
    <n v="0"/>
    <n v="0"/>
    <n v="0"/>
    <n v="0"/>
    <n v="0"/>
    <n v="0"/>
    <n v="0"/>
    <n v="0"/>
    <n v="0"/>
    <n v="0"/>
    <s v="-"/>
    <n v="1"/>
    <n v="2"/>
    <n v="1"/>
    <n v="1"/>
    <n v="2"/>
    <n v="1"/>
  </r>
  <r>
    <s v="2025-09-26 01:00:00.000 +0100"/>
    <x v="2"/>
    <s v="Friday   "/>
    <d v="1899-12-30T00:20:26"/>
    <n v="6"/>
    <s v="The Big Investor"/>
    <x v="8"/>
    <s v="COMPLETED"/>
    <n v="0.55555555555555503"/>
    <n v="1"/>
    <n v="0.66666666666666596"/>
    <n v="0.46666666666666601"/>
    <n v="0.18181818181818099"/>
    <n v="0"/>
    <n v="0"/>
    <n v="0"/>
    <n v="0"/>
    <n v="0"/>
    <n v="0"/>
    <n v="0"/>
    <n v="0"/>
    <n v="1"/>
    <n v="0"/>
    <n v="0"/>
    <n v="0"/>
    <n v="0"/>
    <n v="0"/>
    <n v="0"/>
    <n v="0"/>
    <n v="0"/>
    <n v="0"/>
    <n v="0"/>
    <n v="1"/>
    <n v="1"/>
    <n v="1"/>
    <n v="0"/>
    <n v="0"/>
    <n v="0"/>
    <s v="-"/>
    <n v="0"/>
    <n v="2"/>
    <n v="0"/>
    <n v="2"/>
    <n v="0"/>
    <n v="0"/>
  </r>
  <r>
    <s v="2025-09-29 01:00:00.000 +0100"/>
    <x v="2"/>
    <s v="Monday   "/>
    <d v="1899-12-30T00:40:02"/>
    <n v="30"/>
    <s v="DEFCON 1"/>
    <x v="2"/>
    <s v="OUT_OF_TIME"/>
    <n v="0.33333333333333298"/>
    <n v="1"/>
    <n v="0.5"/>
    <n v="0.266666666666666"/>
    <n v="0.27272727272727199"/>
    <n v="0"/>
    <n v="1"/>
    <n v="0"/>
    <n v="0"/>
    <n v="0"/>
    <n v="1"/>
    <n v="0"/>
    <n v="0"/>
    <n v="0"/>
    <n v="0"/>
    <n v="1"/>
    <n v="0"/>
    <n v="0"/>
    <n v="0"/>
    <n v="0"/>
    <n v="0"/>
    <n v="0"/>
    <n v="1"/>
    <n v="0"/>
    <n v="0"/>
    <n v="0"/>
    <n v="0"/>
    <n v="0"/>
    <n v="0"/>
    <n v="0"/>
    <s v="-"/>
    <n v="1"/>
    <n v="2"/>
    <n v="2"/>
    <n v="2"/>
    <n v="2"/>
    <n v="0"/>
  </r>
  <r>
    <s v="2025-10-02 01:00:00.000 +0100"/>
    <x v="3"/>
    <s v="Thursday "/>
    <d v="1899-12-30T00:16:17"/>
    <n v="16"/>
    <s v="Radio Silence"/>
    <x v="7"/>
    <s v="COMPLETED"/>
    <n v="0.33333333333333298"/>
    <n v="1"/>
    <n v="0.66666666666666596"/>
    <n v="0.33333333333333298"/>
    <n v="0.18181818181818099"/>
    <n v="0"/>
    <n v="0"/>
    <n v="0"/>
    <n v="1"/>
    <n v="0"/>
    <n v="0"/>
    <n v="0"/>
    <n v="0"/>
    <n v="0"/>
    <n v="0"/>
    <n v="0"/>
    <n v="0"/>
    <n v="0"/>
    <n v="1"/>
    <n v="0"/>
    <n v="0"/>
    <n v="0"/>
    <n v="0"/>
    <n v="0"/>
    <n v="0"/>
    <n v="0"/>
    <n v="0"/>
    <n v="0"/>
    <n v="0"/>
    <n v="0"/>
    <s v="-"/>
    <n v="0"/>
    <n v="1"/>
    <n v="0"/>
    <n v="0"/>
    <n v="1"/>
    <n v="0"/>
  </r>
  <r>
    <s v="2025-10-03 01:00:00.000 +0100"/>
    <x v="3"/>
    <s v="Friday   "/>
    <d v="1899-12-30T00:20:02"/>
    <n v="32"/>
    <s v="The Big Investor V2"/>
    <x v="9"/>
    <s v="OUT_OF_TIME"/>
    <n v="0.66666666666666596"/>
    <n v="1"/>
    <n v="0.5"/>
    <n v="0.33333333333333298"/>
    <n v="0.18181818181818099"/>
    <n v="0"/>
    <n v="0"/>
    <n v="0"/>
    <n v="0"/>
    <n v="0"/>
    <n v="0"/>
    <n v="1"/>
    <n v="1"/>
    <n v="0"/>
    <n v="0"/>
    <n v="0"/>
    <n v="0"/>
    <n v="0"/>
    <n v="0"/>
    <n v="0"/>
    <n v="0"/>
    <n v="0"/>
    <n v="0"/>
    <n v="0"/>
    <n v="0"/>
    <n v="0"/>
    <n v="0"/>
    <n v="0"/>
    <n v="0"/>
    <n v="0"/>
    <s v="-"/>
    <n v="0"/>
    <n v="2"/>
    <n v="0"/>
    <n v="0"/>
    <n v="0"/>
    <n v="0"/>
  </r>
  <r>
    <s v="2025-10-06 01:00:00.000 +0100"/>
    <x v="3"/>
    <s v="Monday   "/>
    <d v="1899-12-30T00:13:02"/>
    <n v="29"/>
    <s v="Too Good To Be True V2"/>
    <x v="10"/>
    <s v="COMPLETED"/>
    <n v="0.66666666666666596"/>
    <n v="0"/>
    <n v="0.5"/>
    <n v="0.8"/>
    <n v="0.45454545454545398"/>
    <n v="0"/>
    <n v="0"/>
    <n v="1"/>
    <n v="0"/>
    <n v="0"/>
    <n v="0"/>
    <n v="0"/>
    <n v="0"/>
    <n v="0"/>
    <n v="0"/>
    <n v="0"/>
    <n v="0"/>
    <n v="0"/>
    <n v="0"/>
    <n v="0"/>
    <n v="0"/>
    <n v="0"/>
    <n v="0"/>
    <n v="0"/>
    <n v="0"/>
    <n v="0"/>
    <n v="0"/>
    <n v="1"/>
    <n v="0"/>
    <n v="0"/>
    <s v="-"/>
    <n v="0"/>
    <n v="1"/>
    <n v="2"/>
    <n v="0"/>
    <n v="0"/>
    <n v="0"/>
  </r>
  <r>
    <s v="2025-10-08 01:00:00.000 +0100"/>
    <x v="3"/>
    <s v="Wednesday"/>
    <d v="1899-12-30T00:16:09"/>
    <n v="7"/>
    <s v="Rumours"/>
    <x v="6"/>
    <s v="COMPLETED"/>
    <n v="0.22222222222222199"/>
    <n v="0.5"/>
    <n v="0.33333333333333298"/>
    <n v="0.133333333333333"/>
    <n v="9.0909090909090898E-2"/>
    <n v="0"/>
    <n v="0"/>
    <n v="0"/>
    <n v="0"/>
    <n v="0"/>
    <n v="0"/>
    <n v="1"/>
    <n v="0"/>
    <n v="1"/>
    <n v="0"/>
    <n v="0"/>
    <n v="0"/>
    <n v="0"/>
    <n v="0"/>
    <n v="0"/>
    <n v="0"/>
    <n v="0"/>
    <n v="0"/>
    <n v="0"/>
    <n v="0"/>
    <n v="0"/>
    <n v="1"/>
    <n v="0"/>
    <n v="0"/>
    <n v="0"/>
    <s v="-"/>
    <n v="0"/>
    <n v="2"/>
    <n v="0"/>
    <n v="1"/>
    <n v="0"/>
    <n v="0"/>
  </r>
  <r>
    <s v="2025-10-08 01:00:00.000 +0100"/>
    <x v="3"/>
    <s v="Wednesday"/>
    <d v="1899-12-30T00:39:00"/>
    <n v="30"/>
    <s v="DEFCON 1"/>
    <x v="3"/>
    <s v="COMPLETED"/>
    <n v="0.33333333333333298"/>
    <n v="1"/>
    <n v="0.5"/>
    <n v="0.266666666666666"/>
    <n v="0.27272727272727199"/>
    <n v="0"/>
    <n v="1"/>
    <n v="0"/>
    <n v="0"/>
    <n v="0"/>
    <n v="1"/>
    <n v="0"/>
    <n v="0"/>
    <n v="0"/>
    <n v="0"/>
    <n v="1"/>
    <n v="0"/>
    <n v="0"/>
    <n v="0"/>
    <n v="0"/>
    <n v="0"/>
    <n v="0"/>
    <n v="1"/>
    <n v="0"/>
    <n v="0"/>
    <n v="0"/>
    <n v="0"/>
    <n v="0"/>
    <n v="0"/>
    <n v="0"/>
    <s v="-"/>
    <n v="1"/>
    <n v="2"/>
    <n v="2"/>
    <n v="2"/>
    <n v="2"/>
    <n v="0"/>
  </r>
  <r>
    <s v="2025-10-08 01:00:00.000 +0100"/>
    <x v="3"/>
    <s v="Wednesday"/>
    <d v="1899-12-30T00:30:59"/>
    <n v="30"/>
    <s v="DEFCON 1"/>
    <x v="0"/>
    <s v="COMPLETED"/>
    <n v="0.44444444444444398"/>
    <n v="0"/>
    <n v="0.16666666666666599"/>
    <n v="0.73333333333333295"/>
    <n v="0.54545454545454497"/>
    <n v="0"/>
    <n v="1"/>
    <n v="0"/>
    <n v="0"/>
    <n v="0"/>
    <n v="1"/>
    <n v="0"/>
    <n v="0"/>
    <n v="0"/>
    <n v="0"/>
    <n v="1"/>
    <n v="0"/>
    <n v="0"/>
    <n v="0"/>
    <n v="0"/>
    <n v="0"/>
    <n v="0"/>
    <n v="1"/>
    <n v="0"/>
    <n v="0"/>
    <n v="0"/>
    <n v="0"/>
    <n v="0"/>
    <n v="0"/>
    <n v="0"/>
    <s v="-"/>
    <n v="1"/>
    <n v="2"/>
    <n v="2"/>
    <n v="2"/>
    <n v="2"/>
    <n v="0"/>
  </r>
  <r>
    <s v="2025-10-08 01:00:00.000 +0100"/>
    <x v="3"/>
    <s v="Wednesday"/>
    <d v="1899-12-30T00:20:02"/>
    <n v="7"/>
    <s v="Rumours"/>
    <x v="4"/>
    <s v="OUT_OF_TIME"/>
    <n v="0.33333333333333298"/>
    <n v="1"/>
    <n v="0.16666666666666599"/>
    <n v="0"/>
    <n v="0"/>
    <n v="0"/>
    <n v="0"/>
    <n v="0"/>
    <n v="0"/>
    <n v="0"/>
    <n v="0"/>
    <n v="1"/>
    <n v="0"/>
    <n v="1"/>
    <n v="0"/>
    <n v="0"/>
    <n v="0"/>
    <n v="0"/>
    <n v="0"/>
    <n v="0"/>
    <n v="0"/>
    <n v="0"/>
    <n v="0"/>
    <n v="0"/>
    <n v="0"/>
    <n v="0"/>
    <n v="1"/>
    <n v="0"/>
    <n v="0"/>
    <n v="0"/>
    <s v="-"/>
    <n v="0"/>
    <n v="2"/>
    <n v="0"/>
    <n v="1"/>
    <n v="0"/>
    <n v="0"/>
  </r>
  <r>
    <s v="2025-10-09 01:00:00.000 +0100"/>
    <x v="3"/>
    <s v="Thursday "/>
    <d v="1899-12-30T00:20:02"/>
    <n v="16"/>
    <s v="Radio Silence"/>
    <x v="1"/>
    <s v="OUT_OF_TIME"/>
    <n v="0.88888888888888795"/>
    <n v="1"/>
    <n v="0.5"/>
    <n v="0.46666666666666601"/>
    <n v="0.45454545454545398"/>
    <n v="0"/>
    <n v="0"/>
    <n v="0"/>
    <n v="1"/>
    <n v="0"/>
    <n v="0"/>
    <n v="0"/>
    <n v="0"/>
    <n v="0"/>
    <n v="0"/>
    <n v="0"/>
    <n v="0"/>
    <n v="0"/>
    <n v="1"/>
    <n v="0"/>
    <n v="0"/>
    <n v="0"/>
    <n v="0"/>
    <n v="0"/>
    <n v="0"/>
    <n v="0"/>
    <n v="0"/>
    <n v="0"/>
    <n v="0"/>
    <n v="0"/>
    <s v="-"/>
    <n v="0"/>
    <n v="1"/>
    <n v="0"/>
    <n v="0"/>
    <n v="1"/>
    <n v="0"/>
  </r>
  <r>
    <s v="2025-10-10 01:00:00.000 +0100"/>
    <x v="3"/>
    <s v="Friday   "/>
    <d v="1899-12-30T00:22:53"/>
    <n v="14"/>
    <s v="Missing Delivery"/>
    <x v="9"/>
    <s v="COMPLETED"/>
    <n v="0.77777777777777701"/>
    <n v="1"/>
    <n v="0.83333333333333304"/>
    <n v="0.8"/>
    <n v="0.63636363636363602"/>
    <n v="0"/>
    <n v="0"/>
    <n v="0"/>
    <n v="0"/>
    <n v="0"/>
    <n v="0"/>
    <n v="0"/>
    <n v="0"/>
    <n v="1"/>
    <n v="1"/>
    <n v="0"/>
    <n v="0"/>
    <n v="0"/>
    <n v="0"/>
    <n v="1"/>
    <n v="0"/>
    <n v="0"/>
    <n v="0"/>
    <n v="0"/>
    <n v="0"/>
    <n v="0"/>
    <n v="0"/>
    <n v="0"/>
    <n v="0"/>
    <n v="0"/>
    <s v="-"/>
    <n v="1"/>
    <n v="2"/>
    <n v="1"/>
    <n v="1"/>
    <n v="2"/>
    <n v="1"/>
  </r>
  <r>
    <s v="2025-10-13 01:00:00.000 +0100"/>
    <x v="3"/>
    <s v="Monday   "/>
    <d v="1899-12-30T00:18:29"/>
    <n v="31"/>
    <s v="Bezs Beatles Day! V2"/>
    <x v="10"/>
    <s v="COMPLETED"/>
    <n v="0.55555555555555503"/>
    <n v="1"/>
    <n v="0.66666666666666596"/>
    <n v="0.53333333333333299"/>
    <n v="9.0909090909090898E-2"/>
    <n v="0"/>
    <n v="0"/>
    <n v="1"/>
    <n v="0"/>
    <n v="0"/>
    <n v="0"/>
    <n v="0"/>
    <n v="0"/>
    <n v="0"/>
    <n v="0"/>
    <n v="0"/>
    <n v="1"/>
    <n v="0"/>
    <n v="0"/>
    <n v="0"/>
    <n v="0"/>
    <n v="0"/>
    <n v="0"/>
    <n v="0"/>
    <n v="0"/>
    <n v="0"/>
    <n v="0"/>
    <n v="0"/>
    <n v="0"/>
    <n v="0"/>
    <s v="-"/>
    <n v="0"/>
    <n v="1"/>
    <n v="1"/>
    <n v="0"/>
    <n v="0"/>
    <n v="0"/>
  </r>
  <r>
    <s v="2025-10-15 01:00:00.000 +0100"/>
    <x v="3"/>
    <s v="Wednesday"/>
    <d v="1899-12-30T00:23:01"/>
    <n v="14"/>
    <s v="Missing Delivery"/>
    <x v="6"/>
    <s v="COMPLETED"/>
    <n v="0.66666666666666596"/>
    <n v="1"/>
    <n v="0.66666666666666596"/>
    <n v="0.46666666666666601"/>
    <n v="0.36363636363636298"/>
    <n v="0"/>
    <n v="0"/>
    <n v="0"/>
    <n v="0"/>
    <n v="0"/>
    <n v="0"/>
    <n v="0"/>
    <n v="0"/>
    <n v="1"/>
    <n v="1"/>
    <n v="0"/>
    <n v="0"/>
    <n v="0"/>
    <n v="0"/>
    <n v="1"/>
    <n v="0"/>
    <n v="0"/>
    <n v="0"/>
    <n v="0"/>
    <n v="0"/>
    <n v="0"/>
    <n v="0"/>
    <n v="0"/>
    <n v="0"/>
    <n v="0"/>
    <s v="-"/>
    <n v="1"/>
    <n v="2"/>
    <n v="1"/>
    <n v="1"/>
    <n v="2"/>
    <n v="1"/>
  </r>
  <r>
    <s v="2025-10-16 01:00:00.000 +0100"/>
    <x v="3"/>
    <s v="Thursday "/>
    <d v="1899-12-30T00:36:23"/>
    <n v="30"/>
    <s v="DEFCON 1"/>
    <x v="7"/>
    <s v="COMPLETED"/>
    <n v="0.88888888888888795"/>
    <n v="0.5"/>
    <n v="0.5"/>
    <n v="0.86666666666666603"/>
    <n v="0.72727272727272696"/>
    <n v="0"/>
    <n v="1"/>
    <n v="0"/>
    <n v="0"/>
    <n v="0"/>
    <n v="1"/>
    <n v="0"/>
    <n v="0"/>
    <n v="0"/>
    <n v="0"/>
    <n v="1"/>
    <n v="0"/>
    <n v="0"/>
    <n v="0"/>
    <n v="0"/>
    <n v="0"/>
    <n v="0"/>
    <n v="1"/>
    <n v="0"/>
    <n v="0"/>
    <n v="0"/>
    <n v="0"/>
    <n v="0"/>
    <n v="0"/>
    <n v="0"/>
    <s v="-"/>
    <n v="1"/>
    <n v="2"/>
    <n v="2"/>
    <n v="2"/>
    <n v="2"/>
    <n v="0"/>
  </r>
  <r>
    <s v="2025-10-16 01:00:00.000 +0100"/>
    <x v="3"/>
    <s v="Thursday "/>
    <d v="1899-12-30T00:39:38"/>
    <n v="30"/>
    <s v="DEFCON 1"/>
    <x v="1"/>
    <s v="COMPLETED"/>
    <n v="0.66666666666666596"/>
    <n v="1"/>
    <n v="0.5"/>
    <n v="0.53333333333333299"/>
    <n v="0.45454545454545398"/>
    <n v="0"/>
    <n v="1"/>
    <n v="0"/>
    <n v="0"/>
    <n v="0"/>
    <n v="1"/>
    <n v="0"/>
    <n v="0"/>
    <n v="0"/>
    <n v="0"/>
    <n v="1"/>
    <n v="0"/>
    <n v="0"/>
    <n v="0"/>
    <n v="0"/>
    <n v="0"/>
    <n v="0"/>
    <n v="1"/>
    <n v="0"/>
    <n v="0"/>
    <n v="0"/>
    <n v="0"/>
    <n v="0"/>
    <n v="0"/>
    <n v="0"/>
    <s v="-"/>
    <n v="1"/>
    <n v="2"/>
    <n v="2"/>
    <n v="2"/>
    <n v="2"/>
    <n v="0"/>
  </r>
  <r>
    <s v="2025-10-16 01:00:00.000 +0100"/>
    <x v="3"/>
    <s v="Thursday "/>
    <d v="1899-12-30T00:40:03"/>
    <n v="30"/>
    <s v="DEFCON 1"/>
    <x v="4"/>
    <s v="OUT_OF_TIME"/>
    <n v="0.44444444444444398"/>
    <n v="0.5"/>
    <n v="0.66666666666666596"/>
    <n v="0.53333333333333299"/>
    <n v="0.36363636363636298"/>
    <n v="0"/>
    <n v="1"/>
    <n v="0"/>
    <n v="0"/>
    <n v="0"/>
    <n v="1"/>
    <n v="0"/>
    <n v="0"/>
    <n v="0"/>
    <n v="0"/>
    <n v="1"/>
    <n v="0"/>
    <n v="0"/>
    <n v="0"/>
    <n v="0"/>
    <n v="0"/>
    <n v="0"/>
    <n v="1"/>
    <n v="0"/>
    <n v="0"/>
    <n v="0"/>
    <n v="0"/>
    <n v="0"/>
    <n v="0"/>
    <n v="0"/>
    <s v="-"/>
    <n v="1"/>
    <n v="2"/>
    <n v="2"/>
    <n v="2"/>
    <n v="2"/>
    <n v="0"/>
  </r>
  <r>
    <s v="2025-10-17 01:00:00.000 +0100"/>
    <x v="3"/>
    <s v="Friday   "/>
    <d v="1899-12-30T00:18:52"/>
    <n v="7"/>
    <s v="Rumours"/>
    <x v="8"/>
    <s v="COMPLETED"/>
    <n v="0.66666666666666596"/>
    <n v="1"/>
    <n v="0.5"/>
    <n v="0.4"/>
    <n v="0.18181818181818099"/>
    <n v="0"/>
    <n v="0"/>
    <n v="0"/>
    <n v="0"/>
    <n v="0"/>
    <n v="0"/>
    <n v="1"/>
    <n v="0"/>
    <n v="1"/>
    <n v="0"/>
    <n v="0"/>
    <n v="0"/>
    <n v="0"/>
    <n v="0"/>
    <n v="0"/>
    <n v="0"/>
    <n v="0"/>
    <n v="0"/>
    <n v="0"/>
    <n v="0"/>
    <n v="0"/>
    <n v="1"/>
    <n v="0"/>
    <n v="0"/>
    <n v="0"/>
    <s v="-"/>
    <n v="0"/>
    <n v="2"/>
    <n v="0"/>
    <n v="1"/>
    <n v="0"/>
    <n v="0"/>
  </r>
  <r>
    <s v="2025-10-22 01:00:00.000 +0100"/>
    <x v="3"/>
    <s v="Wednesday"/>
    <d v="1899-12-30T00:39:54"/>
    <n v="30"/>
    <s v="DEFCON 1"/>
    <x v="6"/>
    <s v="COMPLETED"/>
    <n v="0.77777777777777701"/>
    <n v="1"/>
    <n v="0.5"/>
    <n v="0.53333333333333299"/>
    <n v="0.27272727272727199"/>
    <n v="0"/>
    <n v="1"/>
    <n v="0"/>
    <n v="0"/>
    <n v="0"/>
    <n v="1"/>
    <n v="0"/>
    <n v="0"/>
    <n v="0"/>
    <n v="0"/>
    <n v="1"/>
    <n v="0"/>
    <n v="0"/>
    <n v="0"/>
    <n v="0"/>
    <n v="0"/>
    <n v="0"/>
    <n v="1"/>
    <n v="0"/>
    <n v="0"/>
    <n v="0"/>
    <n v="0"/>
    <n v="0"/>
    <n v="0"/>
    <n v="0"/>
    <s v="-"/>
    <n v="1"/>
    <n v="2"/>
    <n v="2"/>
    <n v="2"/>
    <n v="2"/>
    <n v="0"/>
  </r>
  <r>
    <s v="2025-10-24 01:00:00.000 +0100"/>
    <x v="3"/>
    <s v="Friday   "/>
    <d v="1899-12-30T00:38:12"/>
    <n v="30"/>
    <s v="DEFCON 1"/>
    <x v="9"/>
    <s v="COMPLETED"/>
    <n v="0.55555555555555503"/>
    <n v="1"/>
    <n v="0.83333333333333304"/>
    <n v="0.66666666666666596"/>
    <n v="0.63636363636363602"/>
    <n v="0"/>
    <n v="1"/>
    <n v="0"/>
    <n v="0"/>
    <n v="0"/>
    <n v="1"/>
    <n v="0"/>
    <n v="0"/>
    <n v="0"/>
    <n v="0"/>
    <n v="1"/>
    <n v="0"/>
    <n v="0"/>
    <n v="0"/>
    <n v="0"/>
    <n v="0"/>
    <n v="0"/>
    <n v="1"/>
    <n v="0"/>
    <n v="0"/>
    <n v="0"/>
    <n v="0"/>
    <n v="0"/>
    <n v="0"/>
    <n v="0"/>
    <s v="-"/>
    <n v="1"/>
    <n v="2"/>
    <n v="2"/>
    <n v="2"/>
    <n v="2"/>
    <n v="0"/>
  </r>
  <r>
    <s v="2025-10-24 01:00:00.000 +0100"/>
    <x v="3"/>
    <s v="Friday   "/>
    <d v="1899-12-30T00:17:02"/>
    <n v="14"/>
    <s v="Missing Delivery"/>
    <x v="8"/>
    <s v="COMPLETED"/>
    <n v="0.55555555555555503"/>
    <n v="1"/>
    <n v="0.5"/>
    <n v="0.33333333333333298"/>
    <n v="0.18181818181818099"/>
    <n v="0"/>
    <n v="0"/>
    <n v="0"/>
    <n v="0"/>
    <n v="0"/>
    <n v="0"/>
    <n v="0"/>
    <n v="0"/>
    <n v="1"/>
    <n v="1"/>
    <n v="0"/>
    <n v="0"/>
    <n v="0"/>
    <n v="0"/>
    <n v="1"/>
    <n v="0"/>
    <n v="0"/>
    <n v="0"/>
    <n v="0"/>
    <n v="0"/>
    <n v="0"/>
    <n v="0"/>
    <n v="0"/>
    <n v="0"/>
    <n v="0"/>
    <s v="-"/>
    <n v="1"/>
    <n v="2"/>
    <n v="1"/>
    <n v="1"/>
    <n v="2"/>
    <n v="1"/>
  </r>
  <r>
    <s v="2025-10-29 00:00:00.000 +0000"/>
    <x v="3"/>
    <s v="Wednesday"/>
    <d v="1899-12-30T00:20:02"/>
    <n v="4"/>
    <s v="Roblox"/>
    <x v="2"/>
    <s v="OUT_OF_TIME"/>
    <n v="0.55555555555555503"/>
    <n v="0.5"/>
    <n v="0.66666666666666596"/>
    <n v="0.266666666666666"/>
    <n v="9.0909090909090898E-2"/>
    <n v="1"/>
    <n v="0"/>
    <n v="0"/>
    <n v="0"/>
    <n v="0"/>
    <n v="0"/>
    <n v="0"/>
    <n v="0"/>
    <n v="0"/>
    <n v="0"/>
    <n v="0"/>
    <n v="0"/>
    <n v="0"/>
    <n v="0"/>
    <n v="1"/>
    <n v="0"/>
    <n v="1"/>
    <n v="0"/>
    <n v="1"/>
    <n v="0"/>
    <n v="0"/>
    <n v="0"/>
    <n v="0"/>
    <n v="0"/>
    <n v="0"/>
    <s v="-"/>
    <n v="1"/>
    <n v="4"/>
    <n v="1"/>
    <n v="1"/>
    <n v="1"/>
    <n v="1"/>
  </r>
  <r>
    <s v="2025-11-05 00:00:00.000 +0000"/>
    <x v="4"/>
    <s v="Wednesday"/>
    <d v="1899-12-30T00:20:01"/>
    <n v="16"/>
    <s v="Radio Silence"/>
    <x v="0"/>
    <s v="OUT_OF_TIME"/>
    <n v="0.44444444444444398"/>
    <n v="0.5"/>
    <n v="0.66666666666666596"/>
    <n v="0.266666666666666"/>
    <n v="9.0909090909090898E-2"/>
    <n v="0"/>
    <n v="0"/>
    <n v="0"/>
    <n v="1"/>
    <n v="0"/>
    <n v="0"/>
    <n v="0"/>
    <n v="0"/>
    <n v="0"/>
    <n v="0"/>
    <n v="0"/>
    <n v="0"/>
    <n v="0"/>
    <n v="1"/>
    <n v="0"/>
    <n v="0"/>
    <n v="0"/>
    <n v="0"/>
    <n v="0"/>
    <n v="0"/>
    <n v="0"/>
    <n v="0"/>
    <n v="0"/>
    <n v="0"/>
    <n v="0"/>
    <s v="-"/>
    <n v="0"/>
    <n v="1"/>
    <n v="0"/>
    <n v="0"/>
    <n v="1"/>
    <n v="0"/>
  </r>
  <r>
    <s v="2025-11-07 00:00:00.000 +0000"/>
    <x v="4"/>
    <s v="Friday   "/>
    <d v="1899-12-30T00:17:43"/>
    <n v="16"/>
    <s v="Radio Silence"/>
    <x v="8"/>
    <s v="COMPLETED"/>
    <n v="0.77777777777777701"/>
    <n v="1"/>
    <n v="0.66666666666666596"/>
    <n v="0.6"/>
    <n v="0.36363636363636298"/>
    <n v="0"/>
    <n v="0"/>
    <n v="0"/>
    <n v="1"/>
    <n v="0"/>
    <n v="0"/>
    <n v="0"/>
    <n v="0"/>
    <n v="0"/>
    <n v="0"/>
    <n v="0"/>
    <n v="0"/>
    <n v="0"/>
    <n v="1"/>
    <n v="0"/>
    <n v="0"/>
    <n v="0"/>
    <n v="0"/>
    <n v="0"/>
    <n v="0"/>
    <n v="0"/>
    <n v="0"/>
    <n v="0"/>
    <n v="0"/>
    <n v="0"/>
    <s v="-"/>
    <n v="0"/>
    <n v="1"/>
    <n v="0"/>
    <n v="0"/>
    <n v="1"/>
    <n v="0"/>
  </r>
  <r>
    <s v="2025-11-12 00:00:00.000 +0000"/>
    <x v="4"/>
    <s v="Wednesday"/>
    <d v="1899-12-30T00:17:07"/>
    <n v="16"/>
    <s v="Radio Silence"/>
    <x v="6"/>
    <s v="COMPLETED"/>
    <n v="0.77777777777777701"/>
    <n v="1"/>
    <n v="0.83333333333333304"/>
    <n v="0.8"/>
    <n v="0.54545454545454497"/>
    <n v="0"/>
    <n v="0"/>
    <n v="0"/>
    <n v="1"/>
    <n v="0"/>
    <n v="0"/>
    <n v="0"/>
    <n v="0"/>
    <n v="0"/>
    <n v="0"/>
    <n v="0"/>
    <n v="0"/>
    <n v="0"/>
    <n v="1"/>
    <n v="0"/>
    <n v="0"/>
    <n v="0"/>
    <n v="0"/>
    <n v="0"/>
    <n v="0"/>
    <n v="0"/>
    <n v="0"/>
    <n v="0"/>
    <n v="0"/>
    <n v="0"/>
    <s v="-"/>
    <n v="0"/>
    <n v="1"/>
    <n v="0"/>
    <n v="0"/>
    <n v="1"/>
    <n v="0"/>
  </r>
  <r>
    <s v="2025-11-19 00:00:00.000 +0000"/>
    <x v="4"/>
    <s v="Wednesday"/>
    <d v="1899-12-30T00:25:02"/>
    <n v="8"/>
    <s v="The Chain"/>
    <x v="3"/>
    <s v="OUT_OF_TIME"/>
    <n v="0.66666666666666596"/>
    <n v="1"/>
    <n v="0.5"/>
    <n v="0.66666666666666596"/>
    <n v="0.45454545454545398"/>
    <n v="0"/>
    <n v="0"/>
    <n v="0"/>
    <n v="0"/>
    <n v="0"/>
    <n v="0"/>
    <n v="0"/>
    <n v="1"/>
    <n v="0"/>
    <n v="0"/>
    <n v="0"/>
    <n v="0"/>
    <n v="1"/>
    <n v="0"/>
    <n v="0"/>
    <n v="0"/>
    <n v="0"/>
    <n v="0"/>
    <n v="0"/>
    <n v="0"/>
    <n v="0"/>
    <n v="0"/>
    <n v="0"/>
    <n v="1"/>
    <n v="0"/>
    <s v="-"/>
    <n v="0"/>
    <n v="1"/>
    <n v="2"/>
    <n v="0"/>
    <n v="0"/>
    <n v="1"/>
  </r>
  <r>
    <s v="2025-11-19 00:00:00.000 +0000"/>
    <x v="4"/>
    <s v="Wednesday"/>
    <d v="1899-12-30T00:20:01"/>
    <n v="16"/>
    <s v="Radio Silence"/>
    <x v="4"/>
    <s v="OUT_OF_TIME"/>
    <n v="0.44444444444444398"/>
    <n v="1"/>
    <n v="0.66666666666666596"/>
    <n v="0.46666666666666601"/>
    <n v="9.0909090909090898E-2"/>
    <n v="0"/>
    <n v="0"/>
    <n v="0"/>
    <n v="1"/>
    <n v="0"/>
    <n v="0"/>
    <n v="0"/>
    <n v="0"/>
    <n v="0"/>
    <n v="0"/>
    <n v="0"/>
    <n v="0"/>
    <n v="0"/>
    <n v="1"/>
    <n v="0"/>
    <n v="0"/>
    <n v="0"/>
    <n v="0"/>
    <n v="0"/>
    <n v="0"/>
    <n v="0"/>
    <n v="0"/>
    <n v="0"/>
    <n v="0"/>
    <n v="0"/>
    <s v="-"/>
    <n v="0"/>
    <n v="1"/>
    <n v="0"/>
    <n v="0"/>
    <n v="1"/>
    <n v="0"/>
  </r>
  <r>
    <s v="2025-11-19 00:00:00.000 +0000"/>
    <x v="4"/>
    <s v="Wednesday"/>
    <d v="1899-12-30T00:17:57"/>
    <n v="4"/>
    <s v="Roblox"/>
    <x v="0"/>
    <s v="COMPLETED"/>
    <n v="0.66666666666666596"/>
    <n v="1"/>
    <n v="0.66666666666666596"/>
    <n v="0.33333333333333298"/>
    <n v="9.0909090909090898E-2"/>
    <n v="1"/>
    <n v="0"/>
    <n v="0"/>
    <n v="0"/>
    <n v="0"/>
    <n v="0"/>
    <n v="0"/>
    <n v="0"/>
    <n v="0"/>
    <n v="0"/>
    <n v="0"/>
    <n v="0"/>
    <n v="0"/>
    <n v="0"/>
    <n v="1"/>
    <n v="0"/>
    <n v="1"/>
    <n v="0"/>
    <n v="1"/>
    <n v="0"/>
    <n v="0"/>
    <n v="0"/>
    <n v="0"/>
    <n v="0"/>
    <n v="0"/>
    <s v="-"/>
    <n v="1"/>
    <n v="4"/>
    <n v="1"/>
    <n v="1"/>
    <n v="1"/>
    <n v="1"/>
  </r>
  <r>
    <s v="2025-11-21 00:00:00.000 +0000"/>
    <x v="4"/>
    <s v="Friday   "/>
    <d v="1899-12-30T00:20:01"/>
    <n v="16"/>
    <s v="Radio Silence"/>
    <x v="9"/>
    <s v="OUT_OF_TIME"/>
    <n v="0.66666666666666596"/>
    <n v="1"/>
    <n v="0.66666666666666596"/>
    <n v="0.4"/>
    <n v="0.18181818181818099"/>
    <n v="0"/>
    <n v="0"/>
    <n v="0"/>
    <n v="1"/>
    <n v="0"/>
    <n v="0"/>
    <n v="0"/>
    <n v="0"/>
    <n v="0"/>
    <n v="0"/>
    <n v="0"/>
    <n v="0"/>
    <n v="0"/>
    <n v="1"/>
    <n v="0"/>
    <n v="0"/>
    <n v="0"/>
    <n v="0"/>
    <n v="0"/>
    <n v="0"/>
    <n v="0"/>
    <n v="0"/>
    <n v="0"/>
    <n v="0"/>
    <n v="0"/>
    <s v="-"/>
    <n v="0"/>
    <n v="1"/>
    <n v="0"/>
    <n v="0"/>
    <n v="1"/>
    <n v="0"/>
  </r>
  <r>
    <s v="2025-11-24 00:00:00.000 +0000"/>
    <x v="4"/>
    <s v="Monday   "/>
    <d v="1899-12-30T00:25:02"/>
    <n v="18"/>
    <s v="The Switch"/>
    <x v="2"/>
    <s v="OUT_OF_TIME"/>
    <n v="0.55555555555555503"/>
    <n v="1"/>
    <n v="0.83333333333333304"/>
    <n v="0.53333333333333299"/>
    <n v="0.54545454545454497"/>
    <n v="0"/>
    <n v="0"/>
    <n v="0"/>
    <n v="0"/>
    <n v="1"/>
    <n v="0"/>
    <n v="1"/>
    <n v="1"/>
    <n v="0"/>
    <n v="0"/>
    <n v="0"/>
    <n v="1"/>
    <n v="0"/>
    <n v="0"/>
    <n v="0"/>
    <n v="0"/>
    <n v="0"/>
    <n v="0"/>
    <n v="0"/>
    <n v="0"/>
    <n v="0"/>
    <n v="0"/>
    <n v="0"/>
    <n v="1"/>
    <n v="0"/>
    <s v="-"/>
    <n v="0"/>
    <n v="3"/>
    <n v="1"/>
    <n v="0"/>
    <n v="1"/>
    <n v="1"/>
  </r>
  <r>
    <s v="2025-11-26 00:00:00.000 +0000"/>
    <x v="4"/>
    <s v="Wednesday"/>
    <d v="1899-12-30T00:18:33"/>
    <n v="4"/>
    <s v="Roblox"/>
    <x v="6"/>
    <s v="COMPLETED"/>
    <n v="0.44444444444444398"/>
    <n v="1"/>
    <n v="0.66666666666666596"/>
    <n v="0.33333333333333298"/>
    <n v="9.0909090909090898E-2"/>
    <n v="1"/>
    <n v="0"/>
    <n v="0"/>
    <n v="0"/>
    <n v="0"/>
    <n v="0"/>
    <n v="0"/>
    <n v="0"/>
    <n v="0"/>
    <n v="0"/>
    <n v="0"/>
    <n v="0"/>
    <n v="0"/>
    <n v="0"/>
    <n v="1"/>
    <n v="0"/>
    <n v="1"/>
    <n v="0"/>
    <n v="1"/>
    <n v="0"/>
    <n v="0"/>
    <n v="0"/>
    <n v="0"/>
    <n v="0"/>
    <n v="0"/>
    <s v="-"/>
    <n v="1"/>
    <n v="4"/>
    <n v="1"/>
    <n v="1"/>
    <n v="1"/>
    <n v="1"/>
  </r>
  <r>
    <s v="2025-11-27 00:00:00.000 +0000"/>
    <x v="4"/>
    <s v="Thursday "/>
    <d v="1899-12-30T00:20:01"/>
    <n v="4"/>
    <s v="Roblox"/>
    <x v="1"/>
    <s v="OUT_OF_TIME"/>
    <n v="0.44444444444444398"/>
    <n v="0.5"/>
    <n v="0.66666666666666596"/>
    <n v="0.53333333333333299"/>
    <n v="0.36363636363636298"/>
    <n v="1"/>
    <n v="0"/>
    <n v="0"/>
    <n v="0"/>
    <n v="0"/>
    <n v="0"/>
    <n v="0"/>
    <n v="0"/>
    <n v="0"/>
    <n v="0"/>
    <n v="0"/>
    <n v="0"/>
    <n v="0"/>
    <n v="0"/>
    <n v="1"/>
    <n v="0"/>
    <n v="1"/>
    <n v="0"/>
    <n v="1"/>
    <n v="0"/>
    <n v="0"/>
    <n v="0"/>
    <n v="0"/>
    <n v="0"/>
    <n v="0"/>
    <s v="-"/>
    <n v="1"/>
    <n v="4"/>
    <n v="1"/>
    <n v="1"/>
    <n v="1"/>
    <n v="1"/>
  </r>
  <r>
    <s v="2025-12-03 00:00:00.000 +0000"/>
    <x v="5"/>
    <s v="Wednesday"/>
    <d v="1899-12-30T00:25:18"/>
    <n v="18"/>
    <s v="The Switch"/>
    <x v="3"/>
    <s v="COMPLETED"/>
    <n v="0.55555555555555503"/>
    <n v="1"/>
    <n v="0.66666666666666596"/>
    <n v="0.46666666666666601"/>
    <n v="0.45454545454545398"/>
    <n v="0"/>
    <n v="0"/>
    <n v="0"/>
    <n v="0"/>
    <n v="1"/>
    <n v="0"/>
    <n v="1"/>
    <n v="1"/>
    <n v="0"/>
    <n v="0"/>
    <n v="0"/>
    <n v="1"/>
    <n v="0"/>
    <n v="0"/>
    <n v="0"/>
    <n v="0"/>
    <n v="0"/>
    <n v="0"/>
    <n v="0"/>
    <n v="0"/>
    <n v="0"/>
    <n v="0"/>
    <n v="0"/>
    <n v="1"/>
    <n v="0"/>
    <s v="-"/>
    <n v="0"/>
    <n v="3"/>
    <n v="1"/>
    <n v="0"/>
    <n v="1"/>
    <n v="1"/>
  </r>
  <r>
    <s v="2025-12-05 00:00:00.000 +0000"/>
    <x v="5"/>
    <s v="Friday   "/>
    <d v="1899-12-30T00:20:01"/>
    <n v="5"/>
    <s v="Bezs Beatles Day!"/>
    <x v="11"/>
    <s v="OUT_OF_TIME"/>
    <n v="0.33333333333333298"/>
    <n v="0.5"/>
    <n v="0.33333333333333298"/>
    <n v="0.2"/>
    <n v="0"/>
    <n v="0"/>
    <n v="0"/>
    <n v="1"/>
    <n v="0"/>
    <n v="0"/>
    <n v="0"/>
    <n v="0"/>
    <n v="0"/>
    <n v="0"/>
    <n v="0"/>
    <n v="0"/>
    <n v="1"/>
    <n v="0"/>
    <n v="0"/>
    <n v="0"/>
    <n v="0"/>
    <n v="0"/>
    <n v="0"/>
    <n v="0"/>
    <n v="0"/>
    <n v="0"/>
    <n v="0"/>
    <n v="0"/>
    <n v="0"/>
    <n v="0"/>
    <s v="-"/>
    <n v="0"/>
    <n v="1"/>
    <n v="1"/>
    <n v="0"/>
    <n v="0"/>
    <n v="0"/>
  </r>
  <r>
    <s v="2025-12-05 00:00:00.000 +0000"/>
    <x v="5"/>
    <s v="Friday   "/>
    <d v="1899-12-30T00:20:01"/>
    <n v="4"/>
    <s v="Roblox"/>
    <x v="9"/>
    <s v="OUT_OF_TIME"/>
    <n v="0.55555555555555503"/>
    <n v="0.5"/>
    <n v="0.33333333333333298"/>
    <n v="0.4"/>
    <n v="9.0909090909090898E-2"/>
    <n v="1"/>
    <n v="0"/>
    <n v="0"/>
    <n v="0"/>
    <n v="0"/>
    <n v="0"/>
    <n v="0"/>
    <n v="0"/>
    <n v="0"/>
    <n v="0"/>
    <n v="0"/>
    <n v="0"/>
    <n v="0"/>
    <n v="0"/>
    <n v="1"/>
    <n v="0"/>
    <n v="1"/>
    <n v="0"/>
    <n v="1"/>
    <n v="0"/>
    <n v="0"/>
    <n v="0"/>
    <n v="0"/>
    <n v="0"/>
    <n v="0"/>
    <s v="-"/>
    <n v="1"/>
    <n v="4"/>
    <n v="1"/>
    <n v="1"/>
    <n v="1"/>
    <n v="1"/>
  </r>
  <r>
    <s v="2025-12-05 00:00:00.000 +0000"/>
    <x v="5"/>
    <s v="Friday   "/>
    <d v="1899-12-30T00:20:01"/>
    <n v="4"/>
    <s v="Roblox"/>
    <x v="8"/>
    <s v="COMPLETED"/>
    <n v="0.55555555555555503"/>
    <n v="1"/>
    <n v="0.66666666666666596"/>
    <n v="0.2"/>
    <n v="0"/>
    <n v="1"/>
    <n v="0"/>
    <n v="0"/>
    <n v="0"/>
    <n v="0"/>
    <n v="0"/>
    <n v="0"/>
    <n v="0"/>
    <n v="0"/>
    <n v="0"/>
    <n v="0"/>
    <n v="0"/>
    <n v="0"/>
    <n v="0"/>
    <n v="1"/>
    <n v="0"/>
    <n v="1"/>
    <n v="0"/>
    <n v="1"/>
    <n v="0"/>
    <n v="0"/>
    <n v="0"/>
    <n v="0"/>
    <n v="0"/>
    <n v="0"/>
    <s v="-"/>
    <n v="1"/>
    <n v="4"/>
    <n v="1"/>
    <n v="1"/>
    <n v="1"/>
    <n v="1"/>
  </r>
  <r>
    <s v="2025-12-10 00:00:00.000 +0000"/>
    <x v="5"/>
    <s v="Wednesday"/>
    <d v="1899-12-30T00:19:26"/>
    <n v="8"/>
    <s v="The Chain"/>
    <x v="0"/>
    <s v="COMPLETED"/>
    <n v="0.44444444444444398"/>
    <n v="1"/>
    <n v="0.5"/>
    <n v="0.4"/>
    <n v="0.27272727272727199"/>
    <n v="0"/>
    <n v="0"/>
    <n v="0"/>
    <n v="0"/>
    <n v="0"/>
    <n v="0"/>
    <n v="0"/>
    <n v="1"/>
    <n v="0"/>
    <n v="0"/>
    <n v="0"/>
    <n v="0"/>
    <n v="1"/>
    <n v="0"/>
    <n v="0"/>
    <n v="0"/>
    <n v="0"/>
    <n v="0"/>
    <n v="0"/>
    <n v="0"/>
    <n v="0"/>
    <n v="0"/>
    <n v="0"/>
    <n v="1"/>
    <n v="0"/>
    <s v="-"/>
    <n v="0"/>
    <n v="1"/>
    <n v="2"/>
    <n v="0"/>
    <n v="0"/>
    <n v="1"/>
  </r>
  <r>
    <s v="2025-12-11 00:00:00.000 +0000"/>
    <x v="5"/>
    <s v="Thursday "/>
    <d v="1899-12-30T00:20:01"/>
    <n v="5"/>
    <s v="Bezs Beatles Day!"/>
    <x v="11"/>
    <s v="OUT_OF_TIME"/>
    <n v="0.66666666666666596"/>
    <n v="0.5"/>
    <n v="0.33333333333333298"/>
    <n v="0.33333333333333298"/>
    <n v="0.18181818181818099"/>
    <n v="0"/>
    <n v="0"/>
    <n v="1"/>
    <n v="0"/>
    <n v="0"/>
    <n v="0"/>
    <n v="0"/>
    <n v="0"/>
    <n v="0"/>
    <n v="0"/>
    <n v="0"/>
    <n v="1"/>
    <n v="0"/>
    <n v="0"/>
    <n v="0"/>
    <n v="0"/>
    <n v="0"/>
    <n v="0"/>
    <n v="0"/>
    <n v="0"/>
    <n v="0"/>
    <n v="0"/>
    <n v="0"/>
    <n v="0"/>
    <n v="0"/>
    <s v="-"/>
    <n v="0"/>
    <n v="1"/>
    <n v="1"/>
    <n v="0"/>
    <n v="0"/>
    <n v="0"/>
  </r>
  <r>
    <s v="2025-12-11 00:00:00.000 +0000"/>
    <x v="5"/>
    <s v="Thursday "/>
    <d v="1899-12-30T00:19:51"/>
    <n v="29"/>
    <s v="Too Good To Be True V2"/>
    <x v="12"/>
    <s v="COMPLETED"/>
    <n v="0.55555555555555503"/>
    <n v="1"/>
    <n v="0.66666666666666596"/>
    <n v="0.266666666666666"/>
    <n v="9.0909090909090898E-2"/>
    <n v="0"/>
    <n v="0"/>
    <n v="1"/>
    <n v="0"/>
    <n v="0"/>
    <n v="0"/>
    <n v="0"/>
    <n v="0"/>
    <n v="0"/>
    <n v="0"/>
    <n v="0"/>
    <n v="0"/>
    <n v="0"/>
    <n v="0"/>
    <n v="0"/>
    <n v="0"/>
    <n v="0"/>
    <n v="0"/>
    <n v="0"/>
    <n v="0"/>
    <n v="0"/>
    <n v="0"/>
    <n v="1"/>
    <n v="0"/>
    <n v="0"/>
    <s v="-"/>
    <n v="0"/>
    <n v="1"/>
    <n v="2"/>
    <n v="0"/>
    <n v="0"/>
    <n v="0"/>
  </r>
  <r>
    <s v="2025-12-12 00:00:00.000 +0000"/>
    <x v="5"/>
    <s v="Friday   "/>
    <d v="1899-12-30T00:25:01"/>
    <n v="8"/>
    <s v="The Chain"/>
    <x v="1"/>
    <s v="OUT_OF_TIME"/>
    <n v="0.55555555555555503"/>
    <n v="1"/>
    <n v="0.33333333333333298"/>
    <n v="0.33333333333333298"/>
    <n v="0.18181818181818099"/>
    <n v="0"/>
    <n v="0"/>
    <n v="0"/>
    <n v="0"/>
    <n v="0"/>
    <n v="0"/>
    <n v="0"/>
    <n v="1"/>
    <n v="0"/>
    <n v="0"/>
    <n v="0"/>
    <n v="0"/>
    <n v="1"/>
    <n v="0"/>
    <n v="0"/>
    <n v="0"/>
    <n v="0"/>
    <n v="0"/>
    <n v="0"/>
    <n v="0"/>
    <n v="0"/>
    <n v="0"/>
    <n v="0"/>
    <n v="1"/>
    <n v="0"/>
    <s v="-"/>
    <n v="0"/>
    <n v="1"/>
    <n v="2"/>
    <n v="0"/>
    <n v="0"/>
    <n v="1"/>
  </r>
  <r>
    <s v="2025-12-19 00:00:00.000 +0000"/>
    <x v="5"/>
    <s v="Friday   "/>
    <d v="1899-12-30T00:25:19"/>
    <n v="8"/>
    <s v="The Chain"/>
    <x v="9"/>
    <s v="COMPLETED"/>
    <n v="0.44444444444444398"/>
    <n v="0.5"/>
    <n v="0.66666666666666596"/>
    <n v="0.6"/>
    <n v="0.36363636363636298"/>
    <n v="0"/>
    <n v="0"/>
    <n v="0"/>
    <n v="0"/>
    <n v="0"/>
    <n v="0"/>
    <n v="0"/>
    <n v="1"/>
    <n v="0"/>
    <n v="0"/>
    <n v="0"/>
    <n v="0"/>
    <n v="1"/>
    <n v="0"/>
    <n v="0"/>
    <n v="0"/>
    <n v="0"/>
    <n v="0"/>
    <n v="0"/>
    <n v="0"/>
    <n v="0"/>
    <n v="0"/>
    <n v="0"/>
    <n v="1"/>
    <n v="0"/>
    <s v="-"/>
    <n v="0"/>
    <n v="1"/>
    <n v="2"/>
    <n v="0"/>
    <n v="0"/>
    <n v="1"/>
  </r>
  <r>
    <s v="2025-12-19 00:00:00.000 +0000"/>
    <x v="5"/>
    <s v="Friday   "/>
    <d v="1899-12-30T00:25:02"/>
    <n v="18"/>
    <s v="The Switch"/>
    <x v="8"/>
    <s v="OUT_OF_TIME"/>
    <n v="0.33333333333333298"/>
    <n v="0.5"/>
    <n v="0.66666666666666596"/>
    <n v="0.4"/>
    <n v="0.18181818181818099"/>
    <n v="0"/>
    <n v="0"/>
    <n v="0"/>
    <n v="0"/>
    <n v="1"/>
    <n v="0"/>
    <n v="1"/>
    <n v="1"/>
    <n v="0"/>
    <n v="0"/>
    <n v="0"/>
    <n v="1"/>
    <n v="0"/>
    <n v="0"/>
    <n v="0"/>
    <n v="0"/>
    <n v="0"/>
    <n v="0"/>
    <n v="0"/>
    <n v="0"/>
    <n v="0"/>
    <n v="0"/>
    <n v="0"/>
    <n v="1"/>
    <n v="0"/>
    <s v="-"/>
    <n v="0"/>
    <n v="3"/>
    <n v="1"/>
    <n v="0"/>
    <n v="1"/>
    <n v="1"/>
  </r>
  <r>
    <s v="2026-01-08 00:00:00.000 +0000"/>
    <x v="6"/>
    <s v="Thursday "/>
    <d v="1899-12-30T00:24:22"/>
    <n v="18"/>
    <s v="The Switch"/>
    <x v="1"/>
    <s v="COMPLETED"/>
    <n v="0.66666666666666596"/>
    <n v="1"/>
    <n v="0.66666666666666596"/>
    <n v="0.46666666666666601"/>
    <n v="0.27272727272727199"/>
    <n v="0"/>
    <n v="0"/>
    <n v="0"/>
    <n v="0"/>
    <n v="1"/>
    <n v="0"/>
    <n v="1"/>
    <n v="1"/>
    <n v="0"/>
    <n v="0"/>
    <n v="0"/>
    <n v="1"/>
    <n v="0"/>
    <n v="0"/>
    <n v="0"/>
    <n v="0"/>
    <n v="0"/>
    <n v="0"/>
    <n v="0"/>
    <n v="0"/>
    <n v="0"/>
    <n v="0"/>
    <n v="0"/>
    <n v="1"/>
    <n v="0"/>
    <s v="-"/>
    <n v="0"/>
    <n v="3"/>
    <n v="1"/>
    <n v="0"/>
    <n v="1"/>
    <n v="1"/>
  </r>
  <r>
    <s v="2026-01-08 00:00:00.000 +0000"/>
    <x v="6"/>
    <s v="Thursday "/>
    <d v="1899-12-30T00:20:01"/>
    <n v="4"/>
    <s v="Roblox"/>
    <x v="4"/>
    <s v="OUT_OF_TIME"/>
    <n v="0.33333333333333298"/>
    <n v="0.5"/>
    <n v="0.66666666666666596"/>
    <n v="0.266666666666666"/>
    <n v="9.0909090909090898E-2"/>
    <n v="1"/>
    <n v="0"/>
    <n v="0"/>
    <n v="0"/>
    <n v="0"/>
    <n v="0"/>
    <n v="0"/>
    <n v="0"/>
    <n v="0"/>
    <n v="0"/>
    <n v="0"/>
    <n v="0"/>
    <n v="0"/>
    <n v="0"/>
    <n v="1"/>
    <n v="0"/>
    <n v="1"/>
    <n v="0"/>
    <n v="1"/>
    <n v="0"/>
    <n v="0"/>
    <n v="0"/>
    <n v="0"/>
    <n v="0"/>
    <n v="0"/>
    <s v="-"/>
    <n v="1"/>
    <n v="4"/>
    <n v="1"/>
    <n v="1"/>
    <n v="1"/>
    <n v="1"/>
  </r>
  <r>
    <s v="2026-01-12 00:00:00.000 +0000"/>
    <x v="6"/>
    <s v="Monday   "/>
    <d v="1899-12-30T00:25:02"/>
    <n v="8"/>
    <s v="The Chain"/>
    <x v="2"/>
    <s v="OUT_OF_TIME"/>
    <n v="0.66666666666666596"/>
    <n v="0.5"/>
    <n v="0.33333333333333298"/>
    <n v="0.33333333333333298"/>
    <n v="0.18181818181818099"/>
    <n v="0"/>
    <n v="0"/>
    <n v="0"/>
    <n v="0"/>
    <n v="0"/>
    <n v="0"/>
    <n v="0"/>
    <n v="1"/>
    <n v="0"/>
    <n v="0"/>
    <n v="0"/>
    <n v="0"/>
    <n v="1"/>
    <n v="0"/>
    <n v="0"/>
    <n v="0"/>
    <n v="0"/>
    <n v="0"/>
    <n v="0"/>
    <n v="0"/>
    <n v="0"/>
    <n v="0"/>
    <n v="0"/>
    <n v="1"/>
    <n v="0"/>
    <s v="-"/>
    <n v="0"/>
    <n v="1"/>
    <n v="2"/>
    <n v="0"/>
    <n v="0"/>
    <n v="1"/>
  </r>
  <r>
    <s v="2026-01-14 00:00:00.000 +0000"/>
    <x v="6"/>
    <s v="Wednesday"/>
    <d v="1899-12-30T00:24:03"/>
    <n v="8"/>
    <s v="The Chain"/>
    <x v="6"/>
    <s v="COMPLETED"/>
    <n v="0.55555555555555503"/>
    <n v="1"/>
    <n v="0.66666666666666596"/>
    <n v="0.6"/>
    <n v="0.36363636363636298"/>
    <n v="0"/>
    <n v="0"/>
    <n v="0"/>
    <n v="0"/>
    <n v="0"/>
    <n v="0"/>
    <n v="0"/>
    <n v="1"/>
    <n v="0"/>
    <n v="0"/>
    <n v="0"/>
    <n v="0"/>
    <n v="1"/>
    <n v="0"/>
    <n v="0"/>
    <n v="0"/>
    <n v="0"/>
    <n v="0"/>
    <n v="0"/>
    <n v="0"/>
    <n v="0"/>
    <n v="0"/>
    <n v="0"/>
    <n v="1"/>
    <n v="0"/>
    <s v="-"/>
    <n v="0"/>
    <n v="1"/>
    <n v="2"/>
    <n v="0"/>
    <n v="0"/>
    <n v="1"/>
  </r>
  <r>
    <s v="2026-01-15 00:00:00.000 +0000"/>
    <x v="6"/>
    <s v="Thursday "/>
    <d v="1899-12-30T00:20:01"/>
    <n v="32"/>
    <s v="The Big Investor V2"/>
    <x v="11"/>
    <s v="OUT_OF_TIME"/>
    <n v="0.44444444444444398"/>
    <n v="0.5"/>
    <n v="0.33333333333333298"/>
    <n v="0.266666666666666"/>
    <n v="0.18181818181818099"/>
    <n v="0"/>
    <n v="0"/>
    <n v="0"/>
    <n v="0"/>
    <n v="0"/>
    <n v="0"/>
    <n v="1"/>
    <n v="1"/>
    <n v="0"/>
    <n v="0"/>
    <n v="0"/>
    <n v="0"/>
    <n v="0"/>
    <n v="0"/>
    <n v="0"/>
    <n v="0"/>
    <n v="0"/>
    <n v="0"/>
    <n v="0"/>
    <n v="0"/>
    <n v="0"/>
    <n v="0"/>
    <n v="0"/>
    <n v="0"/>
    <n v="0"/>
    <s v="-"/>
    <n v="0"/>
    <n v="2"/>
    <n v="0"/>
    <n v="0"/>
    <n v="0"/>
    <n v="0"/>
  </r>
  <r>
    <s v="2026-01-16 00:00:00.000 +0000"/>
    <x v="6"/>
    <s v="Friday   "/>
    <d v="1899-12-30T00:20:01"/>
    <n v="5"/>
    <s v="Bezs Beatles Day! V2"/>
    <x v="12"/>
    <s v="OUT_OF_TIME"/>
    <n v="0.33333333333333298"/>
    <n v="1"/>
    <n v="0.33333333333333298"/>
    <n v="0.4"/>
    <n v="0.36363636363636298"/>
    <n v="0"/>
    <n v="0"/>
    <n v="1"/>
    <n v="0"/>
    <n v="0"/>
    <n v="0"/>
    <n v="0"/>
    <n v="0"/>
    <n v="0"/>
    <n v="0"/>
    <n v="0"/>
    <n v="1"/>
    <n v="0"/>
    <n v="0"/>
    <n v="0"/>
    <n v="0"/>
    <n v="0"/>
    <n v="0"/>
    <n v="0"/>
    <n v="0"/>
    <n v="0"/>
    <n v="0"/>
    <n v="0"/>
    <n v="0"/>
    <n v="0"/>
    <s v="-"/>
    <n v="0"/>
    <n v="1"/>
    <n v="1"/>
    <n v="0"/>
    <n v="0"/>
    <n v="0"/>
  </r>
  <r>
    <s v="2026-01-16 00:00:00.000 +0000"/>
    <x v="6"/>
    <s v="Friday   "/>
    <d v="1899-12-30T00:25:02"/>
    <n v="18"/>
    <s v="The Switch"/>
    <x v="9"/>
    <s v="OUT_OF_TIME"/>
    <n v="0.44444444444444398"/>
    <n v="1"/>
    <n v="0.33333333333333298"/>
    <n v="0.2"/>
    <n v="9.0909090909090898E-2"/>
    <n v="0"/>
    <n v="0"/>
    <n v="0"/>
    <n v="0"/>
    <n v="1"/>
    <n v="0"/>
    <n v="1"/>
    <n v="1"/>
    <n v="0"/>
    <n v="0"/>
    <n v="0"/>
    <n v="1"/>
    <n v="0"/>
    <n v="0"/>
    <n v="0"/>
    <n v="0"/>
    <n v="0"/>
    <n v="0"/>
    <n v="0"/>
    <n v="0"/>
    <n v="0"/>
    <n v="0"/>
    <n v="0"/>
    <n v="1"/>
    <n v="0"/>
    <s v="-"/>
    <n v="0"/>
    <n v="3"/>
    <n v="1"/>
    <n v="0"/>
    <n v="1"/>
    <n v="1"/>
  </r>
  <r>
    <s v="2026-01-16 00:00:00.000 +0000"/>
    <x v="6"/>
    <s v="Friday   "/>
    <d v="1899-12-30T00:20:41"/>
    <n v="18"/>
    <s v="The Switch"/>
    <x v="0"/>
    <s v="COMPLETED"/>
    <n v="0.77777777777777701"/>
    <n v="1"/>
    <n v="0.66666666666666596"/>
    <n v="0.66666666666666596"/>
    <n v="0.45454545454545398"/>
    <n v="0"/>
    <n v="0"/>
    <n v="0"/>
    <n v="0"/>
    <n v="1"/>
    <n v="0"/>
    <n v="1"/>
    <n v="1"/>
    <n v="0"/>
    <n v="0"/>
    <n v="0"/>
    <n v="1"/>
    <n v="0"/>
    <n v="0"/>
    <n v="0"/>
    <n v="0"/>
    <n v="0"/>
    <n v="0"/>
    <n v="0"/>
    <n v="0"/>
    <n v="0"/>
    <n v="0"/>
    <n v="0"/>
    <n v="1"/>
    <n v="0"/>
    <s v="-"/>
    <n v="0"/>
    <n v="3"/>
    <n v="1"/>
    <n v="0"/>
    <n v="1"/>
    <n v="1"/>
  </r>
  <r>
    <s v="2026-01-21 00:00:00.000 +0000"/>
    <x v="6"/>
    <s v="Wednesday"/>
    <d v="1899-12-30T00:27:57"/>
    <n v="33"/>
    <s v="The Unknown Unknown"/>
    <x v="3"/>
    <s v="COMPLETED"/>
    <n v="0.33333333333333298"/>
    <n v="1"/>
    <n v="0.66666666666666596"/>
    <n v="0.2"/>
    <n v="0"/>
    <n v="0"/>
    <n v="0"/>
    <n v="1"/>
    <n v="0"/>
    <n v="0"/>
    <n v="1"/>
    <n v="0"/>
    <n v="0"/>
    <n v="0"/>
    <n v="0"/>
    <n v="0"/>
    <n v="0"/>
    <n v="0"/>
    <n v="0"/>
    <n v="0"/>
    <n v="0"/>
    <n v="0"/>
    <n v="0"/>
    <n v="0"/>
    <n v="0"/>
    <n v="0"/>
    <n v="0"/>
    <n v="0"/>
    <n v="0"/>
    <n v="1"/>
    <s v="-"/>
    <n v="1"/>
    <n v="0"/>
    <n v="1"/>
    <n v="1"/>
    <n v="0"/>
    <n v="0"/>
  </r>
  <r>
    <s v="2026-01-22 00:00:00.000 +0000"/>
    <x v="6"/>
    <s v="Thursday "/>
    <d v="1899-12-30T00:20:01"/>
    <n v="4"/>
    <s v="Roblox"/>
    <x v="7"/>
    <s v="OUT_OF_TIME"/>
    <n v="0.66666666666666596"/>
    <n v="0"/>
    <n v="0.33333333333333298"/>
    <n v="0.66666666666666596"/>
    <n v="0.36363636363636298"/>
    <n v="1"/>
    <n v="0"/>
    <n v="0"/>
    <n v="0"/>
    <n v="0"/>
    <n v="0"/>
    <n v="0"/>
    <n v="0"/>
    <n v="0"/>
    <n v="0"/>
    <n v="0"/>
    <n v="0"/>
    <n v="0"/>
    <n v="0"/>
    <n v="1"/>
    <n v="0"/>
    <n v="1"/>
    <n v="0"/>
    <n v="1"/>
    <n v="0"/>
    <n v="0"/>
    <n v="0"/>
    <n v="0"/>
    <n v="0"/>
    <n v="0"/>
    <s v="-"/>
    <n v="1"/>
    <n v="4"/>
    <n v="1"/>
    <n v="1"/>
    <n v="1"/>
    <n v="1"/>
  </r>
  <r>
    <s v="2026-01-23 00:00:00.000 +0000"/>
    <x v="6"/>
    <s v="Friday   "/>
    <d v="1899-12-30T00:15:26"/>
    <n v="5"/>
    <s v="Bezs Beatles Day! V2"/>
    <x v="12"/>
    <s v="COMPLETED"/>
    <n v="0.44444444444444398"/>
    <n v="0.5"/>
    <n v="0.66666666666666596"/>
    <n v="0.66666666666666596"/>
    <n v="0.27272727272727199"/>
    <n v="0"/>
    <n v="0"/>
    <n v="1"/>
    <n v="0"/>
    <n v="0"/>
    <n v="0"/>
    <n v="0"/>
    <n v="0"/>
    <n v="0"/>
    <n v="0"/>
    <n v="0"/>
    <n v="1"/>
    <n v="0"/>
    <n v="0"/>
    <n v="0"/>
    <n v="0"/>
    <n v="0"/>
    <n v="0"/>
    <n v="0"/>
    <n v="0"/>
    <n v="0"/>
    <n v="0"/>
    <n v="0"/>
    <n v="0"/>
    <n v="0"/>
    <s v="-"/>
    <n v="0"/>
    <n v="1"/>
    <n v="1"/>
    <n v="0"/>
    <n v="0"/>
    <n v="0"/>
  </r>
  <r>
    <s v="2026-01-28 00:00:00.000 +0000"/>
    <x v="6"/>
    <s v="Wednesday"/>
    <d v="1899-12-30T00:22:33"/>
    <n v="18"/>
    <s v="The Switch"/>
    <x v="6"/>
    <s v="COMPLETED"/>
    <n v="0.44444444444444398"/>
    <n v="1"/>
    <n v="0.83333333333333304"/>
    <n v="0.46666666666666601"/>
    <n v="0.27272727272727199"/>
    <n v="0"/>
    <n v="0"/>
    <n v="0"/>
    <n v="0"/>
    <n v="1"/>
    <n v="0"/>
    <n v="1"/>
    <n v="1"/>
    <n v="0"/>
    <n v="0"/>
    <n v="0"/>
    <n v="1"/>
    <n v="0"/>
    <n v="0"/>
    <n v="0"/>
    <n v="0"/>
    <n v="0"/>
    <n v="0"/>
    <n v="0"/>
    <n v="0"/>
    <n v="0"/>
    <n v="0"/>
    <n v="0"/>
    <n v="1"/>
    <n v="0"/>
    <s v="-"/>
    <n v="0"/>
    <n v="3"/>
    <n v="1"/>
    <n v="0"/>
    <n v="1"/>
    <n v="1"/>
  </r>
  <r>
    <s v="2026-01-29 00:00:00.000 +0000"/>
    <x v="6"/>
    <s v="Thursday "/>
    <d v="1899-12-30T00:18:22"/>
    <n v="32"/>
    <s v="The Big Investor V2"/>
    <x v="12"/>
    <s v="COMPLETED"/>
    <n v="0.44444444444444398"/>
    <n v="0.5"/>
    <n v="0.5"/>
    <n v="0.4"/>
    <n v="0.18181818181818099"/>
    <n v="0"/>
    <n v="0"/>
    <n v="0"/>
    <n v="0"/>
    <n v="0"/>
    <n v="0"/>
    <n v="1"/>
    <n v="1"/>
    <n v="0"/>
    <n v="0"/>
    <n v="0"/>
    <n v="0"/>
    <n v="0"/>
    <n v="0"/>
    <n v="0"/>
    <n v="0"/>
    <n v="0"/>
    <n v="0"/>
    <n v="0"/>
    <n v="0"/>
    <n v="0"/>
    <n v="0"/>
    <n v="0"/>
    <n v="0"/>
    <n v="0"/>
    <s v="-"/>
    <n v="0"/>
    <n v="2"/>
    <n v="0"/>
    <n v="0"/>
    <n v="0"/>
    <n v="0"/>
  </r>
  <r>
    <s v="2026-02-05 00:00:00.000 +0000"/>
    <x v="7"/>
    <s v="Thursday "/>
    <d v="1899-12-30T00:21:37"/>
    <n v="18"/>
    <s v="The Switch"/>
    <x v="7"/>
    <s v="COMPLETED"/>
    <n v="0.66666666666666596"/>
    <n v="0.5"/>
    <n v="0.33333333333333298"/>
    <n v="0.66666666666666596"/>
    <n v="0.45454545454545398"/>
    <n v="0"/>
    <n v="0"/>
    <n v="0"/>
    <n v="0"/>
    <n v="1"/>
    <n v="0"/>
    <n v="1"/>
    <n v="1"/>
    <n v="0"/>
    <n v="0"/>
    <n v="0"/>
    <n v="1"/>
    <n v="0"/>
    <n v="0"/>
    <n v="0"/>
    <n v="0"/>
    <n v="0"/>
    <n v="0"/>
    <n v="0"/>
    <n v="0"/>
    <n v="0"/>
    <n v="0"/>
    <n v="0"/>
    <n v="1"/>
    <n v="0"/>
    <s v="-"/>
    <n v="0"/>
    <n v="3"/>
    <n v="1"/>
    <n v="0"/>
    <n v="1"/>
    <n v="1"/>
  </r>
  <r>
    <s v="2026-02-06 00:00:00.000 +0000"/>
    <x v="7"/>
    <s v="Friday   "/>
    <d v="1899-12-30T00:14:33"/>
    <n v="7"/>
    <s v="Rumours"/>
    <x v="12"/>
    <s v="COMPLETED"/>
    <n v="0.55555555555555503"/>
    <n v="1"/>
    <n v="0.33333333333333298"/>
    <n v="0.133333333333333"/>
    <n v="0"/>
    <n v="0"/>
    <n v="0"/>
    <n v="0"/>
    <n v="0"/>
    <n v="0"/>
    <n v="0"/>
    <n v="1"/>
    <n v="0"/>
    <n v="1"/>
    <n v="0"/>
    <n v="0"/>
    <n v="0"/>
    <n v="0"/>
    <n v="0"/>
    <n v="0"/>
    <n v="0"/>
    <n v="0"/>
    <n v="0"/>
    <n v="0"/>
    <n v="0"/>
    <n v="0"/>
    <n v="1"/>
    <n v="0"/>
    <n v="0"/>
    <n v="0"/>
    <s v="-"/>
    <n v="0"/>
    <n v="2"/>
    <n v="0"/>
    <n v="1"/>
    <n v="0"/>
    <n v="0"/>
  </r>
  <r>
    <s v="2026-02-12 00:00:00.000 +0000"/>
    <x v="7"/>
    <s v="Thursday "/>
    <d v="1899-12-30T00:28:12"/>
    <n v="33"/>
    <s v="The Unknown Unknown"/>
    <x v="0"/>
    <s v="COMPLETED"/>
    <n v="0.66666666666666596"/>
    <n v="1"/>
    <n v="0.5"/>
    <n v="0.46666666666666601"/>
    <n v="0.27272727272727199"/>
    <n v="0"/>
    <n v="0"/>
    <n v="1"/>
    <n v="0"/>
    <n v="0"/>
    <n v="1"/>
    <n v="0"/>
    <n v="0"/>
    <n v="0"/>
    <n v="0"/>
    <n v="0"/>
    <n v="0"/>
    <n v="0"/>
    <n v="0"/>
    <n v="0"/>
    <n v="0"/>
    <n v="0"/>
    <n v="0"/>
    <n v="0"/>
    <n v="0"/>
    <n v="0"/>
    <n v="0"/>
    <n v="0"/>
    <n v="0"/>
    <n v="1"/>
    <s v="-"/>
    <n v="1"/>
    <n v="0"/>
    <n v="1"/>
    <n v="1"/>
    <n v="0"/>
    <n v="0"/>
  </r>
  <r>
    <s v="2026-02-13 00:00:00.000 +0000"/>
    <x v="7"/>
    <s v="Friday   "/>
    <d v="1899-12-30T00:23:39"/>
    <n v="14"/>
    <s v="Missing Delivery"/>
    <x v="12"/>
    <s v="COMPLETED"/>
    <n v="0.66666666666666596"/>
    <n v="1"/>
    <n v="0.5"/>
    <n v="0.53333333333333299"/>
    <n v="0.36363636363636298"/>
    <n v="0"/>
    <n v="0"/>
    <n v="0"/>
    <n v="0"/>
    <n v="0"/>
    <n v="0"/>
    <n v="0"/>
    <n v="0"/>
    <n v="1"/>
    <n v="1"/>
    <n v="0"/>
    <n v="0"/>
    <n v="0"/>
    <n v="0"/>
    <n v="1"/>
    <n v="0"/>
    <n v="0"/>
    <n v="0"/>
    <n v="0"/>
    <n v="0"/>
    <n v="0"/>
    <n v="0"/>
    <n v="0"/>
    <n v="0"/>
    <n v="0"/>
    <s v="-"/>
    <n v="1"/>
    <n v="2"/>
    <n v="1"/>
    <n v="1"/>
    <n v="2"/>
    <n v="1"/>
  </r>
  <r>
    <s v="2026-02-13 00:00:00.000 +0000"/>
    <x v="7"/>
    <s v="Friday   "/>
    <d v="1899-12-30T00:20:02"/>
    <n v="17"/>
    <s v="Version confusion"/>
    <x v="9"/>
    <s v="OUT_OF_TIME"/>
    <n v="0.55555555555555503"/>
    <n v="1"/>
    <n v="0.5"/>
    <n v="0.2"/>
    <n v="9.0909090909090898E-2"/>
    <n v="0"/>
    <n v="0"/>
    <n v="0"/>
    <n v="0"/>
    <n v="1"/>
    <n v="0"/>
    <n v="1"/>
    <n v="0"/>
    <n v="0"/>
    <n v="0"/>
    <n v="0"/>
    <n v="1"/>
    <n v="0"/>
    <n v="0"/>
    <n v="0"/>
    <n v="0"/>
    <n v="0"/>
    <n v="0"/>
    <n v="0"/>
    <n v="0"/>
    <n v="0"/>
    <n v="0"/>
    <n v="0"/>
    <n v="0"/>
    <n v="0"/>
    <s v="-"/>
    <n v="0"/>
    <n v="2"/>
    <n v="0"/>
    <n v="0"/>
    <n v="1"/>
    <n v="0"/>
  </r>
  <r>
    <s v="2026-02-13 00:00:00.000 +0000"/>
    <x v="7"/>
    <s v="Friday   "/>
    <d v="1899-12-30T00:25:01"/>
    <n v="8"/>
    <s v="The Chain"/>
    <x v="4"/>
    <s v="OUT_OF_TIME"/>
    <n v="0.55555555555555503"/>
    <n v="1"/>
    <n v="0.33333333333333298"/>
    <n v="0.33333333333333298"/>
    <n v="0.27272727272727199"/>
    <n v="0"/>
    <n v="0"/>
    <n v="0"/>
    <n v="0"/>
    <n v="0"/>
    <n v="0"/>
    <n v="0"/>
    <n v="1"/>
    <n v="0"/>
    <n v="0"/>
    <n v="0"/>
    <n v="0"/>
    <n v="1"/>
    <n v="0"/>
    <n v="0"/>
    <n v="0"/>
    <n v="0"/>
    <n v="0"/>
    <n v="0"/>
    <n v="0"/>
    <n v="0"/>
    <n v="0"/>
    <n v="0"/>
    <n v="1"/>
    <n v="0"/>
    <s v="-"/>
    <n v="0"/>
    <n v="1"/>
    <n v="2"/>
    <n v="0"/>
    <n v="0"/>
    <n v="1"/>
  </r>
  <r>
    <s v="2026-02-19 00:00:00.000 +0000"/>
    <x v="7"/>
    <s v="Thursday "/>
    <d v="1899-12-30T00:20:01"/>
    <n v="17"/>
    <s v="Version confusion"/>
    <x v="3"/>
    <s v="OUT_OF_TIME"/>
    <n v="0.33333333333333298"/>
    <n v="1"/>
    <n v="0.5"/>
    <n v="0.33333333333333298"/>
    <n v="9.0909090909090898E-2"/>
    <n v="0"/>
    <n v="0"/>
    <n v="0"/>
    <n v="0"/>
    <n v="1"/>
    <n v="0"/>
    <n v="1"/>
    <n v="0"/>
    <n v="0"/>
    <n v="0"/>
    <n v="0"/>
    <n v="1"/>
    <n v="0"/>
    <n v="0"/>
    <n v="0"/>
    <n v="0"/>
    <n v="0"/>
    <n v="0"/>
    <n v="0"/>
    <n v="0"/>
    <n v="0"/>
    <n v="0"/>
    <n v="0"/>
    <n v="0"/>
    <n v="0"/>
    <s v="-"/>
    <n v="0"/>
    <n v="2"/>
    <n v="0"/>
    <n v="0"/>
    <n v="1"/>
    <n v="0"/>
  </r>
  <r>
    <s v="2026-02-20 00:00:00.000 +0000"/>
    <x v="7"/>
    <s v="Friday   "/>
    <d v="1899-12-30T00:20:11"/>
    <n v="8"/>
    <s v="The Chain"/>
    <x v="8"/>
    <s v="COMPLETED"/>
    <n v="0.44444444444444398"/>
    <n v="0.5"/>
    <n v="0.66666666666666596"/>
    <n v="0.33333333333333298"/>
    <n v="0.18181818181818099"/>
    <n v="0"/>
    <n v="0"/>
    <n v="0"/>
    <n v="0"/>
    <n v="0"/>
    <n v="0"/>
    <n v="0"/>
    <n v="1"/>
    <n v="0"/>
    <n v="0"/>
    <n v="0"/>
    <n v="0"/>
    <n v="1"/>
    <n v="0"/>
    <n v="0"/>
    <n v="0"/>
    <n v="0"/>
    <n v="0"/>
    <n v="0"/>
    <n v="0"/>
    <n v="0"/>
    <n v="0"/>
    <n v="0"/>
    <n v="1"/>
    <n v="0"/>
    <s v="-"/>
    <n v="0"/>
    <n v="1"/>
    <n v="2"/>
    <n v="0"/>
    <n v="0"/>
    <n v="1"/>
  </r>
  <r>
    <s v="2026-02-23 00:00:00.000 +0000"/>
    <x v="7"/>
    <s v="Monday   "/>
    <d v="1899-12-30T00:20:01"/>
    <n v="17"/>
    <s v="Version confusion"/>
    <x v="2"/>
    <s v="OUT_OF_TIME"/>
    <n v="0.44444444444444398"/>
    <n v="0.5"/>
    <n v="0.33333333333333298"/>
    <n v="0.33333333333333298"/>
    <n v="0.18181818181818099"/>
    <n v="0"/>
    <n v="0"/>
    <n v="0"/>
    <n v="0"/>
    <n v="1"/>
    <n v="0"/>
    <n v="1"/>
    <n v="0"/>
    <n v="0"/>
    <n v="0"/>
    <n v="0"/>
    <n v="1"/>
    <n v="0"/>
    <n v="0"/>
    <n v="0"/>
    <n v="0"/>
    <n v="0"/>
    <n v="0"/>
    <n v="0"/>
    <n v="0"/>
    <n v="0"/>
    <n v="0"/>
    <n v="0"/>
    <n v="0"/>
    <n v="0"/>
    <s v="-"/>
    <n v="0"/>
    <n v="2"/>
    <n v="0"/>
    <n v="0"/>
    <n v="1"/>
    <n v="0"/>
  </r>
  <r>
    <s v="2026-02-26 00:00:00.000 +0000"/>
    <x v="7"/>
    <s v="Thursday "/>
    <d v="1899-12-30T00:25:02"/>
    <n v="18"/>
    <s v="The Switch"/>
    <x v="4"/>
    <s v="OUT_OF_TIME"/>
    <n v="0.22222222222222199"/>
    <n v="0.5"/>
    <n v="0.33333333333333298"/>
    <n v="0.2"/>
    <n v="0"/>
    <n v="0"/>
    <n v="0"/>
    <n v="0"/>
    <n v="0"/>
    <n v="1"/>
    <n v="0"/>
    <n v="1"/>
    <n v="1"/>
    <n v="0"/>
    <n v="0"/>
    <n v="0"/>
    <n v="1"/>
    <n v="0"/>
    <n v="0"/>
    <n v="0"/>
    <n v="0"/>
    <n v="0"/>
    <n v="0"/>
    <n v="0"/>
    <n v="0"/>
    <n v="0"/>
    <n v="0"/>
    <n v="0"/>
    <n v="1"/>
    <n v="0"/>
    <s v="-"/>
    <n v="0"/>
    <n v="3"/>
    <n v="1"/>
    <n v="0"/>
    <n v="1"/>
    <n v="1"/>
  </r>
  <r>
    <s v="2026-02-27 00:00:00.000 +0000"/>
    <x v="7"/>
    <s v="Friday   "/>
    <d v="1899-12-30T00:19:50"/>
    <n v="16"/>
    <s v="Radio Silence"/>
    <x v="12"/>
    <s v="COMPLETED"/>
    <n v="0.55555555555555503"/>
    <n v="1"/>
    <n v="0.5"/>
    <n v="0.46666666666666601"/>
    <n v="0.18181818181818099"/>
    <n v="0"/>
    <n v="0"/>
    <n v="0"/>
    <n v="1"/>
    <n v="0"/>
    <n v="0"/>
    <n v="0"/>
    <n v="0"/>
    <n v="0"/>
    <n v="0"/>
    <n v="0"/>
    <n v="0"/>
    <n v="0"/>
    <n v="1"/>
    <n v="0"/>
    <n v="0"/>
    <n v="0"/>
    <n v="0"/>
    <n v="0"/>
    <n v="0"/>
    <n v="0"/>
    <n v="0"/>
    <n v="0"/>
    <n v="0"/>
    <n v="0"/>
    <s v="-"/>
    <n v="0"/>
    <n v="1"/>
    <n v="0"/>
    <n v="0"/>
    <n v="1"/>
    <n v="0"/>
  </r>
  <r>
    <s v="2026-03-04 00:00:00.000 +0000"/>
    <x v="8"/>
    <s v="Wednesday"/>
    <d v="1899-12-30T00:16:02"/>
    <n v="17"/>
    <s v="Version confusion"/>
    <x v="6"/>
    <s v="COMPLETED"/>
    <n v="0.44444444444444398"/>
    <n v="0.5"/>
    <n v="0.66666666666666596"/>
    <n v="0.33333333333333298"/>
    <n v="9.0909090909090898E-2"/>
    <n v="0"/>
    <n v="0"/>
    <n v="0"/>
    <n v="0"/>
    <n v="1"/>
    <n v="0"/>
    <n v="1"/>
    <n v="0"/>
    <n v="0"/>
    <n v="0"/>
    <n v="0"/>
    <n v="1"/>
    <n v="0"/>
    <n v="0"/>
    <n v="0"/>
    <n v="0"/>
    <n v="0"/>
    <n v="0"/>
    <n v="0"/>
    <n v="0"/>
    <n v="0"/>
    <n v="0"/>
    <n v="0"/>
    <n v="0"/>
    <n v="0"/>
    <s v="-"/>
    <n v="0"/>
    <n v="2"/>
    <n v="0"/>
    <n v="0"/>
    <n v="1"/>
    <n v="0"/>
  </r>
  <r>
    <s v="2026-03-12 00:00:00.000 +0000"/>
    <x v="8"/>
    <s v="Thursday "/>
    <d v="1899-12-30T00:20:02"/>
    <n v="9"/>
    <s v="Cart-astrophe"/>
    <x v="2"/>
    <s v="OUT_OF_TIME"/>
    <n v="0.33333333333333298"/>
    <n v="0.5"/>
    <n v="0.5"/>
    <n v="0.266666666666666"/>
    <n v="9.0909090909090898E-2"/>
    <n v="0"/>
    <n v="0"/>
    <n v="0"/>
    <n v="0"/>
    <n v="0"/>
    <n v="0"/>
    <n v="0"/>
    <n v="0"/>
    <n v="0"/>
    <n v="0"/>
    <n v="0"/>
    <n v="0"/>
    <n v="0"/>
    <n v="0"/>
    <n v="0"/>
    <n v="0"/>
    <n v="0"/>
    <n v="0"/>
    <n v="0"/>
    <n v="0"/>
    <n v="0"/>
    <n v="0"/>
    <n v="0"/>
    <n v="0"/>
    <n v="0"/>
    <s v="-"/>
    <n v="0"/>
    <n v="0"/>
    <n v="0"/>
    <n v="0"/>
    <n v="0"/>
    <n v="0"/>
  </r>
  <r>
    <s v="2026-03-16 00:00:00.000 +0000"/>
    <x v="8"/>
    <s v="Monday   "/>
    <d v="1899-12-30T00:20:02"/>
    <n v="9"/>
    <s v="Cart-astrophe"/>
    <x v="9"/>
    <s v="OUT_OF_TIME"/>
    <n v="0.55555555555555503"/>
    <n v="0.5"/>
    <n v="0.33333333333333298"/>
    <n v="0.33333333333333298"/>
    <n v="0.27272727272727199"/>
    <n v="0"/>
    <n v="0"/>
    <n v="0"/>
    <n v="0"/>
    <n v="0"/>
    <n v="0"/>
    <n v="0"/>
    <n v="0"/>
    <n v="0"/>
    <n v="0"/>
    <n v="0"/>
    <n v="0"/>
    <n v="0"/>
    <n v="0"/>
    <n v="0"/>
    <n v="0"/>
    <n v="0"/>
    <n v="0"/>
    <n v="0"/>
    <n v="0"/>
    <n v="0"/>
    <n v="0"/>
    <n v="0"/>
    <n v="0"/>
    <n v="0"/>
    <s v="-"/>
    <n v="0"/>
    <n v="0"/>
    <n v="0"/>
    <n v="0"/>
    <n v="0"/>
    <n v="0"/>
  </r>
  <r>
    <m/>
    <x v="9"/>
    <m/>
    <m/>
    <m/>
    <m/>
    <x v="13"/>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7">
  <r>
    <d v="2024-10-22T00:00:00"/>
    <x v="0"/>
    <d v="1899-12-30T11:00:00"/>
    <s v="Vallabh"/>
    <s v="Domino's"/>
    <n v="14"/>
    <s v="Pre Sales"/>
    <m/>
    <s v="Joe"/>
    <s v="Karan"/>
    <s v="Please record the session"/>
    <s v="No Score"/>
    <m/>
    <m/>
    <m/>
    <m/>
    <s v="Attended"/>
    <m/>
    <m/>
    <m/>
    <m/>
    <m/>
  </r>
  <r>
    <d v="2024-10-22T00:00:00"/>
    <x v="0"/>
    <d v="1899-12-30T13:00:00"/>
    <s v="Anandaraj"/>
    <s v="Domino's"/>
    <n v="5"/>
    <s v="Pre Sales"/>
    <m/>
    <s v="Joe"/>
    <s v="Karan"/>
    <m/>
    <s v="No Score"/>
    <m/>
    <m/>
    <m/>
    <m/>
    <s v="Attended"/>
    <m/>
    <m/>
    <m/>
    <m/>
    <m/>
  </r>
  <r>
    <d v="2024-10-23T00:00:00"/>
    <x v="0"/>
    <d v="1899-12-30T13:30:00"/>
    <s v="Swetha"/>
    <s v="Domino's"/>
    <n v="15"/>
    <s v="Pre Sales"/>
    <m/>
    <s v="Karan"/>
    <s v="Hamed"/>
    <m/>
    <s v="No Score"/>
    <m/>
    <m/>
    <m/>
    <m/>
    <s v="Attended"/>
    <m/>
    <m/>
    <m/>
    <m/>
    <m/>
  </r>
  <r>
    <d v="2024-10-28T00:00:00"/>
    <x v="0"/>
    <d v="1899-12-30T12:30:00"/>
    <s v="Vallabh"/>
    <s v="Domino's"/>
    <n v="14"/>
    <s v="Pre Sales"/>
    <m/>
    <s v="Joe"/>
    <s v="Naz"/>
    <m/>
    <n v="9"/>
    <m/>
    <m/>
    <m/>
    <m/>
    <s v="Attended"/>
    <m/>
    <m/>
    <m/>
    <m/>
    <m/>
  </r>
  <r>
    <d v="2024-10-28T00:00:00"/>
    <x v="0"/>
    <d v="1899-12-30T14:30:00"/>
    <s v="Swetha"/>
    <s v="Domino's"/>
    <n v="15"/>
    <s v="Pre Sales"/>
    <m/>
    <s v="Joe"/>
    <s v="Naz"/>
    <m/>
    <n v="8"/>
    <m/>
    <m/>
    <m/>
    <m/>
    <s v="Attended"/>
    <m/>
    <m/>
    <m/>
    <m/>
    <m/>
  </r>
  <r>
    <d v="2024-10-29T00:00:00"/>
    <x v="0"/>
    <d v="1899-12-30T10:00:00"/>
    <s v="Anandaraj"/>
    <s v="Domino's"/>
    <n v="5"/>
    <s v="Pre Sales"/>
    <m/>
    <s v="Joe"/>
    <s v="Naz"/>
    <m/>
    <n v="10"/>
    <m/>
    <m/>
    <m/>
    <m/>
    <s v="Attended"/>
    <m/>
    <m/>
    <m/>
    <m/>
    <m/>
  </r>
  <r>
    <d v="2024-10-29T00:00:00"/>
    <x v="0"/>
    <d v="1899-12-30T12:30:00"/>
    <s v="Vallabh"/>
    <s v="Domino's"/>
    <n v="14"/>
    <s v="Pre Sales"/>
    <m/>
    <m/>
    <m/>
    <m/>
    <m/>
    <m/>
    <m/>
    <m/>
    <m/>
    <s v="Cancelled"/>
    <s v="He will be on vacation until November 11th."/>
    <m/>
    <m/>
    <m/>
    <m/>
  </r>
  <r>
    <d v="2024-11-01T00:00:00"/>
    <x v="1"/>
    <d v="1899-12-30T12:30:00"/>
    <s v="Swetha"/>
    <s v="Domino's"/>
    <n v="15"/>
    <s v="Pre Sales"/>
    <m/>
    <s v="Joe"/>
    <s v="Ed,Hamed"/>
    <m/>
    <n v="9"/>
    <s v="Swetha: &quot;I normally give 10 - I learnt a lot in this drill l- time was short.&quot;"/>
    <m/>
    <m/>
    <m/>
    <s v="Attended"/>
    <m/>
    <m/>
    <m/>
    <m/>
    <m/>
  </r>
  <r>
    <d v="2024-11-04T00:00:00"/>
    <x v="1"/>
    <d v="1899-12-30T11:00:00"/>
    <s v="Anandaraj"/>
    <s v="Domino's"/>
    <n v="5"/>
    <s v="Pre Sales"/>
    <m/>
    <s v="Joe"/>
    <s v="Ed"/>
    <m/>
    <n v="10"/>
    <m/>
    <m/>
    <m/>
    <m/>
    <s v="Attended"/>
    <m/>
    <m/>
    <m/>
    <m/>
    <m/>
  </r>
  <r>
    <d v="2024-11-11T00:00:00"/>
    <x v="1"/>
    <d v="1899-12-30T12:00:00"/>
    <s v="Raghunandan"/>
    <s v="Domino's"/>
    <m/>
    <s v="Pre Sales"/>
    <m/>
    <s v="Karan"/>
    <s v="Ed"/>
    <m/>
    <m/>
    <m/>
    <m/>
    <m/>
    <m/>
    <s v="No Show"/>
    <m/>
    <m/>
    <m/>
    <m/>
    <m/>
  </r>
  <r>
    <d v="2024-11-20T00:00:00"/>
    <x v="1"/>
    <d v="1899-12-30T12:00:00"/>
    <s v="Raghunandan"/>
    <s v="Domino's"/>
    <m/>
    <s v="Pre Sales"/>
    <m/>
    <s v="Karan"/>
    <s v="Matthew"/>
    <m/>
    <n v="9"/>
    <m/>
    <m/>
    <m/>
    <m/>
    <s v="Attended"/>
    <m/>
    <m/>
    <m/>
    <m/>
    <m/>
  </r>
  <r>
    <d v="2024-11-21T00:00:00"/>
    <x v="1"/>
    <d v="1899-12-30T15:30:00"/>
    <s v="Raghunandan"/>
    <s v="Domino's"/>
    <m/>
    <s v="Pre Sales"/>
    <m/>
    <s v="Karan"/>
    <s v="Drew"/>
    <m/>
    <n v="10"/>
    <m/>
    <m/>
    <m/>
    <m/>
    <s v="Attended"/>
    <m/>
    <m/>
    <m/>
    <m/>
    <m/>
  </r>
  <r>
    <d v="2024-11-25T00:00:00"/>
    <x v="1"/>
    <d v="1899-12-30T11:30:00"/>
    <s v="Vallabh"/>
    <s v="Domino's"/>
    <n v="14"/>
    <s v="Pre Sales"/>
    <m/>
    <s v="Hamed"/>
    <s v="Ed"/>
    <m/>
    <n v="9"/>
    <m/>
    <m/>
    <m/>
    <m/>
    <s v="Attended"/>
    <m/>
    <m/>
    <m/>
    <m/>
    <m/>
  </r>
  <r>
    <d v="2024-11-26T00:00:00"/>
    <x v="1"/>
    <d v="1899-12-30T11:30:00"/>
    <s v="Vaishnavi"/>
    <s v="Domino's"/>
    <n v="13"/>
    <s v="Pre Sales"/>
    <m/>
    <s v="Naz"/>
    <s v="Ed"/>
    <m/>
    <n v="8"/>
    <s v="8 is the score for a simple drill, There is a lot of noise and a lot of msg coming in at the same time"/>
    <m/>
    <m/>
    <m/>
    <s v="Attended"/>
    <m/>
    <m/>
    <m/>
    <m/>
    <m/>
  </r>
  <r>
    <d v="2024-11-29T00:00:00"/>
    <x v="1"/>
    <d v="1899-12-30T13:00:00"/>
    <s v="Yeshwanth"/>
    <s v="Domino's"/>
    <n v="11"/>
    <s v="Pre Sales"/>
    <m/>
    <s v="Naz"/>
    <s v="Maram"/>
    <m/>
    <n v="9"/>
    <m/>
    <m/>
    <m/>
    <m/>
    <s v="Attended"/>
    <m/>
    <m/>
    <m/>
    <m/>
    <m/>
  </r>
  <r>
    <d v="2024-12-02T00:00:00"/>
    <x v="2"/>
    <d v="1899-12-30T12:15:00"/>
    <s v="Raghunandan"/>
    <s v="Domino's"/>
    <m/>
    <s v="Pre Sales"/>
    <m/>
    <s v="Hamed"/>
    <s v="Leon"/>
    <m/>
    <n v="10"/>
    <s v="Enjoyed the drill_x000a_"/>
    <m/>
    <m/>
    <m/>
    <s v="Attended"/>
    <m/>
    <m/>
    <m/>
    <m/>
    <m/>
  </r>
  <r>
    <d v="2024-12-10T00:00:00"/>
    <x v="2"/>
    <d v="1899-12-30T12:30:00"/>
    <s v="Vaishnavi"/>
    <s v="Domino's"/>
    <n v="13"/>
    <s v="Pre Sales"/>
    <m/>
    <s v="Karan"/>
    <s v="Leon"/>
    <m/>
    <n v="9"/>
    <s v="Enjoyed the drill but still needs to learn character roles"/>
    <m/>
    <m/>
    <m/>
    <s v="Attended"/>
    <m/>
    <m/>
    <m/>
    <m/>
    <m/>
  </r>
  <r>
    <d v="2024-12-11T00:00:00"/>
    <x v="2"/>
    <d v="1899-12-30T11:30:00"/>
    <s v="Vaishnavi"/>
    <s v="Domino's"/>
    <n v="13"/>
    <s v="Pre Sales"/>
    <m/>
    <m/>
    <m/>
    <m/>
    <m/>
    <m/>
    <m/>
    <m/>
    <m/>
    <s v="Cancelled"/>
    <s v="She is unavailable"/>
    <m/>
    <m/>
    <m/>
    <m/>
  </r>
  <r>
    <d v="2024-12-12T00:00:00"/>
    <x v="2"/>
    <d v="1899-12-30T10:00:00"/>
    <s v="Vaishnavi"/>
    <s v="Domino's"/>
    <n v="13"/>
    <s v="Pre Sales"/>
    <m/>
    <s v="Karan"/>
    <s v="Maram"/>
    <m/>
    <n v="10"/>
    <m/>
    <m/>
    <m/>
    <m/>
    <s v="Attended"/>
    <m/>
    <m/>
    <m/>
    <m/>
    <m/>
  </r>
  <r>
    <d v="2025-07-07T00:00:00"/>
    <x v="3"/>
    <d v="1899-12-30T15:00:00"/>
    <s v="Pradeep"/>
    <s v="Domino's"/>
    <n v="17"/>
    <s v="Intro"/>
    <m/>
    <s v="Naz"/>
    <m/>
    <m/>
    <s v="No Score"/>
    <m/>
    <m/>
    <m/>
    <m/>
    <s v="Attended"/>
    <m/>
    <m/>
    <m/>
    <m/>
    <m/>
  </r>
  <r>
    <d v="2025-07-09T00:00:00"/>
    <x v="3"/>
    <d v="1899-12-30T14:00:00"/>
    <s v="Swetha"/>
    <s v="Domino's"/>
    <n v="15"/>
    <s v="Too Good To Be True"/>
    <m/>
    <s v="Karan"/>
    <s v="Naz"/>
    <m/>
    <n v="10"/>
    <s v="Felt good and its great to recall old drills and practice the drills"/>
    <n v="4915"/>
    <m/>
    <m/>
    <s v="Attended"/>
    <m/>
    <m/>
    <m/>
    <m/>
    <m/>
  </r>
  <r>
    <d v="2025-07-10T00:00:00"/>
    <x v="3"/>
    <d v="1899-12-30T11:00:00"/>
    <s v="Yeshwanth"/>
    <s v="Domino's"/>
    <n v="11"/>
    <s v="Onboarding,Too Good To Be True"/>
    <m/>
    <s v="Naz"/>
    <s v="Matthew"/>
    <m/>
    <s v="No Score"/>
    <m/>
    <m/>
    <m/>
    <m/>
    <s v="Attended"/>
    <m/>
    <m/>
    <m/>
    <m/>
    <m/>
  </r>
  <r>
    <d v="2025-07-11T00:00:00"/>
    <x v="3"/>
    <d v="1899-12-30T13:00:00"/>
    <s v="Anandaraj"/>
    <s v="Domino's"/>
    <n v="5"/>
    <s v="Intro"/>
    <m/>
    <s v="Karan"/>
    <m/>
    <m/>
    <s v="No Score"/>
    <m/>
    <m/>
    <m/>
    <m/>
    <s v="Attended"/>
    <m/>
    <m/>
    <m/>
    <m/>
    <m/>
  </r>
  <r>
    <d v="2025-07-14T00:00:00"/>
    <x v="3"/>
    <d v="1899-12-30T15:00:00"/>
    <s v="Pradeep"/>
    <s v="Domino's"/>
    <n v="17"/>
    <s v="Onboarding,Too Good To Be True"/>
    <m/>
    <s v="Naz"/>
    <s v="Leon"/>
    <m/>
    <n v="10"/>
    <s v="He found drill fun and interesting. For him being an IM is interesting as in Dominos he is SRE_x000a_  "/>
    <n v="4974"/>
    <m/>
    <m/>
    <s v="Attended"/>
    <m/>
    <m/>
    <m/>
    <m/>
    <m/>
  </r>
  <r>
    <d v="2025-07-16T00:00:00"/>
    <x v="3"/>
    <d v="1899-12-30T14:00:00"/>
    <s v="Ramesh"/>
    <s v="Domino's"/>
    <n v="16"/>
    <s v="Intro"/>
    <m/>
    <s v="Karan"/>
    <m/>
    <m/>
    <s v="No Score"/>
    <m/>
    <m/>
    <m/>
    <m/>
    <s v="Attended"/>
    <m/>
    <m/>
    <m/>
    <m/>
    <m/>
  </r>
  <r>
    <d v="2025-07-16T00:00:00"/>
    <x v="3"/>
    <d v="1899-12-30T14:00:00"/>
    <s v="Swetha"/>
    <s v="Domino's"/>
    <n v="15"/>
    <m/>
    <m/>
    <m/>
    <m/>
    <m/>
    <m/>
    <m/>
    <m/>
    <m/>
    <m/>
    <s v="Early Cancellation"/>
    <s v="She is off"/>
    <m/>
    <m/>
    <m/>
    <m/>
  </r>
  <r>
    <d v="2025-07-17T00:00:00"/>
    <x v="3"/>
    <d v="1899-12-30T11:00:00"/>
    <s v="Yeshwanth"/>
    <s v="Domino's"/>
    <n v="11"/>
    <s v="Bez Beatles Day"/>
    <m/>
    <s v="Charlene"/>
    <m/>
    <m/>
    <n v="10"/>
    <s v="He didn't timed out on the drill but despite that felt he learned a lot, with how to manage frequent business updates and pushback from characters._x000a__x000a_There was a lot of confusion on how to use the business comms channel as he was tagging shay and Bob in that channel. He may have needed a more comprehensive onboarding experience "/>
    <n v="5043"/>
    <m/>
    <m/>
    <s v="Attended"/>
    <m/>
    <m/>
    <m/>
    <m/>
    <m/>
  </r>
  <r>
    <d v="2025-07-18T00:00:00"/>
    <x v="3"/>
    <d v="1899-12-30T13:00:00"/>
    <s v="Anandaraj"/>
    <s v="Domino's"/>
    <n v="5"/>
    <m/>
    <m/>
    <m/>
    <m/>
    <m/>
    <m/>
    <m/>
    <m/>
    <m/>
    <m/>
    <s v="Internal Reschedule/Cancellation"/>
    <s v="Had to reschedule due to internal issues"/>
    <m/>
    <m/>
    <m/>
    <m/>
  </r>
  <r>
    <d v="2025-07-21T00:00:00"/>
    <x v="3"/>
    <d v="1899-12-30T15:00:00"/>
    <s v="Pradeep"/>
    <s v="Domino's"/>
    <n v="17"/>
    <m/>
    <m/>
    <m/>
    <m/>
    <m/>
    <m/>
    <m/>
    <m/>
    <m/>
    <m/>
    <s v="Rescheduled"/>
    <s v="There's an internal call and its overlapping with the session"/>
    <m/>
    <m/>
    <m/>
    <m/>
  </r>
  <r>
    <d v="2025-07-23T00:00:00"/>
    <x v="3"/>
    <d v="1899-12-30T14:00:00"/>
    <s v="Ramesh"/>
    <s v="Domino's"/>
    <n v="16"/>
    <s v="Onboarding,Too Good To Be True"/>
    <m/>
    <s v="Naz"/>
    <s v="Matthew"/>
    <m/>
    <n v="10"/>
    <m/>
    <m/>
    <m/>
    <m/>
    <s v="Attended"/>
    <m/>
    <m/>
    <m/>
    <m/>
    <m/>
  </r>
  <r>
    <d v="2025-07-23T00:00:00"/>
    <x v="3"/>
    <d v="1899-12-30T14:00:00"/>
    <s v="Swetha"/>
    <s v="Domino's"/>
    <n v="15"/>
    <s v="Bez Beatles Day"/>
    <m/>
    <s v="Karan"/>
    <s v="Drew"/>
    <m/>
    <n v="10"/>
    <s v="Change was not correlating with errors ._x000a_What were the factors - This is great place to handle tough personality "/>
    <n v="5121"/>
    <m/>
    <m/>
    <s v="Attended"/>
    <m/>
    <m/>
    <m/>
    <m/>
    <m/>
  </r>
  <r>
    <d v="2025-07-23T00:00:00"/>
    <x v="3"/>
    <d v="1899-12-30T15:00:00"/>
    <s v="Feroze Din"/>
    <s v="Domino's"/>
    <n v="1"/>
    <m/>
    <m/>
    <m/>
    <m/>
    <m/>
    <m/>
    <m/>
    <m/>
    <m/>
    <m/>
    <s v="Cancelled"/>
    <s v="Something came up and won't be able to attend"/>
    <m/>
    <m/>
    <m/>
    <m/>
  </r>
  <r>
    <d v="2025-07-24T00:00:00"/>
    <x v="3"/>
    <d v="1899-12-30T11:00:00"/>
    <s v="Yeshwanth"/>
    <s v="Domino's"/>
    <n v="11"/>
    <m/>
    <m/>
    <m/>
    <m/>
    <m/>
    <m/>
    <m/>
    <m/>
    <m/>
    <m/>
    <s v="Cancelled"/>
    <s v="Unavailable due to other work"/>
    <m/>
    <m/>
    <m/>
    <m/>
  </r>
  <r>
    <d v="2025-07-24T00:00:00"/>
    <x v="3"/>
    <d v="1899-12-30T13:00:00"/>
    <s v="Pradeep"/>
    <s v="Domino's"/>
    <n v="17"/>
    <s v="Bez Beatles Day"/>
    <m/>
    <s v="Matthew"/>
    <s v="Naz"/>
    <m/>
    <n v="10"/>
    <s v="it was a good drill_x000a_is liking the sessions and the experience he is gaining from them. He is an SRE so all of this is new to him  "/>
    <n v="5140"/>
    <m/>
    <m/>
    <s v="Attended"/>
    <m/>
    <m/>
    <m/>
    <m/>
    <m/>
  </r>
  <r>
    <d v="2025-07-25T00:00:00"/>
    <x v="3"/>
    <d v="1899-12-30T13:00:00"/>
    <s v="Anandaraj"/>
    <s v="Domino's"/>
    <n v="5"/>
    <m/>
    <m/>
    <m/>
    <m/>
    <m/>
    <m/>
    <m/>
    <m/>
    <m/>
    <m/>
    <s v="Cancelled"/>
    <s v="There are some priority issues"/>
    <m/>
    <m/>
    <m/>
    <m/>
  </r>
  <r>
    <d v="2025-07-28T00:00:00"/>
    <x v="3"/>
    <d v="1899-12-30T15:00:00"/>
    <s v="Pradeep"/>
    <s v="Domino's"/>
    <n v="17"/>
    <s v="The Big Investors"/>
    <m/>
    <s v="Rishi"/>
    <m/>
    <m/>
    <n v="10"/>
    <s v="Its was a good drill - he got to double check with Tanya on chaos test. He's a SRE but he's seeing the value and pain points of an Incident Manager. _x000a__x000a_Why 10 ?_x000a_It's helping him in doing better communication. Handling high-stakes people. "/>
    <n v="5181"/>
    <m/>
    <m/>
    <s v="Attended"/>
    <m/>
    <m/>
    <m/>
    <m/>
    <m/>
  </r>
  <r>
    <d v="2025-07-30T00:00:00"/>
    <x v="3"/>
    <d v="1899-12-30T14:00:00"/>
    <s v="Ramesh"/>
    <s v="Domino's"/>
    <n v="16"/>
    <s v="Bez Beatles Day"/>
    <m/>
    <s v="Rishi"/>
    <s v="Naz"/>
    <m/>
    <n v="8"/>
    <s v="Liked the narrative and overall motive of the scenario. It was his first drill doing it independently. So took some time to grasp the roles and names. _x000a__x000a_What it would take to get 10?_x000a_1. There could've been a designation written by the names of each character._x000a_2. Responses were quite slow and did not pick up exact commands. Context - he asked to roll back the payment and checkout change both to Shay. Shay did his own, so he thought it was done for both"/>
    <n v="5204"/>
    <m/>
    <m/>
    <s v="Attended"/>
    <m/>
    <m/>
    <m/>
    <m/>
    <m/>
  </r>
  <r>
    <d v="2025-07-30T00:00:00"/>
    <x v="3"/>
    <d v="1899-12-30T14:00:00"/>
    <s v="Swetha"/>
    <s v="Domino's"/>
    <n v="15"/>
    <s v="The Big Investors"/>
    <m/>
    <s v="Karan"/>
    <s v="Leon"/>
    <m/>
    <n v="10"/>
    <s v="Why 10 ? :_x000a_UAT scripts running in PROD is a great real time example ._x000a__x000a_Learning - Impact assessment should be done at beginning ."/>
    <n v="5205"/>
    <m/>
    <m/>
    <s v="Attended"/>
    <m/>
    <m/>
    <m/>
    <m/>
    <m/>
  </r>
  <r>
    <d v="2025-07-30T00:00:00"/>
    <x v="3"/>
    <d v="1899-12-30T15:00:00"/>
    <s v="Feroze Din"/>
    <s v="Domino's"/>
    <n v="1"/>
    <m/>
    <m/>
    <s v="Naz"/>
    <m/>
    <s v="he send a msg that he couldn't make it, but joined the call and said sorry as he needed to be in another call. so next week Intro"/>
    <m/>
    <m/>
    <m/>
    <m/>
    <m/>
    <s v="Late Cancellation"/>
    <m/>
    <m/>
    <m/>
    <m/>
    <m/>
  </r>
  <r>
    <d v="2025-07-31T00:00:00"/>
    <x v="3"/>
    <d v="1899-12-30T11:00:00"/>
    <s v="Yeshwanth"/>
    <s v="Domino's"/>
    <n v="11"/>
    <m/>
    <m/>
    <m/>
    <m/>
    <m/>
    <m/>
    <m/>
    <m/>
    <m/>
    <m/>
    <s v="Cancelled"/>
    <s v="He is busy today"/>
    <m/>
    <m/>
    <m/>
    <m/>
  </r>
  <r>
    <d v="2025-08-01T00:00:00"/>
    <x v="4"/>
    <d v="1899-12-30T12:00:00"/>
    <s v="Account Meeting"/>
    <s v="Domino's"/>
    <m/>
    <s v="Account Meeting"/>
    <m/>
    <m/>
    <m/>
    <m/>
    <m/>
    <m/>
    <m/>
    <m/>
    <m/>
    <m/>
    <m/>
    <m/>
    <m/>
    <m/>
    <m/>
  </r>
  <r>
    <d v="2025-08-01T00:00:00"/>
    <x v="4"/>
    <d v="1899-12-30T13:00:00"/>
    <s v="Anandaraj"/>
    <s v="Domino's"/>
    <n v="5"/>
    <m/>
    <m/>
    <s v="Rishi"/>
    <m/>
    <m/>
    <m/>
    <m/>
    <m/>
    <m/>
    <m/>
    <s v="No Show"/>
    <m/>
    <m/>
    <m/>
    <m/>
    <m/>
  </r>
  <r>
    <d v="2025-08-04T00:00:00"/>
    <x v="4"/>
    <d v="1899-12-30T15:00:00"/>
    <s v="Pradeep"/>
    <s v="Domino's"/>
    <n v="17"/>
    <s v="Rumours"/>
    <m/>
    <s v="Rishi"/>
    <m/>
    <m/>
    <n v="10"/>
    <s v="He liked it and understood where it could've formed the working theory, not to check the changes. "/>
    <n v="5255"/>
    <m/>
    <m/>
    <s v="Attended"/>
    <m/>
    <m/>
    <m/>
    <m/>
    <m/>
  </r>
  <r>
    <d v="2025-08-06T00:00:00"/>
    <x v="4"/>
    <d v="1899-12-30T14:00:00"/>
    <s v="Ramesh"/>
    <s v="Domino's"/>
    <n v="16"/>
    <m/>
    <m/>
    <m/>
    <m/>
    <m/>
    <m/>
    <m/>
    <m/>
    <m/>
    <m/>
    <s v="Rescheduled"/>
    <m/>
    <m/>
    <m/>
    <m/>
    <m/>
  </r>
  <r>
    <d v="2025-08-06T00:00:00"/>
    <x v="4"/>
    <d v="1899-12-30T15:00:00"/>
    <s v="Feroze Din"/>
    <s v="Domino's"/>
    <n v="1"/>
    <m/>
    <m/>
    <m/>
    <m/>
    <m/>
    <m/>
    <m/>
    <m/>
    <m/>
    <m/>
    <s v="Rescheduled"/>
    <s v="Can't make it."/>
    <m/>
    <m/>
    <m/>
    <m/>
  </r>
  <r>
    <d v="2025-08-07T00:00:00"/>
    <x v="4"/>
    <d v="1899-12-30T11:00:00"/>
    <s v="Yeshwanth"/>
    <s v="Domino's"/>
    <n v="11"/>
    <s v="The Big Investors"/>
    <m/>
    <s v="Charlene"/>
    <m/>
    <m/>
    <n v="10"/>
    <s v="He likes playing our drills and found the scenario today challenged him as he knows that problems aren't only just change related"/>
    <n v="5296"/>
    <m/>
    <m/>
    <s v="Attended"/>
    <m/>
    <m/>
    <m/>
    <m/>
    <m/>
  </r>
  <r>
    <d v="2025-08-07T00:00:00"/>
    <x v="4"/>
    <d v="1899-12-30T14:00:00"/>
    <s v="Ramesh"/>
    <s v="Domino's"/>
    <n v="16"/>
    <s v="The Big Investors"/>
    <m/>
    <s v="Matthew"/>
    <m/>
    <m/>
    <n v="8"/>
    <s v="Drill was good, feels that he could have used more time "/>
    <n v="5302"/>
    <m/>
    <m/>
    <s v="Attended"/>
    <m/>
    <m/>
    <m/>
    <m/>
    <m/>
  </r>
  <r>
    <d v="2025-08-07T00:00:00"/>
    <x v="4"/>
    <d v="1899-12-30T15:00:00"/>
    <s v="Feroze Din"/>
    <s v="Domino's"/>
    <n v="1"/>
    <s v="Intro"/>
    <m/>
    <s v="Karan"/>
    <m/>
    <m/>
    <s v="No Score"/>
    <m/>
    <m/>
    <m/>
    <m/>
    <s v="Attended"/>
    <m/>
    <m/>
    <m/>
    <m/>
    <m/>
  </r>
  <r>
    <d v="2025-08-08T00:00:00"/>
    <x v="4"/>
    <d v="1899-12-30T13:00:00"/>
    <s v="Anandaraj"/>
    <s v="Domino's"/>
    <n v="5"/>
    <m/>
    <m/>
    <s v="Rishi"/>
    <m/>
    <m/>
    <m/>
    <m/>
    <m/>
    <m/>
    <m/>
    <s v="Late Cancellation"/>
    <s v="Was busy in his EOW work"/>
    <m/>
    <m/>
    <m/>
    <m/>
  </r>
  <r>
    <d v="2025-08-11T00:00:00"/>
    <x v="4"/>
    <d v="1899-12-30T15:00:00"/>
    <s v="Pradeep"/>
    <s v="Domino's"/>
    <n v="17"/>
    <m/>
    <m/>
    <m/>
    <m/>
    <m/>
    <m/>
    <m/>
    <m/>
    <m/>
    <m/>
    <s v="Cancelled"/>
    <s v="Not available"/>
    <m/>
    <m/>
    <m/>
    <m/>
  </r>
  <r>
    <d v="2025-08-13T00:00:00"/>
    <x v="4"/>
    <d v="1899-12-30T14:00:00"/>
    <s v="Ramesh"/>
    <s v="Domino's"/>
    <n v="16"/>
    <m/>
    <m/>
    <m/>
    <m/>
    <m/>
    <m/>
    <m/>
    <m/>
    <m/>
    <m/>
    <s v="Cancelled"/>
    <s v="He is on planned leeave"/>
    <m/>
    <m/>
    <m/>
    <m/>
  </r>
  <r>
    <d v="2025-08-13T00:00:00"/>
    <x v="4"/>
    <d v="1899-12-30T14:00:00"/>
    <s v="Swetha"/>
    <s v="Domino's"/>
    <n v="15"/>
    <m/>
    <m/>
    <m/>
    <m/>
    <m/>
    <m/>
    <m/>
    <m/>
    <m/>
    <m/>
    <s v="Cancelled"/>
    <s v="Got an incident at the moment"/>
    <m/>
    <m/>
    <m/>
    <m/>
  </r>
  <r>
    <d v="2025-08-14T00:00:00"/>
    <x v="4"/>
    <d v="1899-12-30T11:00:00"/>
    <s v="Yeshwanth"/>
    <s v="Domino's"/>
    <n v="11"/>
    <m/>
    <m/>
    <m/>
    <m/>
    <m/>
    <m/>
    <m/>
    <m/>
    <m/>
    <m/>
    <s v="Cancelled"/>
    <s v="Has other important work"/>
    <m/>
    <m/>
    <m/>
    <m/>
  </r>
  <r>
    <d v="2025-08-14T00:00:00"/>
    <x v="4"/>
    <d v="1899-12-30T14:00:00"/>
    <s v="Praveen"/>
    <s v="Domino's"/>
    <n v="13"/>
    <s v="Intro"/>
    <m/>
    <s v="Karan"/>
    <m/>
    <m/>
    <s v="No Score"/>
    <m/>
    <m/>
    <m/>
    <m/>
    <s v="Attended"/>
    <m/>
    <m/>
    <m/>
    <m/>
    <m/>
  </r>
  <r>
    <d v="2025-08-14T00:00:00"/>
    <x v="4"/>
    <d v="1899-12-30T15:00:00"/>
    <s v="Feroze Din"/>
    <s v="Domino's"/>
    <n v="1"/>
    <m/>
    <m/>
    <m/>
    <m/>
    <m/>
    <m/>
    <m/>
    <m/>
    <m/>
    <m/>
    <s v="Cancelled"/>
    <s v="Declined the invite"/>
    <m/>
    <m/>
    <m/>
    <m/>
  </r>
  <r>
    <d v="2025-08-18T00:00:00"/>
    <x v="4"/>
    <d v="1899-12-30T15:00:00"/>
    <s v="Pradeep"/>
    <s v="Domino's"/>
    <n v="17"/>
    <m/>
    <m/>
    <m/>
    <m/>
    <m/>
    <m/>
    <m/>
    <m/>
    <m/>
    <m/>
    <s v="Rescheduled"/>
    <s v="There's a conflict"/>
    <m/>
    <m/>
    <m/>
    <m/>
  </r>
  <r>
    <d v="2025-08-20T00:00:00"/>
    <x v="4"/>
    <d v="1899-12-30T14:00:00"/>
    <s v="Ramesh"/>
    <s v="Domino's"/>
    <n v="16"/>
    <s v="Rumours"/>
    <m/>
    <s v="Rishi"/>
    <m/>
    <m/>
    <n v="10"/>
    <s v="It was a good one. He was able to size up properly, didn't check changes, and suggested to clear the cache much quicker _x000a__x000a_"/>
    <n v="5456"/>
    <m/>
    <m/>
    <s v="Attended"/>
    <m/>
    <m/>
    <m/>
    <m/>
    <m/>
  </r>
  <r>
    <d v="2025-08-20T00:00:00"/>
    <x v="4"/>
    <d v="1899-12-30T14:00:00"/>
    <s v="Swetha"/>
    <s v="Domino's"/>
    <n v="15"/>
    <s v="Rumours"/>
    <m/>
    <s v="Karan"/>
    <m/>
    <s v="They had an incident last week"/>
    <n v="10"/>
    <s v="This is great drill which we see in real life ._x000a_We used to see these type of issue in my previous company "/>
    <n v="5457"/>
    <m/>
    <m/>
    <s v="Attended"/>
    <m/>
    <m/>
    <m/>
    <m/>
    <m/>
  </r>
  <r>
    <d v="2025-08-20T00:00:00"/>
    <x v="4"/>
    <d v="1899-12-30T15:00:00"/>
    <s v="Pradeep"/>
    <s v="Domino's"/>
    <n v="17"/>
    <s v="Missing Delivery"/>
    <m/>
    <s v="Drew"/>
    <m/>
    <m/>
    <n v="10"/>
    <s v="Found it stressful but very enjoyable"/>
    <n v="5458"/>
    <m/>
    <m/>
    <s v="Attended"/>
    <m/>
    <m/>
    <m/>
    <m/>
    <m/>
  </r>
  <r>
    <d v="2025-08-21T00:00:00"/>
    <x v="4"/>
    <d v="1899-12-30T10:00:00"/>
    <s v="Latif"/>
    <s v="Domino's"/>
    <n v="12"/>
    <s v="Intro"/>
    <m/>
    <s v="Naz"/>
    <m/>
    <m/>
    <s v="No Score"/>
    <m/>
    <m/>
    <m/>
    <m/>
    <s v="Attended"/>
    <m/>
    <m/>
    <m/>
    <m/>
    <m/>
  </r>
  <r>
    <d v="2025-08-21T00:00:00"/>
    <x v="4"/>
    <d v="1899-12-30T11:00:00"/>
    <s v="Yeshwanth"/>
    <s v="Domino's"/>
    <n v="11"/>
    <s v="Rumours"/>
    <m/>
    <s v="Rishi"/>
    <m/>
    <m/>
    <n v="10"/>
    <s v="Enjoyed this session. Learned that it's not always a wider impact, could be one person as well. "/>
    <n v="5482"/>
    <m/>
    <m/>
    <s v="Attended"/>
    <m/>
    <m/>
    <m/>
    <m/>
    <m/>
  </r>
  <r>
    <d v="2025-08-21T00:00:00"/>
    <x v="4"/>
    <d v="1899-12-30T14:00:00"/>
    <s v="Praveen"/>
    <s v="Domino's"/>
    <n v="13"/>
    <s v="Onboarding,Too Good To Be True"/>
    <m/>
    <s v="Karan"/>
    <m/>
    <m/>
    <n v="10"/>
    <s v="Feels like a real incident ._x000a__x000a_I thought i was in real issue _x000a_"/>
    <n v="5491"/>
    <m/>
    <m/>
    <s v="Attended"/>
    <m/>
    <m/>
    <m/>
    <m/>
    <m/>
  </r>
  <r>
    <d v="2025-08-21T00:00:00"/>
    <x v="4"/>
    <d v="1899-12-30T15:00:00"/>
    <s v="Feroze Din"/>
    <s v="Domino's"/>
    <n v="1"/>
    <m/>
    <m/>
    <m/>
    <m/>
    <m/>
    <m/>
    <m/>
    <m/>
    <m/>
    <m/>
    <s v="Cancelled"/>
    <s v="Declined the invite"/>
    <m/>
    <m/>
    <m/>
    <m/>
  </r>
  <r>
    <d v="2025-08-22T00:00:00"/>
    <x v="4"/>
    <d v="1899-12-30T12:00:00"/>
    <s v="Vaishnavi"/>
    <s v="Domino's"/>
    <n v="13"/>
    <s v="Intro"/>
    <m/>
    <s v="Naz"/>
    <m/>
    <m/>
    <s v="No Score"/>
    <m/>
    <m/>
    <m/>
    <m/>
    <s v="Attended"/>
    <m/>
    <m/>
    <m/>
    <m/>
    <m/>
  </r>
  <r>
    <d v="2025-08-22T00:00:00"/>
    <x v="4"/>
    <d v="1899-12-30T13:00:00"/>
    <s v="Anandaraj"/>
    <s v="Domino's"/>
    <n v="5"/>
    <s v="Onboarding,Too Good To Be True"/>
    <m/>
    <s v="Naz"/>
    <m/>
    <m/>
    <s v="No Score"/>
    <m/>
    <m/>
    <m/>
    <m/>
    <s v="Attended"/>
    <m/>
    <m/>
    <m/>
    <m/>
    <m/>
  </r>
  <r>
    <d v="2025-08-27T00:00:00"/>
    <x v="4"/>
    <d v="1899-12-30T13:00:00"/>
    <s v="Gregg"/>
    <s v="Domino's"/>
    <n v="3"/>
    <m/>
    <m/>
    <m/>
    <m/>
    <m/>
    <m/>
    <m/>
    <m/>
    <m/>
    <m/>
    <s v="Cancelled"/>
    <s v="Rescheduled to September 22nd"/>
    <m/>
    <m/>
    <m/>
    <m/>
  </r>
  <r>
    <d v="2025-08-27T00:00:00"/>
    <x v="4"/>
    <d v="1899-12-30T14:00:00"/>
    <s v="Ramesh"/>
    <s v="Domino's"/>
    <n v="16"/>
    <m/>
    <m/>
    <m/>
    <m/>
    <m/>
    <m/>
    <m/>
    <m/>
    <m/>
    <m/>
    <s v="Rescheduled"/>
    <s v="He asked to reschedule to Friday"/>
    <m/>
    <m/>
    <m/>
    <m/>
  </r>
  <r>
    <d v="2025-08-27T00:00:00"/>
    <x v="4"/>
    <d v="1899-12-30T14:00:00"/>
    <s v="Swetha"/>
    <s v="Domino's"/>
    <n v="15"/>
    <m/>
    <m/>
    <m/>
    <m/>
    <m/>
    <m/>
    <m/>
    <m/>
    <m/>
    <m/>
    <s v="Cancelled"/>
    <s v="On holidays until September 8th"/>
    <m/>
    <m/>
    <m/>
    <m/>
  </r>
  <r>
    <d v="2025-08-28T00:00:00"/>
    <x v="4"/>
    <d v="1899-12-30T10:00:00"/>
    <s v="Latif"/>
    <s v="Domino's"/>
    <n v="12"/>
    <m/>
    <m/>
    <s v="Matthew"/>
    <m/>
    <m/>
    <m/>
    <m/>
    <m/>
    <m/>
    <m/>
    <s v="Abandoned Session"/>
    <s v="Onboarding session had to be rescheduled since the user wasn't invited to slack and drills failed to start. "/>
    <s v="INC-280 Users not in slack after registration was disabled"/>
    <s v="checked"/>
    <s v="Onboarding session had to be rescheduled since the user wasn't invited to slack and drills failed to start. "/>
    <m/>
  </r>
  <r>
    <d v="2025-08-28T00:00:00"/>
    <x v="4"/>
    <d v="1899-12-30T11:00:00"/>
    <s v="Yeshwanth"/>
    <s v="Domino's"/>
    <n v="11"/>
    <m/>
    <m/>
    <m/>
    <m/>
    <m/>
    <m/>
    <m/>
    <m/>
    <m/>
    <m/>
    <s v="Cancelled"/>
    <s v="Did not provide any reason."/>
    <m/>
    <m/>
    <m/>
    <m/>
  </r>
  <r>
    <d v="2025-08-28T00:00:00"/>
    <x v="4"/>
    <d v="1899-12-30T14:00:00"/>
    <s v="Praveen"/>
    <s v="Domino's"/>
    <n v="13"/>
    <m/>
    <m/>
    <m/>
    <m/>
    <m/>
    <m/>
    <m/>
    <m/>
    <m/>
    <m/>
    <s v="Cancelled"/>
    <s v="Did not provide any reason"/>
    <m/>
    <m/>
    <m/>
    <m/>
  </r>
  <r>
    <d v="2025-08-28T00:00:00"/>
    <x v="4"/>
    <d v="1899-12-30T15:00:00"/>
    <s v="Feroze Din"/>
    <s v="Domino's"/>
    <n v="1"/>
    <m/>
    <m/>
    <s v="Matthew"/>
    <m/>
    <m/>
    <m/>
    <m/>
    <m/>
    <m/>
    <m/>
    <s v="No Show"/>
    <m/>
    <m/>
    <m/>
    <m/>
    <m/>
  </r>
  <r>
    <d v="2025-08-29T00:00:00"/>
    <x v="4"/>
    <d v="1899-12-30T10:00:00"/>
    <s v="Latif"/>
    <s v="Domino's"/>
    <n v="12"/>
    <s v="Onboarding,Too Good To Be True"/>
    <m/>
    <s v="Matthew"/>
    <m/>
    <m/>
    <n v="10"/>
    <s v="thought it was a great way to learn P1's _x000a__x000a_I can tell he really liked the session and is looking forward to the next one "/>
    <n v="5560"/>
    <m/>
    <m/>
    <s v="Attended"/>
    <m/>
    <m/>
    <m/>
    <m/>
    <m/>
  </r>
  <r>
    <d v="2025-08-29T00:00:00"/>
    <x v="4"/>
    <d v="1899-12-30T12:00:00"/>
    <s v="Vaishnavi"/>
    <s v="Domino's"/>
    <n v="13"/>
    <m/>
    <m/>
    <s v="Matthew"/>
    <m/>
    <m/>
    <m/>
    <m/>
    <m/>
    <m/>
    <m/>
    <s v="No Show"/>
    <m/>
    <m/>
    <m/>
    <m/>
    <m/>
  </r>
  <r>
    <d v="2025-08-29T00:00:00"/>
    <x v="4"/>
    <d v="1899-12-30T13:00:00"/>
    <s v="Anandaraj"/>
    <s v="Domino's"/>
    <n v="5"/>
    <m/>
    <m/>
    <m/>
    <m/>
    <m/>
    <m/>
    <m/>
    <m/>
    <m/>
    <m/>
    <s v="Cancelled"/>
    <s v="Unavailable"/>
    <m/>
    <m/>
    <m/>
    <m/>
  </r>
  <r>
    <d v="2025-08-29T00:00:00"/>
    <x v="4"/>
    <d v="1899-12-30T13:00:00"/>
    <s v="Ramesh"/>
    <s v="Domino's"/>
    <n v="16"/>
    <s v="Missing Delivery"/>
    <m/>
    <s v="Rishi"/>
    <m/>
    <m/>
    <n v="8"/>
    <s v="Drill was good to play where it was the 3rd party issue and triggered with checking changes and have to rule out this possibility. _x000a__x000a_What would it take to get 10?_x000a_By the left sidebar bar, there could've been a list of all characters that he can DM. So it was all about bringing an easy way for them to remember the org chart. Later, with a follow-up discussion, he understood why we need to keep everybody in the chat "/>
    <n v="5567"/>
    <m/>
    <m/>
    <s v="Attended"/>
    <m/>
    <s v="INC-281 slack help links need updating to new wordpress site"/>
    <s v="checked"/>
    <s v="None of the static content like - org chart, arch diagram and dev chart is opening in /help"/>
    <m/>
  </r>
  <r>
    <d v="2025-08-29T00:00:00"/>
    <x v="4"/>
    <d v="1899-12-30T14:00:00"/>
    <s v="Gowtham"/>
    <s v="Domino's"/>
    <n v="10"/>
    <s v="Intro"/>
    <m/>
    <s v="Naz"/>
    <m/>
    <m/>
    <s v="No Score"/>
    <m/>
    <m/>
    <m/>
    <m/>
    <s v="Attended"/>
    <m/>
    <m/>
    <m/>
    <m/>
    <m/>
  </r>
  <r>
    <d v="2025-09-01T00:00:00"/>
    <x v="5"/>
    <d v="1899-12-30T15:00:00"/>
    <s v="Pradeep"/>
    <s v="Domino's"/>
    <n v="17"/>
    <m/>
    <m/>
    <m/>
    <m/>
    <m/>
    <m/>
    <m/>
    <m/>
    <m/>
    <m/>
    <s v="Rescheduled"/>
    <s v="Occupied and might not be able to attend"/>
    <m/>
    <m/>
    <m/>
    <m/>
  </r>
  <r>
    <d v="2025-09-02T00:00:00"/>
    <x v="5"/>
    <d v="1899-12-30T13:00:00"/>
    <s v="Pradeep"/>
    <s v="Domino's"/>
    <n v="17"/>
    <s v="Radio Silence"/>
    <m/>
    <s v="Karan"/>
    <m/>
    <m/>
    <n v="10"/>
    <s v="This is a very common we face in Dominos where people do not respond - But good learning"/>
    <n v="5599"/>
    <m/>
    <m/>
    <s v="Attended"/>
    <m/>
    <m/>
    <m/>
    <m/>
    <m/>
  </r>
  <r>
    <d v="2025-09-03T00:00:00"/>
    <x v="5"/>
    <d v="1899-12-30T12:00:00"/>
    <s v="Vallabh"/>
    <s v="Domino's"/>
    <n v="14"/>
    <s v="Onboarding,Too Good To Be True"/>
    <m/>
    <s v="Naz"/>
    <m/>
    <m/>
    <n v="9"/>
    <m/>
    <n v="5611"/>
    <m/>
    <m/>
    <s v="Attended"/>
    <m/>
    <m/>
    <m/>
    <m/>
    <m/>
  </r>
  <r>
    <d v="2025-09-03T00:00:00"/>
    <x v="5"/>
    <d v="1899-12-30T14:00:00"/>
    <s v="Ramesh"/>
    <s v="Domino's"/>
    <n v="16"/>
    <m/>
    <m/>
    <m/>
    <m/>
    <m/>
    <m/>
    <m/>
    <m/>
    <m/>
    <m/>
    <s v="Rescheduled"/>
    <s v="Have some other important call scheduled at same time"/>
    <m/>
    <m/>
    <m/>
    <m/>
  </r>
  <r>
    <d v="2025-09-04T00:00:00"/>
    <x v="5"/>
    <d v="1899-12-30T10:00:00"/>
    <s v="Latif"/>
    <s v="Domino's"/>
    <n v="12"/>
    <s v="Bez Beatles Day"/>
    <m/>
    <s v="Charlene"/>
    <m/>
    <m/>
    <n v="7"/>
    <s v="He said the drill was not too bad, I think the low score came from the fact that the drill wasn't surprising, he completed the drill really quickly,"/>
    <n v="5634"/>
    <m/>
    <m/>
    <s v="Attended"/>
    <m/>
    <m/>
    <m/>
    <m/>
    <m/>
  </r>
  <r>
    <d v="2025-09-04T00:00:00"/>
    <x v="5"/>
    <d v="1899-12-30T11:00:00"/>
    <s v="Yeshwanth"/>
    <s v="Domino's"/>
    <n v="11"/>
    <m/>
    <m/>
    <s v="Leon"/>
    <m/>
    <m/>
    <m/>
    <m/>
    <m/>
    <m/>
    <m/>
    <s v="No Show"/>
    <m/>
    <m/>
    <m/>
    <m/>
    <m/>
  </r>
  <r>
    <d v="2025-09-04T00:00:00"/>
    <x v="5"/>
    <d v="1899-12-30T14:00:00"/>
    <s v="Praveen"/>
    <s v="Domino's"/>
    <n v="13"/>
    <s v="Bez Beatles Day"/>
    <m/>
    <s v="Karan"/>
    <m/>
    <m/>
    <n v="9"/>
    <s v="This is close to reality ._x000a_Character responses were prompt "/>
    <n v="5645"/>
    <m/>
    <m/>
    <s v="Attended"/>
    <m/>
    <m/>
    <m/>
    <m/>
    <m/>
  </r>
  <r>
    <d v="2025-09-04T00:00:00"/>
    <x v="5"/>
    <d v="1899-12-30T15:00:00"/>
    <s v="Feroze Din"/>
    <s v="Domino's"/>
    <n v="1"/>
    <m/>
    <m/>
    <s v="Naz"/>
    <m/>
    <m/>
    <m/>
    <m/>
    <m/>
    <m/>
    <m/>
    <s v="No Show"/>
    <m/>
    <m/>
    <m/>
    <m/>
    <m/>
  </r>
  <r>
    <d v="2025-09-05T00:00:00"/>
    <x v="5"/>
    <d v="1899-12-30T13:00:00"/>
    <s v="Anandaraj"/>
    <s v="Domino's"/>
    <n v="5"/>
    <s v="Bez Beatles Day"/>
    <m/>
    <s v="Ed"/>
    <m/>
    <s v="had to cut the session short since he only had 30 minutes, decided that it's worth playing an early drill since he was confident in his skills"/>
    <n v="10"/>
    <s v="He liked the drill but didn't have too much time since he only had 30 minutes to run a drill and not really much time after for post session"/>
    <n v="5660"/>
    <m/>
    <m/>
    <s v="Attended"/>
    <m/>
    <m/>
    <m/>
    <m/>
    <m/>
  </r>
  <r>
    <d v="2025-09-05T00:00:00"/>
    <x v="5"/>
    <d v="1899-12-30T13:30:00"/>
    <s v="Ramesh"/>
    <s v="Domino's"/>
    <n v="16"/>
    <s v="Radio Silence"/>
    <m/>
    <s v="Drew"/>
    <m/>
    <m/>
    <n v="7"/>
    <s v="Thought the characters not communicating often was quite strange(my fault in not letting him know that this drill is different) but enjoyed the challenge overall"/>
    <n v="5563"/>
    <m/>
    <m/>
    <s v="Attended"/>
    <m/>
    <m/>
    <m/>
    <m/>
    <m/>
  </r>
  <r>
    <d v="2025-09-05T00:00:00"/>
    <x v="5"/>
    <d v="1899-12-30T14:00:00"/>
    <s v="Gowtham"/>
    <s v="Domino's"/>
    <n v="10"/>
    <s v="Onboarding,Too Good To Be True"/>
    <m/>
    <s v="Matthew"/>
    <m/>
    <m/>
    <n v="9"/>
    <s v="Liked the drill. all is new to him and he enjoys this "/>
    <n v="5564"/>
    <m/>
    <m/>
    <s v="Attended"/>
    <m/>
    <m/>
    <m/>
    <m/>
    <m/>
  </r>
  <r>
    <d v="2025-09-10T00:00:00"/>
    <x v="5"/>
    <d v="1899-12-30T11:00:00"/>
    <s v="Vallabh"/>
    <s v="Domino's"/>
    <n v="14"/>
    <s v="Bez Beatles Day"/>
    <m/>
    <s v="Rishi"/>
    <m/>
    <m/>
    <n v="9"/>
    <s v="It was a good drill where he had to push Dan a lot. He learnt the importance of being assertive and backing up the question to people with data "/>
    <n v="5700"/>
    <m/>
    <m/>
    <s v="Attended"/>
    <m/>
    <m/>
    <m/>
    <m/>
    <m/>
  </r>
  <r>
    <d v="2025-09-10T00:00:00"/>
    <x v="5"/>
    <d v="1899-12-30T14:00:00"/>
    <s v="Ramesh"/>
    <s v="Domino's"/>
    <n v="16"/>
    <m/>
    <m/>
    <s v="Ed"/>
    <m/>
    <s v="Move to every 2 weeks"/>
    <m/>
    <m/>
    <m/>
    <m/>
    <m/>
    <s v="No Show"/>
    <m/>
    <m/>
    <m/>
    <m/>
    <m/>
  </r>
  <r>
    <d v="2025-09-10T00:00:00"/>
    <x v="5"/>
    <d v="1899-12-30T14:00:00"/>
    <s v="Swetha"/>
    <s v="Domino's"/>
    <n v="15"/>
    <s v="Missing Delivery"/>
    <m/>
    <s v="Karan"/>
    <m/>
    <m/>
    <n v="10"/>
    <s v="This is good - This is real life scenario ._x000a__x000a_"/>
    <n v="5703"/>
    <m/>
    <m/>
    <s v="Attended"/>
    <m/>
    <m/>
    <m/>
    <m/>
    <m/>
  </r>
  <r>
    <d v="2025-09-11T00:00:00"/>
    <x v="5"/>
    <d v="1899-12-30T10:00:00"/>
    <s v="Latif"/>
    <s v="Domino's"/>
    <n v="12"/>
    <s v="The Big Investors"/>
    <m/>
    <s v="Charlene"/>
    <m/>
    <m/>
    <n v="9"/>
    <s v="He liked this drill specially because it wasn't change related - took onboard the feedback provided in regards to appropriate escalation times and learning about the team more "/>
    <n v="5714"/>
    <m/>
    <m/>
    <s v="Attended"/>
    <m/>
    <m/>
    <m/>
    <m/>
    <m/>
  </r>
  <r>
    <d v="2025-09-11T00:00:00"/>
    <x v="5"/>
    <d v="1899-12-30T11:00:00"/>
    <s v="Yeshwanth"/>
    <s v="Domino's"/>
    <n v="11"/>
    <m/>
    <m/>
    <s v="Drew"/>
    <m/>
    <m/>
    <m/>
    <m/>
    <m/>
    <m/>
    <m/>
    <s v="No Show"/>
    <m/>
    <m/>
    <m/>
    <m/>
    <m/>
  </r>
  <r>
    <d v="2025-09-11T00:00:00"/>
    <x v="5"/>
    <d v="1899-12-30T14:00:00"/>
    <s v="Praveen"/>
    <s v="Domino's"/>
    <n v="13"/>
    <m/>
    <m/>
    <m/>
    <m/>
    <m/>
    <m/>
    <m/>
    <m/>
    <m/>
    <m/>
    <s v="Cancelled"/>
    <s v="Engaged in something"/>
    <m/>
    <m/>
    <m/>
    <m/>
  </r>
  <r>
    <d v="2025-09-11T00:00:00"/>
    <x v="5"/>
    <d v="1899-12-30T15:00:00"/>
    <s v="Feroze Din"/>
    <s v="Domino's"/>
    <n v="1"/>
    <m/>
    <m/>
    <m/>
    <m/>
    <m/>
    <m/>
    <m/>
    <m/>
    <m/>
    <m/>
    <s v="Cancelled"/>
    <s v="Declined the invite"/>
    <m/>
    <m/>
    <m/>
    <m/>
  </r>
  <r>
    <d v="2025-09-12T00:00:00"/>
    <x v="5"/>
    <d v="1899-12-30T12:00:00"/>
    <s v="Vaishnavi"/>
    <s v="Domino's"/>
    <n v="13"/>
    <m/>
    <m/>
    <m/>
    <m/>
    <m/>
    <m/>
    <m/>
    <m/>
    <m/>
    <m/>
    <s v="Cancelled"/>
    <s v="Currently focused on a production issue"/>
    <m/>
    <m/>
    <m/>
    <m/>
  </r>
  <r>
    <d v="2025-09-12T00:00:00"/>
    <x v="5"/>
    <d v="1899-12-30T13:00:00"/>
    <s v="Anandaraj"/>
    <s v="Domino's"/>
    <n v="5"/>
    <m/>
    <m/>
    <m/>
    <m/>
    <m/>
    <m/>
    <m/>
    <m/>
    <m/>
    <m/>
    <s v="Cancelled"/>
    <s v="Unavailable today"/>
    <m/>
    <m/>
    <m/>
    <m/>
  </r>
  <r>
    <d v="2025-09-12T00:00:00"/>
    <x v="5"/>
    <d v="1899-12-30T13:30:00"/>
    <s v="Ramesh"/>
    <s v="Domino's"/>
    <n v="16"/>
    <s v="Roblox"/>
    <m/>
    <s v="Ed"/>
    <m/>
    <s v="Move him to every 2 weeks"/>
    <n v="8"/>
    <s v="Couldn't think of anything that would get to 9/10 but will take the learnings from this drill to next session"/>
    <n v="5752"/>
    <m/>
    <m/>
    <s v="Attended"/>
    <m/>
    <m/>
    <m/>
    <m/>
    <m/>
  </r>
  <r>
    <d v="2025-09-12T00:00:00"/>
    <x v="5"/>
    <d v="1899-12-30T14:00:00"/>
    <s v="Gowtham"/>
    <s v="Domino's"/>
    <n v="10"/>
    <s v="Bez Beatles Day"/>
    <m/>
    <s v="Charlene"/>
    <m/>
    <m/>
    <n v="8"/>
    <s v="he enjoyed the realism of interacting with the characters. Part of this score is his own personal performance as he felt he could have done better"/>
    <n v="5759"/>
    <m/>
    <m/>
    <s v="Attended"/>
    <m/>
    <m/>
    <m/>
    <m/>
    <m/>
  </r>
  <r>
    <d v="2025-09-15T00:00:00"/>
    <x v="5"/>
    <d v="1899-12-30T15:00:00"/>
    <s v="Pradeep"/>
    <s v="Domino's"/>
    <n v="17"/>
    <m/>
    <m/>
    <m/>
    <m/>
    <m/>
    <m/>
    <m/>
    <m/>
    <m/>
    <m/>
    <s v="Rescheduled"/>
    <s v="Occupied this week on some tasks"/>
    <m/>
    <m/>
    <m/>
    <m/>
  </r>
  <r>
    <d v="2025-09-17T00:00:00"/>
    <x v="5"/>
    <d v="1899-12-30T11:00:00"/>
    <s v="Vallabh"/>
    <s v="Domino's"/>
    <n v="14"/>
    <m/>
    <m/>
    <m/>
    <m/>
    <m/>
    <m/>
    <m/>
    <m/>
    <m/>
    <m/>
    <s v="Cancelled"/>
    <s v="Declined the iinvite"/>
    <m/>
    <m/>
    <m/>
    <m/>
  </r>
  <r>
    <d v="2025-09-17T00:00:00"/>
    <x v="5"/>
    <d v="1899-12-30T14:00:00"/>
    <s v="Swetha"/>
    <s v="Domino's"/>
    <n v="15"/>
    <m/>
    <m/>
    <m/>
    <m/>
    <m/>
    <m/>
    <m/>
    <m/>
    <m/>
    <m/>
    <s v="Cancelled"/>
    <s v="An incident is ongoing"/>
    <m/>
    <m/>
    <m/>
    <m/>
  </r>
  <r>
    <d v="2025-09-18T00:00:00"/>
    <x v="5"/>
    <d v="1899-12-30T10:00:00"/>
    <s v="Latif"/>
    <s v="Domino's"/>
    <n v="12"/>
    <s v="Rumours"/>
    <m/>
    <s v="Rishi"/>
    <m/>
    <m/>
    <n v="10"/>
    <s v="He enjoyed playing it, it was quite easy compared to other ones but he tried to unlock all possible fixes for Tinus. Worked as a network engineer in past , he suggested VPN or ethernet , not browser . So this was a learning for him on how to pick up clues given by bots where Hamed did mention specific to browser"/>
    <n v="5830"/>
    <m/>
    <m/>
    <s v="Attended"/>
    <m/>
    <m/>
    <m/>
    <m/>
    <m/>
  </r>
  <r>
    <d v="2025-09-18T00:00:00"/>
    <x v="5"/>
    <d v="1899-12-30T11:00:00"/>
    <s v="Yeshwanth"/>
    <s v="Domino's"/>
    <n v="11"/>
    <m/>
    <m/>
    <s v="Leon"/>
    <m/>
    <m/>
    <m/>
    <m/>
    <m/>
    <m/>
    <m/>
    <s v="No Show"/>
    <m/>
    <m/>
    <m/>
    <m/>
    <m/>
  </r>
  <r>
    <d v="2025-09-18T00:00:00"/>
    <x v="5"/>
    <d v="1899-12-30T14:00:00"/>
    <s v="Praveen"/>
    <s v="Domino's"/>
    <n v="13"/>
    <s v="The Big Investors"/>
    <m/>
    <s v="Karan"/>
    <m/>
    <m/>
    <n v="9"/>
    <s v="It was pretty good - Close to reality and this is not due to change ."/>
    <n v="5840"/>
    <m/>
    <m/>
    <s v="Attended"/>
    <m/>
    <m/>
    <m/>
    <m/>
    <m/>
  </r>
  <r>
    <d v="2025-09-19T00:00:00"/>
    <x v="5"/>
    <d v="1899-12-30T12:00:00"/>
    <s v="Vaishnavi"/>
    <s v="Domino's"/>
    <n v="13"/>
    <s v="Onboarding,Too Good To Be True"/>
    <m/>
    <s v="Rishi"/>
    <m/>
    <m/>
    <n v="9"/>
    <s v="It was realistic and especially the pressure from management. _x000a_She didn't specify what it'd take to get 10. "/>
    <n v="5856"/>
    <m/>
    <m/>
    <s v="Attended"/>
    <m/>
    <m/>
    <m/>
    <m/>
    <m/>
  </r>
  <r>
    <d v="2025-09-19T00:00:00"/>
    <x v="5"/>
    <d v="1899-12-30T13:00:00"/>
    <s v="Anandaraj"/>
    <s v="Domino's"/>
    <n v="5"/>
    <s v="The Big Investors"/>
    <m/>
    <s v="Charlene"/>
    <m/>
    <m/>
    <n v="9"/>
    <s v="Despite not completing the drill he learned a lot about the importance of engaging the whole team "/>
    <n v="5857"/>
    <m/>
    <m/>
    <s v="Attended"/>
    <m/>
    <m/>
    <m/>
    <m/>
    <m/>
  </r>
  <r>
    <d v="2025-09-19T00:00:00"/>
    <x v="5"/>
    <d v="1899-12-30T14:00:00"/>
    <s v="Gowtham"/>
    <s v="Domino's"/>
    <n v="10"/>
    <m/>
    <m/>
    <s v="Rishi"/>
    <m/>
    <m/>
    <m/>
    <m/>
    <m/>
    <m/>
    <m/>
    <s v="No Show"/>
    <m/>
    <m/>
    <m/>
    <m/>
    <m/>
  </r>
  <r>
    <d v="2025-09-19T00:00:00"/>
    <x v="5"/>
    <d v="1899-12-30T15:00:00"/>
    <s v="Pradeep"/>
    <s v="Domino's"/>
    <n v="17"/>
    <m/>
    <m/>
    <s v="Naz"/>
    <m/>
    <m/>
    <m/>
    <m/>
    <m/>
    <m/>
    <m/>
    <s v="No Show"/>
    <s v="Was held-up in production call that took more time than scheduled"/>
    <m/>
    <m/>
    <m/>
    <m/>
  </r>
  <r>
    <d v="2025-09-22T00:00:00"/>
    <x v="5"/>
    <d v="1899-12-30T13:00:00"/>
    <s v="Gregg"/>
    <s v="Domino's"/>
    <n v="3"/>
    <s v="Intro"/>
    <m/>
    <s v="Naz"/>
    <m/>
    <m/>
    <s v="No Score"/>
    <m/>
    <m/>
    <m/>
    <m/>
    <s v="Attended"/>
    <m/>
    <m/>
    <m/>
    <m/>
    <m/>
  </r>
  <r>
    <d v="2025-09-24T00:00:00"/>
    <x v="5"/>
    <d v="1899-12-30T11:00:00"/>
    <s v="Vallabh"/>
    <s v="Domino's"/>
    <n v="14"/>
    <s v="The Big Investors"/>
    <m/>
    <s v="Rishi"/>
    <m/>
    <m/>
    <n v="8"/>
    <s v="it was a good drill , however chaos test in general is handled by platform team because it lies under reliability and performance. _x000a_And also said that misconfigurations of chaos can't happen that way, there are guards setup for prod."/>
    <n v="5912"/>
    <m/>
    <m/>
    <s v="Attended"/>
    <m/>
    <m/>
    <m/>
    <m/>
    <m/>
  </r>
  <r>
    <d v="2025-09-24T00:00:00"/>
    <x v="5"/>
    <d v="1899-12-30T14:00:00"/>
    <s v="Ramesh"/>
    <s v="Domino's"/>
    <n v="16"/>
    <s v="Profile Report"/>
    <m/>
    <s v="Rishi"/>
    <m/>
    <m/>
    <s v="No Score"/>
    <s v="This session was beneficial and helpful. He will go through them again. "/>
    <m/>
    <m/>
    <m/>
    <s v="Attended"/>
    <m/>
    <m/>
    <m/>
    <m/>
    <m/>
  </r>
  <r>
    <d v="2025-09-24T00:00:00"/>
    <x v="5"/>
    <d v="1899-12-30T14:00:00"/>
    <s v="Swetha"/>
    <s v="Domino's"/>
    <n v="15"/>
    <s v="Profile Report"/>
    <m/>
    <s v="Naz"/>
    <m/>
    <m/>
    <s v="No Score"/>
    <m/>
    <m/>
    <m/>
    <m/>
    <s v="Attended"/>
    <m/>
    <m/>
    <m/>
    <m/>
    <m/>
  </r>
  <r>
    <d v="2025-09-25T00:00:00"/>
    <x v="5"/>
    <d v="1899-12-30T10:00:00"/>
    <s v="Latif"/>
    <s v="Domino's"/>
    <n v="12"/>
    <s v="Missing Delivery"/>
    <m/>
    <s v="Karan"/>
    <m/>
    <m/>
    <n v="9"/>
    <s v="Interesting - Al characters were great - useful "/>
    <n v="5927"/>
    <m/>
    <m/>
    <s v="Attended"/>
    <m/>
    <m/>
    <m/>
    <m/>
    <m/>
  </r>
  <r>
    <d v="2025-09-25T00:00:00"/>
    <x v="5"/>
    <d v="1899-12-30T11:00:00"/>
    <s v="Yeshwanth"/>
    <s v="Domino's"/>
    <n v="11"/>
    <s v="Missing Delivery"/>
    <m/>
    <s v="Leon"/>
    <m/>
    <m/>
    <n v="10"/>
    <s v="Good drill, lots of things to handle but liked the flow of the drill. Key thing for him to focus on is to avoid doing all the investigation themself, but rather allocate that to the team, as he missed key details in the chat"/>
    <n v="5932"/>
    <m/>
    <m/>
    <s v="Attended"/>
    <m/>
    <m/>
    <m/>
    <m/>
    <s v="Last three sessions he was dealing with P1s. I said it's totally understandable if he can't make it, but to give us notice next time"/>
  </r>
  <r>
    <d v="2025-09-25T00:00:00"/>
    <x v="5"/>
    <d v="1899-12-30T15:00:00"/>
    <s v="Praveen"/>
    <s v="Domino's"/>
    <n v="13"/>
    <s v="Missing Delivery"/>
    <m/>
    <s v="Karan"/>
    <m/>
    <m/>
    <n v="9"/>
    <s v="It was good sicne it was 3rd party issue ."/>
    <n v="5940"/>
    <m/>
    <m/>
    <s v="Attended"/>
    <m/>
    <m/>
    <m/>
    <m/>
    <m/>
  </r>
  <r>
    <d v="2025-09-25T00:00:00"/>
    <x v="5"/>
    <d v="1899-12-30T16:00:00"/>
    <s v="Account Meeting"/>
    <s v="Domino's"/>
    <m/>
    <s v="Account Meeting"/>
    <m/>
    <m/>
    <m/>
    <m/>
    <m/>
    <m/>
    <m/>
    <m/>
    <m/>
    <m/>
    <m/>
    <m/>
    <m/>
    <m/>
    <m/>
  </r>
  <r>
    <d v="2025-09-26T00:00:00"/>
    <x v="5"/>
    <d v="1899-12-30T12:00:00"/>
    <s v="Vaishnavi"/>
    <s v="Domino's"/>
    <n v="13"/>
    <s v="Bez Beatles Day"/>
    <m/>
    <s v="Charlene"/>
    <m/>
    <m/>
    <n v="10"/>
    <s v="She felt the pressure whilst playing the drill but understood the learnings from this session"/>
    <n v="5963"/>
    <m/>
    <m/>
    <s v="Attended"/>
    <m/>
    <m/>
    <m/>
    <m/>
    <m/>
  </r>
  <r>
    <d v="2025-09-26T00:00:00"/>
    <x v="5"/>
    <d v="1899-12-30T13:00:00"/>
    <s v="Anandaraj"/>
    <s v="Domino's"/>
    <n v="5"/>
    <s v="Missing Delivery"/>
    <m/>
    <s v="Rishi"/>
    <m/>
    <m/>
    <n v="10"/>
    <s v="This drill was really helpful. He had similar issue and then discussed his pain points which he was able to understand the solution to those with this drill"/>
    <n v="5967"/>
    <m/>
    <m/>
    <s v="Attended"/>
    <m/>
    <m/>
    <m/>
    <m/>
    <m/>
  </r>
  <r>
    <d v="2025-09-26T00:00:00"/>
    <x v="5"/>
    <d v="1899-12-30T14:00:00"/>
    <s v="Gowtham"/>
    <s v="Domino's"/>
    <n v="10"/>
    <s v="The Big Investors"/>
    <m/>
    <s v="Rishi"/>
    <m/>
    <m/>
    <n v="8"/>
    <s v="Good drill. He said it's of really great value. It will improve his way of handling incidents. And he feels his performance was not upto the mark , however these coachings are really making difference_x000a__x000a_What it'd take to get 10? _x000a_He said he cant say much on this on what to improve in the drill. However , he feels its still very early , he's still trying to understand the platform and the characters"/>
    <n v="5968"/>
    <m/>
    <m/>
    <s v="Attended"/>
    <m/>
    <m/>
    <m/>
    <m/>
    <m/>
  </r>
  <r>
    <d v="2025-09-29T00:00:00"/>
    <x v="5"/>
    <d v="1899-12-30T12:00:00"/>
    <s v="Gregg"/>
    <s v="Domino's"/>
    <n v="3"/>
    <m/>
    <m/>
    <s v="Ed"/>
    <m/>
    <m/>
    <m/>
    <m/>
    <m/>
    <m/>
    <m/>
    <s v="No Show"/>
    <m/>
    <m/>
    <m/>
    <m/>
    <m/>
  </r>
  <r>
    <d v="2025-09-29T00:00:00"/>
    <x v="5"/>
    <d v="1899-12-30T15:00:00"/>
    <s v="Pradeep"/>
    <s v="Domino's"/>
    <n v="17"/>
    <s v="Defcon1"/>
    <m/>
    <s v="Drew"/>
    <m/>
    <m/>
    <n v="10"/>
    <s v="Found it challenging"/>
    <n v="5988"/>
    <m/>
    <m/>
    <s v="Attended"/>
    <m/>
    <m/>
    <m/>
    <m/>
    <m/>
  </r>
  <r>
    <d v="2025-10-01T00:00:00"/>
    <x v="6"/>
    <d v="1899-12-30T11:00:00"/>
    <s v="Vallabh"/>
    <s v="Domino's"/>
    <n v="14"/>
    <m/>
    <m/>
    <s v="Rishi"/>
    <m/>
    <m/>
    <m/>
    <m/>
    <m/>
    <m/>
    <m/>
    <s v="No Show"/>
    <m/>
    <m/>
    <m/>
    <m/>
    <m/>
  </r>
  <r>
    <d v="2025-10-02T00:00:00"/>
    <x v="6"/>
    <d v="1899-12-30T10:00:00"/>
    <s v="Latif"/>
    <s v="Domino's"/>
    <n v="12"/>
    <s v="Radio Silence"/>
    <m/>
    <s v="Rishi"/>
    <m/>
    <s v="Move to every 2 weeks"/>
    <n v="9"/>
    <s v="Realistic drill where its not always the rollback but sometimes fix has to be made. "/>
    <n v="6051"/>
    <m/>
    <m/>
    <s v="Attended"/>
    <m/>
    <m/>
    <m/>
    <m/>
    <m/>
  </r>
  <r>
    <d v="2025-10-02T00:00:00"/>
    <x v="6"/>
    <d v="1899-12-30T14:00:00"/>
    <s v="Praveen"/>
    <s v="Domino's"/>
    <n v="13"/>
    <m/>
    <m/>
    <m/>
    <m/>
    <m/>
    <m/>
    <m/>
    <m/>
    <m/>
    <m/>
    <s v="Cancelled"/>
    <s v="On planned leave"/>
    <m/>
    <m/>
    <m/>
    <m/>
  </r>
  <r>
    <d v="2025-10-03T00:00:00"/>
    <x v="6"/>
    <d v="1899-12-30T12:00:00"/>
    <s v="Vaishnavi"/>
    <s v="Domino's"/>
    <n v="13"/>
    <s v="The Big Investors"/>
    <m/>
    <s v="Charlene"/>
    <m/>
    <m/>
    <n v="10"/>
    <s v="Found this drill was a step up from what she previously played"/>
    <n v="6085"/>
    <m/>
    <m/>
    <s v="Attended"/>
    <m/>
    <m/>
    <m/>
    <m/>
    <m/>
  </r>
  <r>
    <d v="2025-10-03T00:00:00"/>
    <x v="6"/>
    <d v="1899-12-30T13:00:00"/>
    <s v="Anandaraj"/>
    <s v="Domino's"/>
    <n v="5"/>
    <m/>
    <m/>
    <m/>
    <m/>
    <m/>
    <m/>
    <m/>
    <m/>
    <m/>
    <m/>
    <s v="Cancelled"/>
    <s v="Due to eyes-on support on prod release"/>
    <m/>
    <m/>
    <m/>
    <m/>
  </r>
  <r>
    <d v="2025-10-03T00:00:00"/>
    <x v="6"/>
    <d v="1899-12-30T14:00:00"/>
    <s v="Gowtham"/>
    <s v="Domino's"/>
    <n v="10"/>
    <m/>
    <m/>
    <s v="Naz"/>
    <m/>
    <m/>
    <m/>
    <m/>
    <m/>
    <m/>
    <m/>
    <s v="No Show"/>
    <m/>
    <m/>
    <m/>
    <m/>
    <m/>
  </r>
  <r>
    <d v="2025-10-06T00:00:00"/>
    <x v="6"/>
    <d v="1899-12-30T12:00:00"/>
    <s v="Gregg"/>
    <s v="Domino's"/>
    <n v="3"/>
    <s v="Onboarding,Too Good To Be True"/>
    <m/>
    <s v="Ed"/>
    <m/>
    <m/>
    <n v="9"/>
    <s v="Drill was very basic but it's good introductionary drill to start with"/>
    <n v="6104"/>
    <m/>
    <m/>
    <s v="Attended"/>
    <m/>
    <m/>
    <m/>
    <m/>
    <m/>
  </r>
  <r>
    <d v="2025-10-08T00:00:00"/>
    <x v="6"/>
    <d v="1899-12-30T11:00:00"/>
    <s v="Vallabh"/>
    <s v="Domino's"/>
    <n v="14"/>
    <s v="Rumours"/>
    <m/>
    <s v="Rishi"/>
    <m/>
    <m/>
    <n v="9"/>
    <s v="He enjoyed it and has seen such issues quite a lot where things happen only in local systems not on a wide scale"/>
    <n v="6214"/>
    <m/>
    <m/>
    <s v="Attended"/>
    <m/>
    <m/>
    <m/>
    <m/>
    <m/>
  </r>
  <r>
    <d v="2025-10-08T00:00:00"/>
    <x v="6"/>
    <d v="1899-12-30T14:00:00"/>
    <s v="Ramesh"/>
    <s v="Domino's"/>
    <n v="16"/>
    <s v="Defcon1"/>
    <m/>
    <s v="Rishi"/>
    <m/>
    <m/>
    <n v="10"/>
    <s v="He enjoyed playing it. He was into ransomware attack earlier but not of this sort "/>
    <n v="6223"/>
    <m/>
    <m/>
    <s v="Attended"/>
    <m/>
    <m/>
    <m/>
    <m/>
    <m/>
  </r>
  <r>
    <d v="2025-10-08T00:00:00"/>
    <x v="6"/>
    <d v="1899-12-30T14:00:00"/>
    <s v="Swetha"/>
    <s v="Domino's"/>
    <n v="15"/>
    <s v="Defcon1"/>
    <m/>
    <s v="Ed"/>
    <m/>
    <s v="Need to update 3 to -&gt; 10 as she didn't mean to score 3"/>
    <n v="10"/>
    <s v="Loved the drill and made her think if they have something like this in place in case this happens to them"/>
    <n v="6224"/>
    <m/>
    <m/>
    <s v="Attended"/>
    <m/>
    <m/>
    <m/>
    <m/>
    <m/>
  </r>
  <r>
    <d v="2025-10-08T00:00:00"/>
    <x v="6"/>
    <d v="1899-12-30T14:30:00"/>
    <s v="Praveen"/>
    <s v="Domino's"/>
    <n v="13"/>
    <s v="Rumours"/>
    <m/>
    <s v="Charlene"/>
    <m/>
    <m/>
    <n v="9"/>
    <m/>
    <m/>
    <m/>
    <m/>
    <s v="Attended"/>
    <m/>
    <m/>
    <m/>
    <m/>
    <m/>
  </r>
  <r>
    <d v="2025-10-09T00:00:00"/>
    <x v="6"/>
    <d v="1899-12-30T11:00:00"/>
    <s v="Yeshwanth"/>
    <s v="Domino's"/>
    <n v="11"/>
    <s v="Radio Silence"/>
    <m/>
    <s v="Drew"/>
    <m/>
    <m/>
    <n v="9"/>
    <s v="Good scenario, lot more difficult as outage was from loss of revenue "/>
    <n v="6251"/>
    <m/>
    <m/>
    <s v="Attended"/>
    <m/>
    <m/>
    <m/>
    <m/>
    <m/>
  </r>
  <r>
    <d v="2025-10-10T00:00:00"/>
    <x v="6"/>
    <d v="1899-12-30T12:00:00"/>
    <s v="Vaishnavi"/>
    <s v="Domino's"/>
    <n v="13"/>
    <s v="Missing Delivery"/>
    <m/>
    <s v="Charlene"/>
    <m/>
    <m/>
    <n v="10"/>
    <m/>
    <m/>
    <m/>
    <m/>
    <s v="Attended"/>
    <m/>
    <m/>
    <m/>
    <m/>
    <m/>
  </r>
  <r>
    <d v="2025-10-10T00:00:00"/>
    <x v="6"/>
    <d v="1899-12-30T13:00:00"/>
    <s v="Anandaraj"/>
    <s v="Domino's"/>
    <n v="5"/>
    <m/>
    <m/>
    <m/>
    <m/>
    <s v="Waiting for response to move to 11:30am. He can play either defcon1 or Radio Silence"/>
    <m/>
    <m/>
    <m/>
    <m/>
    <m/>
    <s v="Cancelled"/>
    <s v="Due to production issue support"/>
    <m/>
    <m/>
    <m/>
    <m/>
  </r>
  <r>
    <d v="2025-10-10T00:00:00"/>
    <x v="6"/>
    <d v="1899-12-30T14:00:00"/>
    <s v="Gowtham"/>
    <s v="Domino's"/>
    <n v="10"/>
    <m/>
    <m/>
    <s v="Rishi"/>
    <m/>
    <m/>
    <m/>
    <m/>
    <m/>
    <m/>
    <m/>
    <s v="No Show"/>
    <m/>
    <m/>
    <m/>
    <m/>
    <m/>
  </r>
  <r>
    <d v="2025-10-13T00:00:00"/>
    <x v="6"/>
    <d v="1899-12-30T12:00:00"/>
    <s v="Gregg"/>
    <s v="Domino's"/>
    <n v="3"/>
    <s v="Bez Beatles Day"/>
    <m/>
    <s v="Ed"/>
    <m/>
    <m/>
    <n v="9"/>
    <s v="Would like to see more opportunities for timeboxing"/>
    <n v="6279"/>
    <m/>
    <m/>
    <s v="Attended"/>
    <m/>
    <m/>
    <m/>
    <m/>
    <m/>
  </r>
  <r>
    <d v="2025-10-15T00:00:00"/>
    <x v="6"/>
    <d v="1899-12-30T11:00:00"/>
    <s v="Vallabh"/>
    <s v="Domino's"/>
    <n v="14"/>
    <s v="Missing Delivery"/>
    <m/>
    <s v="Rishi"/>
    <m/>
    <s v="He is going to play Defcon1 next week, it is worth to mention to him"/>
    <n v="9"/>
    <s v="It was a good one. But in his organization even they do such communications but the people are defined for these 3rd party communications. So he didn't had the same clarity in this OB setup who will be POC for 3rd party or how a communication is going to happen with them"/>
    <n v="6308"/>
    <m/>
    <m/>
    <s v="Attended"/>
    <m/>
    <m/>
    <m/>
    <m/>
    <m/>
  </r>
  <r>
    <d v="2025-10-16T00:00:00"/>
    <x v="6"/>
    <d v="1899-12-30T10:00:00"/>
    <s v="Latif"/>
    <s v="Domino's"/>
    <n v="12"/>
    <s v="Defcon1"/>
    <m/>
    <s v="Ed"/>
    <m/>
    <s v="He has 2 timestamps one with 32 mins and one with 35 mins. He did all his check and wanted to close incident. @Rishikesh Kumar . Perhaps we can add end drill before forensics step"/>
    <n v="7"/>
    <s v="Felt that drill could be finished before forensics step, that impacted the score"/>
    <n v="6324"/>
    <m/>
    <m/>
    <s v="Attended"/>
    <m/>
    <m/>
    <m/>
    <m/>
    <m/>
  </r>
  <r>
    <d v="2025-10-16T00:00:00"/>
    <x v="6"/>
    <d v="1899-12-30T11:00:00"/>
    <s v="Yeshwanth"/>
    <s v="Domino's"/>
    <n v="11"/>
    <s v="Defcon1"/>
    <m/>
    <s v="Rishi"/>
    <m/>
    <m/>
    <n v="10"/>
    <s v="Never had a ransomware attack before. It was intense, and the drill was really good that he was able to get so much learning out of this "/>
    <n v="6327"/>
    <m/>
    <m/>
    <s v="Attended"/>
    <m/>
    <m/>
    <m/>
    <m/>
    <m/>
  </r>
  <r>
    <d v="2025-10-16T00:00:00"/>
    <x v="6"/>
    <d v="1899-12-30T12:30:00"/>
    <s v="Praveen"/>
    <s v="Domino's"/>
    <n v="13"/>
    <s v="Defcon1"/>
    <m/>
    <s v="Rishi"/>
    <m/>
    <m/>
    <n v="9"/>
    <s v="Nice drill. Learnt a lot. However he got timed out as hwe was bit slow but he liked the drill and in his experince he has got a bit of an idea about security policies which he was able to apply in this one "/>
    <n v="6333"/>
    <m/>
    <m/>
    <s v="Attended"/>
    <m/>
    <m/>
    <m/>
    <m/>
    <m/>
  </r>
  <r>
    <d v="2025-10-16T00:00:00"/>
    <x v="6"/>
    <d v="1899-12-30T15:30:00"/>
    <s v="Account Meeting"/>
    <s v="Domino's"/>
    <m/>
    <s v="Account Meeting"/>
    <m/>
    <m/>
    <m/>
    <s v="This is like account meeting"/>
    <m/>
    <m/>
    <m/>
    <m/>
    <m/>
    <m/>
    <m/>
    <m/>
    <m/>
    <m/>
    <m/>
  </r>
  <r>
    <d v="2025-10-17T00:00:00"/>
    <x v="6"/>
    <d v="1899-12-30T14:00:00"/>
    <s v="Gowtham"/>
    <s v="Domino's"/>
    <n v="10"/>
    <s v="Rumours"/>
    <m/>
    <s v="Matthew"/>
    <m/>
    <s v="Attendance is confirmed"/>
    <n v="10"/>
    <s v="Liked the drill but i can tell he needs a lot of work when updating business comms and coordinating the team"/>
    <m/>
    <m/>
    <m/>
    <s v="Attended"/>
    <m/>
    <m/>
    <m/>
    <m/>
    <m/>
  </r>
  <r>
    <d v="2025-10-17T00:00:00"/>
    <x v="6"/>
    <d v="1899-12-30T16:00:00"/>
    <s v="Pradeep"/>
    <s v="Domino's"/>
    <n v="17"/>
    <s v="PIR on Defcon1"/>
    <m/>
    <s v="Naz"/>
    <m/>
    <m/>
    <s v="No Score"/>
    <m/>
    <m/>
    <m/>
    <m/>
    <s v="Attended"/>
    <m/>
    <m/>
    <m/>
    <m/>
    <m/>
  </r>
  <r>
    <d v="2025-10-20T00:00:00"/>
    <x v="6"/>
    <d v="1899-12-30T12:00:00"/>
    <s v="Gregg"/>
    <s v="Domino's"/>
    <n v="3"/>
    <m/>
    <m/>
    <m/>
    <m/>
    <m/>
    <m/>
    <m/>
    <m/>
    <m/>
    <m/>
    <s v="Cancelled"/>
    <s v="Skipping the session today"/>
    <m/>
    <m/>
    <m/>
    <m/>
  </r>
  <r>
    <d v="2025-10-22T00:00:00"/>
    <x v="6"/>
    <d v="1899-12-30T11:00:00"/>
    <s v="Vallabh"/>
    <s v="Domino's"/>
    <n v="14"/>
    <s v="Defcon1"/>
    <m/>
    <s v="Rishi"/>
    <m/>
    <m/>
    <n v="10"/>
    <s v="Really a good drill. Learned a lot from this. Never experienced ransomware. "/>
    <n v="6404"/>
    <m/>
    <m/>
    <s v="Attended"/>
    <m/>
    <m/>
    <m/>
    <m/>
    <m/>
  </r>
  <r>
    <d v="2025-10-22T00:00:00"/>
    <x v="6"/>
    <d v="1899-12-30T14:00:00"/>
    <s v="Ramesh"/>
    <s v="Domino's"/>
    <n v="16"/>
    <s v="PIR on Defcon1"/>
    <m/>
    <s v="Rishi"/>
    <m/>
    <m/>
    <n v="9"/>
    <s v="Good to know where he lacked and key decision making points "/>
    <m/>
    <m/>
    <m/>
    <s v="Attended"/>
    <m/>
    <m/>
    <m/>
    <m/>
    <m/>
  </r>
  <r>
    <d v="2025-10-22T00:00:00"/>
    <x v="6"/>
    <d v="1899-12-30T14:00:00"/>
    <s v="Swetha"/>
    <s v="Domino's"/>
    <n v="15"/>
    <s v="PIR on Defcon1"/>
    <m/>
    <s v="Matthew"/>
    <m/>
    <m/>
    <n v="6"/>
    <s v="Has more fun running the drills; this is probably why we got a lower score this time. in the next pir don't make her fill out any information just go through he timeline and show her where she can improve in different areas"/>
    <m/>
    <m/>
    <m/>
    <s v="Attended"/>
    <m/>
    <m/>
    <m/>
    <m/>
    <m/>
  </r>
  <r>
    <d v="2025-10-24T00:00:00"/>
    <x v="6"/>
    <d v="1899-12-30T12:00:00"/>
    <s v="Vaishnavi"/>
    <s v="Domino's"/>
    <n v="13"/>
    <s v="Defcon1"/>
    <m/>
    <s v="Matthew"/>
    <m/>
    <m/>
    <n v="10"/>
    <s v="felt the pressure of this session, sees she needs to improve her business coms."/>
    <n v="6446"/>
    <m/>
    <m/>
    <s v="Attended"/>
    <m/>
    <m/>
    <m/>
    <m/>
    <m/>
  </r>
  <r>
    <d v="2025-10-24T00:00:00"/>
    <x v="6"/>
    <d v="1899-12-30T13:00:00"/>
    <s v="Anandaraj"/>
    <s v="Domino's"/>
    <n v="5"/>
    <m/>
    <m/>
    <s v="Rishi"/>
    <m/>
    <m/>
    <m/>
    <m/>
    <m/>
    <m/>
    <m/>
    <s v="No Show"/>
    <m/>
    <m/>
    <m/>
    <m/>
    <m/>
  </r>
  <r>
    <d v="2025-10-24T00:00:00"/>
    <x v="6"/>
    <d v="1899-12-30T14:00:00"/>
    <s v="Gowtham"/>
    <s v="Domino's"/>
    <n v="10"/>
    <s v="Missing Delivery"/>
    <m/>
    <s v="Matthew"/>
    <m/>
    <m/>
    <n v="10"/>
    <s v="Liked the drill, can see his confidence improve form his first drill and likes the learnings he is gaining from these sessions"/>
    <n v="6451"/>
    <m/>
    <m/>
    <s v="Attended"/>
    <m/>
    <m/>
    <m/>
    <m/>
    <m/>
  </r>
  <r>
    <d v="2025-10-27T00:00:00"/>
    <x v="6"/>
    <d v="1899-12-30T12:00:00"/>
    <s v="Gregg"/>
    <s v="Domino's"/>
    <n v="3"/>
    <m/>
    <m/>
    <m/>
    <m/>
    <m/>
    <m/>
    <m/>
    <m/>
    <m/>
    <m/>
    <s v="Cancelled"/>
    <s v="Did not provide any reason"/>
    <m/>
    <m/>
    <m/>
    <m/>
  </r>
  <r>
    <d v="2025-10-27T00:00:00"/>
    <x v="6"/>
    <d v="1899-12-30T15:00:00"/>
    <s v="Pradeep"/>
    <s v="Domino's"/>
    <n v="17"/>
    <m/>
    <m/>
    <m/>
    <m/>
    <m/>
    <m/>
    <m/>
    <m/>
    <m/>
    <m/>
    <s v="Rescheduled"/>
    <s v="OOO"/>
    <m/>
    <m/>
    <m/>
    <m/>
  </r>
  <r>
    <d v="2025-10-29T00:00:00"/>
    <x v="6"/>
    <d v="1899-12-30T11:00:00"/>
    <s v="Vallabh"/>
    <s v="Domino's"/>
    <n v="14"/>
    <s v="PIR on Defcon1"/>
    <m/>
    <s v="Rishi"/>
    <m/>
    <s v="He's not available on 5th Nov. Requested to do it week after 5th"/>
    <n v="10"/>
    <s v="Constructive feedback was really good. Understood the ways on to improve further in the comms, checking changes"/>
    <m/>
    <m/>
    <m/>
    <s v="Attended"/>
    <m/>
    <m/>
    <m/>
    <m/>
    <m/>
  </r>
  <r>
    <d v="2025-10-29T00:00:00"/>
    <x v="6"/>
    <d v="1899-12-30T15:00:00"/>
    <s v="Pradeep"/>
    <s v="Domino's"/>
    <n v="17"/>
    <s v="Roblox"/>
    <m/>
    <s v="Rishi"/>
    <m/>
    <m/>
    <n v="10"/>
    <s v="It was tough for him. Wasn't able to understand that there are 2 separate issue. Liked how it forced him to prioritize the incidents"/>
    <n v="6496"/>
    <m/>
    <m/>
    <s v="Attended"/>
    <m/>
    <m/>
    <m/>
    <m/>
    <m/>
  </r>
  <r>
    <d v="2025-10-30T00:00:00"/>
    <x v="6"/>
    <d v="1899-12-30T11:00:00"/>
    <s v="Yeshwanth"/>
    <s v="Domino's"/>
    <n v="11"/>
    <m/>
    <m/>
    <s v="Rishi"/>
    <m/>
    <m/>
    <m/>
    <m/>
    <m/>
    <m/>
    <m/>
    <s v="No Show"/>
    <m/>
    <m/>
    <m/>
    <m/>
    <m/>
  </r>
  <r>
    <d v="2025-10-30T00:00:00"/>
    <x v="6"/>
    <d v="1899-12-30T16:00:00"/>
    <s v="Praveen"/>
    <s v="Domino's"/>
    <n v="13"/>
    <s v="PIR on Defcon1"/>
    <m/>
    <s v="Naz"/>
    <m/>
    <s v="We have to repeat this in few months"/>
    <n v="10"/>
    <m/>
    <m/>
    <m/>
    <m/>
    <s v="Attended"/>
    <m/>
    <m/>
    <m/>
    <m/>
    <m/>
  </r>
  <r>
    <d v="2025-11-05T00:00:00"/>
    <x v="7"/>
    <d v="1899-12-30T14:00:00"/>
    <s v="Ramesh"/>
    <s v="Domino's"/>
    <n v="16"/>
    <m/>
    <m/>
    <m/>
    <m/>
    <m/>
    <m/>
    <m/>
    <m/>
    <m/>
    <m/>
    <s v="Cancelled"/>
    <s v="Holiday in Bangalore"/>
    <m/>
    <m/>
    <m/>
    <m/>
  </r>
  <r>
    <d v="2025-11-05T00:00:00"/>
    <x v="7"/>
    <d v="1899-12-30T14:00:00"/>
    <s v="Swetha"/>
    <s v="Domino's"/>
    <n v="15"/>
    <s v="Radio Silence"/>
    <m/>
    <s v="Charlene"/>
    <m/>
    <m/>
    <n v="10"/>
    <s v="found the unresponsiveness from tanya frustrating, liked the pressure this generated and overall liked that this drill was different"/>
    <m/>
    <m/>
    <m/>
    <s v="Attended"/>
    <m/>
    <m/>
    <m/>
    <m/>
    <m/>
  </r>
  <r>
    <d v="2025-11-07T00:00:00"/>
    <x v="7"/>
    <d v="1899-12-30T12:00:00"/>
    <s v="Vaishnavi"/>
    <s v="Domino's"/>
    <n v="13"/>
    <s v="PIR on Defcon1"/>
    <m/>
    <s v="Ed"/>
    <m/>
    <m/>
    <n v="9"/>
    <s v="A beneficial retrospective session that was able to clarify a lot of uncertainties_x000a__x000a_can't think of  anything to get to 10, "/>
    <m/>
    <m/>
    <m/>
    <s v="Attended"/>
    <m/>
    <m/>
    <m/>
    <m/>
    <m/>
  </r>
  <r>
    <d v="2025-11-07T00:00:00"/>
    <x v="7"/>
    <d v="1899-12-30T14:00:00"/>
    <s v="Gowtham"/>
    <s v="Domino's"/>
    <n v="10"/>
    <s v="Radio Silence"/>
    <m/>
    <s v="Karan"/>
    <m/>
    <m/>
    <n v="10"/>
    <s v="Great issue ._x000a__x000a_Good - but issue was tricky - but good learning"/>
    <n v="6653"/>
    <m/>
    <m/>
    <s v="Attended"/>
    <m/>
    <m/>
    <m/>
    <m/>
    <m/>
  </r>
  <r>
    <d v="2025-11-10T00:00:00"/>
    <x v="7"/>
    <d v="1899-12-30T12:00:00"/>
    <s v="Gregg"/>
    <s v="Domino's"/>
    <n v="3"/>
    <m/>
    <m/>
    <m/>
    <m/>
    <m/>
    <m/>
    <m/>
    <m/>
    <m/>
    <m/>
    <s v="Cancelled"/>
    <s v="He is leaving Domino's"/>
    <m/>
    <m/>
    <m/>
    <m/>
  </r>
  <r>
    <d v="2025-11-12T00:00:00"/>
    <x v="7"/>
    <d v="1899-12-30T10:00:00"/>
    <s v="Pradeep"/>
    <s v="Domino's"/>
    <n v="17"/>
    <m/>
    <m/>
    <m/>
    <m/>
    <m/>
    <m/>
    <m/>
    <m/>
    <m/>
    <m/>
    <s v="Cancelled"/>
    <m/>
    <m/>
    <m/>
    <m/>
    <m/>
  </r>
  <r>
    <d v="2025-11-12T00:00:00"/>
    <x v="7"/>
    <d v="1899-12-30T11:00:00"/>
    <s v="Vallabh"/>
    <s v="Domino's"/>
    <n v="14"/>
    <s v="Radio Silence"/>
    <m/>
    <s v="Karan"/>
    <m/>
    <m/>
    <n v="10"/>
    <s v="Good - I wasn't sure on how to replicate the issue "/>
    <n v="6743"/>
    <m/>
    <m/>
    <s v="Attended"/>
    <m/>
    <m/>
    <m/>
    <m/>
    <m/>
  </r>
  <r>
    <d v="2025-11-12T00:00:00"/>
    <x v="7"/>
    <d v="1899-12-30T16:00:00"/>
    <s v="Account Meeting"/>
    <s v="Domino's"/>
    <m/>
    <s v="Account Meeting"/>
    <m/>
    <m/>
    <m/>
    <m/>
    <m/>
    <m/>
    <m/>
    <m/>
    <m/>
    <m/>
    <m/>
    <m/>
    <m/>
    <m/>
    <m/>
  </r>
  <r>
    <d v="2025-11-13T00:00:00"/>
    <x v="7"/>
    <d v="1899-12-30T10:00:00"/>
    <s v="Latif"/>
    <s v="Domino's"/>
    <n v="12"/>
    <s v="PIR on Defcon1"/>
    <m/>
    <s v="Naz"/>
    <m/>
    <m/>
    <s v="No Score"/>
    <m/>
    <m/>
    <m/>
    <m/>
    <s v="Attended"/>
    <m/>
    <m/>
    <m/>
    <m/>
    <m/>
  </r>
  <r>
    <d v="2025-11-13T00:00:00"/>
    <x v="7"/>
    <d v="1899-12-30T11:00:00"/>
    <s v="Yeshwanth"/>
    <s v="Domino's"/>
    <n v="11"/>
    <s v="PIR on Defcon1,Profile Report"/>
    <m/>
    <s v="Rishi"/>
    <m/>
    <m/>
    <s v="No Score"/>
    <s v="Highly insightful session. Till now his grades were because of his mindset before playing drills. He didn't had the clarity and thought more like a incident manager beyond SRE , and completely focused just on the resoltuion rather than the process and leadership around it. _x000a__x000a_He understands the complete expectation and got his mindset conditioned to play next sessions. Also he committed about the consistency"/>
    <m/>
    <m/>
    <m/>
    <s v="Attended"/>
    <m/>
    <m/>
    <m/>
    <m/>
    <m/>
  </r>
  <r>
    <d v="2025-11-17T00:00:00"/>
    <x v="7"/>
    <d v="1899-12-30T15:00:00"/>
    <s v="Pradeep"/>
    <s v="Domino's"/>
    <n v="17"/>
    <s v="Grounding Workshop"/>
    <m/>
    <s v="Rishi"/>
    <m/>
    <m/>
    <m/>
    <s v="The abort state was abruptly triggered. He is fine to do this session again in the week"/>
    <n v="6795"/>
    <m/>
    <m/>
    <s v="Abandoned Session"/>
    <s v="Session got abruptly aborted from our end due to a shortcoming in operator console"/>
    <s v="INC-346 operator console change default state from abort"/>
    <s v="checked"/>
    <s v="Session got abruptly aborted from our end due to a shortcoming in operator console"/>
    <m/>
  </r>
  <r>
    <d v="2025-11-19T00:00:00"/>
    <x v="7"/>
    <d v="1899-12-30T12:30:00"/>
    <s v="Ramesh"/>
    <s v="Domino's"/>
    <n v="16"/>
    <s v="The Chain,Grounding Workshop"/>
    <m/>
    <s v="Charlene"/>
    <m/>
    <m/>
    <n v="9"/>
    <s v="he struggled with this drill, he didn't undertsnad why certain solutions weren't working, I explained that this drill relies on being specific and sharing context with characters. Also he was rusty since he hadn't played in 3 weeks"/>
    <n v="6828"/>
    <m/>
    <m/>
    <s v="Attended"/>
    <m/>
    <m/>
    <m/>
    <m/>
    <m/>
  </r>
  <r>
    <d v="2025-11-19T00:00:00"/>
    <x v="7"/>
    <d v="1899-12-30T14:00:00"/>
    <s v="Praveen"/>
    <s v="Domino's"/>
    <n v="13"/>
    <s v="Radio Silence"/>
    <m/>
    <s v="Ed"/>
    <m/>
    <m/>
    <n v="9"/>
    <s v="Had a good discussion about severity assigning and the business impact on the issue"/>
    <n v="6832"/>
    <m/>
    <m/>
    <s v="Attended"/>
    <m/>
    <m/>
    <m/>
    <m/>
    <m/>
  </r>
  <r>
    <d v="2025-11-19T00:00:00"/>
    <x v="7"/>
    <d v="1899-12-30T15:00:00"/>
    <s v="Swetha"/>
    <s v="Domino's"/>
    <n v="15"/>
    <s v="Roblox"/>
    <m/>
    <s v="Karan"/>
    <m/>
    <m/>
    <n v="10"/>
    <s v="It was surprising to have 2 incident s"/>
    <n v="6836"/>
    <m/>
    <m/>
    <s v="Attended"/>
    <m/>
    <m/>
    <m/>
    <m/>
    <m/>
  </r>
  <r>
    <d v="2025-11-20T00:00:00"/>
    <x v="7"/>
    <d v="1899-12-30T12:00:00"/>
    <s v="Ranjan"/>
    <s v="Domino's"/>
    <n v="5"/>
    <s v="Intro"/>
    <m/>
    <s v="Naz"/>
    <m/>
    <m/>
    <s v="No Score"/>
    <m/>
    <m/>
    <m/>
    <m/>
    <s v="Attended"/>
    <m/>
    <m/>
    <m/>
    <m/>
    <m/>
  </r>
  <r>
    <d v="2025-11-20T00:00:00"/>
    <x v="7"/>
    <d v="1899-12-30T15:00:00"/>
    <s v="Pradeep"/>
    <s v="Domino's"/>
    <n v="17"/>
    <m/>
    <m/>
    <m/>
    <m/>
    <m/>
    <m/>
    <m/>
    <m/>
    <m/>
    <m/>
    <s v="Cancelled"/>
    <s v="A production call has been scheduled"/>
    <m/>
    <m/>
    <m/>
    <m/>
  </r>
  <r>
    <d v="2025-11-21T00:00:00"/>
    <x v="7"/>
    <d v="1899-12-30T12:00:00"/>
    <s v="Vaishnavi"/>
    <s v="Domino's"/>
    <n v="13"/>
    <s v="Radio Silence"/>
    <m/>
    <s v="Ed"/>
    <m/>
    <s v="She time out and was not able to fill in the form"/>
    <s v="No Score"/>
    <s v="Was confused about how to proceed in the drill, everyone was busy but managed to completethe drill within 35 mins"/>
    <n v="6859"/>
    <m/>
    <m/>
    <s v="Attended"/>
    <m/>
    <m/>
    <m/>
    <m/>
    <m/>
  </r>
  <r>
    <d v="2025-11-21T00:00:00"/>
    <x v="7"/>
    <d v="1899-12-30T14:00:00"/>
    <s v="Gowtham"/>
    <s v="Domino's"/>
    <n v="10"/>
    <m/>
    <m/>
    <s v="Rishi"/>
    <m/>
    <s v="Move him to every 2 weeks"/>
    <m/>
    <m/>
    <m/>
    <m/>
    <m/>
    <s v="No Show"/>
    <m/>
    <m/>
    <m/>
    <m/>
    <m/>
  </r>
  <r>
    <d v="2025-11-24T00:00:00"/>
    <x v="7"/>
    <d v="1899-12-30T15:00:00"/>
    <s v="Pradeep"/>
    <s v="Domino's"/>
    <n v="17"/>
    <s v="The Switch"/>
    <m/>
    <s v="Matthew"/>
    <m/>
    <m/>
    <n v="9"/>
    <s v="Knows where he can improve"/>
    <n v="6872"/>
    <m/>
    <m/>
    <s v="Attended"/>
    <m/>
    <m/>
    <m/>
    <m/>
    <m/>
  </r>
  <r>
    <d v="2025-11-26T00:00:00"/>
    <x v="7"/>
    <d v="1899-12-30T11:00:00"/>
    <s v="Vallabh"/>
    <s v="Domino's"/>
    <n v="14"/>
    <s v="Roblox"/>
    <m/>
    <s v="Rishi"/>
    <m/>
    <s v="Share data"/>
    <n v="10"/>
    <s v="Super effective. Handling 2 incidents was  something new"/>
    <n v="6906"/>
    <m/>
    <m/>
    <s v="Attended"/>
    <m/>
    <m/>
    <m/>
    <m/>
    <m/>
  </r>
  <r>
    <d v="2025-11-27T00:00:00"/>
    <x v="7"/>
    <d v="1899-12-30T11:00:00"/>
    <s v="Yeshwanth"/>
    <s v="Domino's"/>
    <n v="11"/>
    <s v="Roblox"/>
    <m/>
    <s v="Rishi"/>
    <m/>
    <m/>
    <n v="10"/>
    <s v="Good one. 2 issues at the same time was something new and he felt he could've done better by creating 2 separate incidents and prioritize accordingly  "/>
    <n v="6937"/>
    <m/>
    <m/>
    <s v="Attended"/>
    <m/>
    <m/>
    <m/>
    <m/>
    <m/>
  </r>
  <r>
    <d v="2025-11-27T00:00:00"/>
    <x v="7"/>
    <d v="1899-12-30T12:00:00"/>
    <s v="Ranjan"/>
    <s v="Domino's"/>
    <n v="5"/>
    <s v="Onboarding,Too Good To Be True"/>
    <m/>
    <s v="Charlene"/>
    <m/>
    <m/>
    <s v="No Score"/>
    <s v="He didn't actually start playing until 45 minutes into the session. next week we need to replay the same drill as the session just suddenly aborted in the middle of playing. Also he would need a soft demo of the tools and team"/>
    <n v="6940"/>
    <m/>
    <m/>
    <s v="Attended"/>
    <m/>
    <m/>
    <m/>
    <m/>
    <m/>
  </r>
  <r>
    <d v="2025-11-27T00:00:00"/>
    <x v="7"/>
    <d v="1899-12-30T13:00:00"/>
    <s v="Chris"/>
    <s v="Domino's"/>
    <n v="8"/>
    <m/>
    <m/>
    <s v="Naz"/>
    <m/>
    <m/>
    <m/>
    <m/>
    <m/>
    <m/>
    <m/>
    <s v="No Show"/>
    <m/>
    <m/>
    <m/>
    <m/>
    <m/>
  </r>
  <r>
    <d v="2025-12-03T00:00:00"/>
    <x v="8"/>
    <d v="1899-12-30T13:00:00"/>
    <s v="Ramesh"/>
    <s v="Domino's"/>
    <n v="16"/>
    <s v="The Switch"/>
    <m/>
    <s v="Rishi"/>
    <m/>
    <m/>
    <n v="10"/>
    <s v="Good one. Never get involved with network-related triaging, mostly the apps only. So it was tricky. And they escalate such issues to the network team itself"/>
    <n v="7002"/>
    <m/>
    <m/>
    <s v="Attended"/>
    <m/>
    <m/>
    <m/>
    <m/>
    <m/>
  </r>
  <r>
    <d v="2025-12-04T00:00:00"/>
    <x v="8"/>
    <d v="1899-12-30T13:00:00"/>
    <s v="Chris"/>
    <s v="Domino's"/>
    <n v="8"/>
    <s v="Intro"/>
    <m/>
    <s v="Naz"/>
    <m/>
    <m/>
    <s v="No Score"/>
    <m/>
    <m/>
    <m/>
    <m/>
    <s v="Attended"/>
    <m/>
    <m/>
    <m/>
    <m/>
    <m/>
  </r>
  <r>
    <d v="2025-12-04T00:00:00"/>
    <x v="8"/>
    <d v="1899-12-30T14:00:00"/>
    <s v="Praveen"/>
    <s v="Domino's"/>
    <n v="13"/>
    <m/>
    <m/>
    <m/>
    <m/>
    <m/>
    <m/>
    <m/>
    <m/>
    <m/>
    <m/>
    <s v="Cancelled"/>
    <s v="On week off"/>
    <m/>
    <m/>
    <m/>
    <m/>
  </r>
  <r>
    <d v="2025-12-05T00:00:00"/>
    <x v="8"/>
    <d v="1899-12-30T12:00:00"/>
    <s v="Ranjan"/>
    <s v="Domino's"/>
    <n v="5"/>
    <s v="Bez Beatles Day V2"/>
    <s v="checked"/>
    <s v="Naz"/>
    <m/>
    <m/>
    <n v="8"/>
    <m/>
    <m/>
    <m/>
    <m/>
    <s v="Attended"/>
    <m/>
    <m/>
    <m/>
    <m/>
    <m/>
  </r>
  <r>
    <d v="2025-12-05T00:00:00"/>
    <x v="8"/>
    <d v="1899-12-30T12:00:00"/>
    <s v="Vaishnavi"/>
    <s v="Domino's"/>
    <n v="13"/>
    <s v="Roblox"/>
    <m/>
    <s v="Ed"/>
    <m/>
    <s v="@Mildred Ranque She is okay to have sessions on 19th"/>
    <n v="10"/>
    <s v="was slightly confused about 2 separate incident other than that , she liked it"/>
    <n v="7032"/>
    <m/>
    <m/>
    <s v="Attended"/>
    <m/>
    <m/>
    <m/>
    <m/>
    <m/>
  </r>
  <r>
    <d v="2025-12-05T00:00:00"/>
    <x v="8"/>
    <d v="1899-12-30T14:00:00"/>
    <s v="Gowtham"/>
    <s v="Domino's"/>
    <n v="10"/>
    <s v="Roblox"/>
    <m/>
    <s v="Rishi"/>
    <m/>
    <s v="Please ask if they are working on Dec 19"/>
    <n v="9"/>
    <s v="Surprised to see 2 incidents at the same time. Missed to question more in size up phase "/>
    <n v="7037"/>
    <m/>
    <m/>
    <s v="Attended"/>
    <m/>
    <m/>
    <m/>
    <m/>
    <m/>
  </r>
  <r>
    <d v="2025-12-08T00:00:00"/>
    <x v="8"/>
    <d v="1899-12-30T15:00:00"/>
    <s v="Pradeep"/>
    <s v="Domino's"/>
    <n v="17"/>
    <m/>
    <m/>
    <m/>
    <m/>
    <m/>
    <m/>
    <m/>
    <m/>
    <m/>
    <m/>
    <s v="Cancelled"/>
    <s v="Having a meeting at the same time"/>
    <m/>
    <m/>
    <m/>
    <m/>
  </r>
  <r>
    <d v="2025-12-10T00:00:00"/>
    <x v="8"/>
    <d v="1899-12-30T11:00:00"/>
    <s v="Vallabh"/>
    <s v="Domino's"/>
    <n v="14"/>
    <s v="Profile Report"/>
    <m/>
    <s v="Rishi"/>
    <m/>
    <m/>
    <s v="No Score"/>
    <m/>
    <m/>
    <m/>
    <m/>
    <s v="Attended"/>
    <m/>
    <m/>
    <m/>
    <m/>
    <m/>
  </r>
  <r>
    <d v="2025-12-10T00:00:00"/>
    <x v="8"/>
    <d v="1899-12-30T14:00:00"/>
    <s v="Swetha"/>
    <s v="Domino's"/>
    <n v="15"/>
    <s v="The Chain"/>
    <m/>
    <s v="Rishi"/>
    <m/>
    <s v="Grounding workshop pending for next time"/>
    <n v="10"/>
    <s v="Definately was a good one. Always better to check the dependency but usually IM don't do that, the engg clarifies on this part. "/>
    <n v="7082"/>
    <m/>
    <m/>
    <s v="Attended"/>
    <m/>
    <m/>
    <m/>
    <m/>
    <m/>
  </r>
  <r>
    <d v="2025-12-11T00:00:00"/>
    <x v="8"/>
    <d v="1899-12-30T10:00:00"/>
    <s v="Latif"/>
    <s v="Domino's"/>
    <n v="12"/>
    <m/>
    <m/>
    <s v="Rishi"/>
    <m/>
    <m/>
    <m/>
    <m/>
    <m/>
    <m/>
    <m/>
    <s v="No Show"/>
    <m/>
    <m/>
    <m/>
    <m/>
    <m/>
  </r>
  <r>
    <d v="2025-12-11T00:00:00"/>
    <x v="8"/>
    <d v="1899-12-30T11:00:00"/>
    <s v="Yeshwanth"/>
    <s v="Domino's"/>
    <n v="11"/>
    <m/>
    <m/>
    <s v="Rishi"/>
    <m/>
    <m/>
    <m/>
    <m/>
    <m/>
    <m/>
    <m/>
    <s v="Late Cancellation"/>
    <s v="In another meeting"/>
    <m/>
    <m/>
    <m/>
    <m/>
  </r>
  <r>
    <d v="2025-12-11T00:00:00"/>
    <x v="8"/>
    <d v="1899-12-30T12:00:00"/>
    <s v="Ranjan"/>
    <s v="Domino's"/>
    <n v="5"/>
    <s v="Bez Beatles Day V2"/>
    <s v="checked"/>
    <s v="Rishi"/>
    <m/>
    <s v="Ai and Rishi_x000a__x000a_Rishi has to go over org chart and /help, /incident again"/>
    <n v="9"/>
    <s v="Its good. Close to reality except the time frame provided to solve an incident. Prompted for logs, but no response on that. "/>
    <n v="7098"/>
    <m/>
    <m/>
    <s v="Attended"/>
    <m/>
    <m/>
    <m/>
    <m/>
    <m/>
  </r>
  <r>
    <d v="2025-12-11T00:00:00"/>
    <x v="8"/>
    <d v="1899-12-30T13:00:00"/>
    <s v="Chris"/>
    <s v="Domino's"/>
    <n v="8"/>
    <s v="Onboarding,Too Good To Be True"/>
    <m/>
    <s v="Charlene"/>
    <m/>
    <m/>
    <n v="8"/>
    <s v="he was surprised by how intuitive the characters were and is looking forward to playing another session"/>
    <n v="7103"/>
    <m/>
    <m/>
    <s v="Attended"/>
    <m/>
    <m/>
    <m/>
    <m/>
    <m/>
  </r>
  <r>
    <d v="2025-12-11T00:00:00"/>
    <x v="8"/>
    <d v="1899-12-30T14:00:00"/>
    <s v="Praveen"/>
    <s v="Domino's"/>
    <n v="13"/>
    <m/>
    <m/>
    <m/>
    <m/>
    <m/>
    <m/>
    <m/>
    <m/>
    <m/>
    <m/>
    <s v="Cancelled"/>
    <s v="Due to personal emergency"/>
    <m/>
    <m/>
    <m/>
    <m/>
  </r>
  <r>
    <d v="2025-12-12T00:00:00"/>
    <x v="8"/>
    <d v="1899-12-30T11:00:00"/>
    <s v="Yeshwanth"/>
    <s v="Domino's"/>
    <n v="11"/>
    <s v="The Chain,Grounding Workshop"/>
    <m/>
    <s v="Matthew"/>
    <m/>
    <m/>
    <n v="9"/>
    <s v="He needs to read what the team is telling him, he will get information then ask for it again a minute later"/>
    <n v="7114"/>
    <m/>
    <m/>
    <s v="Attended"/>
    <m/>
    <m/>
    <m/>
    <m/>
    <m/>
  </r>
  <r>
    <d v="2025-12-15T00:00:00"/>
    <x v="8"/>
    <d v="1899-12-30T11:00:00"/>
    <s v="Pradeep"/>
    <s v="Domino's"/>
    <n v="17"/>
    <m/>
    <m/>
    <s v="Ed"/>
    <m/>
    <m/>
    <m/>
    <m/>
    <m/>
    <m/>
    <m/>
    <s v="Rescheduled"/>
    <m/>
    <m/>
    <m/>
    <m/>
    <m/>
  </r>
  <r>
    <d v="2025-12-16T00:00:00"/>
    <x v="8"/>
    <d v="1899-12-30T11:00:00"/>
    <s v="Pradeep"/>
    <s v="Domino's"/>
    <n v="17"/>
    <s v="PIR on Switch"/>
    <m/>
    <s v="Ed"/>
    <m/>
    <m/>
    <n v="10"/>
    <s v="he is looking forward to try fill in the PIR form sicnce he only contributes as rot cause identifier"/>
    <m/>
    <m/>
    <m/>
    <s v="Attended"/>
    <m/>
    <m/>
    <m/>
    <m/>
    <m/>
  </r>
  <r>
    <d v="2025-12-18T00:00:00"/>
    <x v="8"/>
    <d v="1899-12-30T12:00:00"/>
    <s v="Ranjan"/>
    <s v="Domino's"/>
    <n v="5"/>
    <m/>
    <m/>
    <m/>
    <m/>
    <m/>
    <m/>
    <m/>
    <m/>
    <m/>
    <m/>
    <s v="Cancelled"/>
    <m/>
    <m/>
    <m/>
    <m/>
    <m/>
  </r>
  <r>
    <d v="2025-12-19T00:00:00"/>
    <x v="8"/>
    <d v="1899-12-30T12:00:00"/>
    <s v="Vaishnavi"/>
    <s v="Domino's"/>
    <n v="13"/>
    <s v="The Chain,Grounding Workshop"/>
    <m/>
    <s v="Rishi"/>
    <m/>
    <m/>
    <n v="10"/>
    <s v="Interesting one. Have not seen such issues earlier in the drills. Restart of cartservice fixed the issue but later failed again "/>
    <n v="7208"/>
    <m/>
    <m/>
    <s v="Attended"/>
    <m/>
    <m/>
    <m/>
    <m/>
    <m/>
  </r>
  <r>
    <d v="2025-12-19T00:00:00"/>
    <x v="8"/>
    <d v="1899-12-30T14:00:00"/>
    <s v="Chris"/>
    <s v="Domino's"/>
    <n v="8"/>
    <m/>
    <m/>
    <s v="Rishi"/>
    <m/>
    <m/>
    <m/>
    <m/>
    <m/>
    <m/>
    <m/>
    <s v="Late Cancellation"/>
    <s v="Got a major incident "/>
    <m/>
    <m/>
    <m/>
    <m/>
  </r>
  <r>
    <d v="2025-12-19T00:00:00"/>
    <x v="8"/>
    <d v="1899-12-30T14:00:00"/>
    <s v="Gowtham"/>
    <s v="Domino's"/>
    <n v="10"/>
    <s v="The Switch"/>
    <m/>
    <s v="Ed"/>
    <m/>
    <s v="MM testing"/>
    <n v="10"/>
    <s v="was able to see the importance of sizing up and understand the importance of bringing in the right people in at the right time"/>
    <n v="7211"/>
    <m/>
    <m/>
    <s v="Attended"/>
    <m/>
    <m/>
    <m/>
    <m/>
    <m/>
  </r>
  <r>
    <d v="2026-01-07T00:00:00"/>
    <x v="9"/>
    <d v="1899-12-30T11:00:00"/>
    <s v="Vallabh"/>
    <s v="Domino's"/>
    <n v="14"/>
    <m/>
    <m/>
    <s v="Matthew"/>
    <m/>
    <m/>
    <m/>
    <m/>
    <m/>
    <m/>
    <m/>
    <s v="Abandoned Session"/>
    <s v="Session wouldn't start_x000a_&quot;load generator failing on most of the vcluster environments&quot;"/>
    <s v="INC-375 Vcluster connection issues"/>
    <m/>
    <s v="Vcluster connection issues"/>
    <m/>
  </r>
  <r>
    <d v="2026-01-08T00:00:00"/>
    <x v="9"/>
    <d v="1899-12-30T11:00:00"/>
    <s v="Yeshwanth"/>
    <s v="Domino's"/>
    <n v="11"/>
    <s v="The Switch"/>
    <m/>
    <s v="Rishi"/>
    <m/>
    <m/>
    <n v="10"/>
    <s v="This was amazing. He was able to form working theory by askign teams to check connections to network infra and made a logical decision on why not to go for switch restart."/>
    <n v="7320"/>
    <m/>
    <m/>
    <s v="Attended"/>
    <m/>
    <m/>
    <m/>
    <m/>
    <m/>
  </r>
  <r>
    <d v="2026-01-08T00:00:00"/>
    <x v="9"/>
    <d v="1899-12-30T12:00:00"/>
    <s v="Ranjan"/>
    <s v="Domino's"/>
    <n v="5"/>
    <m/>
    <m/>
    <s v="Charlene"/>
    <m/>
    <m/>
    <m/>
    <m/>
    <m/>
    <m/>
    <m/>
    <s v="Late Cancellation"/>
    <s v="He's experiencing power cuts"/>
    <m/>
    <m/>
    <m/>
    <m/>
  </r>
  <r>
    <d v="2026-01-08T00:00:00"/>
    <x v="9"/>
    <d v="1899-12-30T13:00:00"/>
    <s v="Chris"/>
    <s v="Domino's"/>
    <n v="8"/>
    <m/>
    <m/>
    <s v="Charlene"/>
    <m/>
    <s v="he may need a little reminder "/>
    <m/>
    <m/>
    <m/>
    <m/>
    <m/>
    <s v="No Show"/>
    <m/>
    <m/>
    <m/>
    <m/>
    <m/>
  </r>
  <r>
    <d v="2026-01-08T00:00:00"/>
    <x v="9"/>
    <d v="1899-12-30T15:00:00"/>
    <s v="Praveen"/>
    <s v="Domino's"/>
    <n v="13"/>
    <s v="Roblox"/>
    <m/>
    <s v="Charlene"/>
    <m/>
    <s v="He seemed to really struggle with this drill. I would suggest an easier drill for him before progressing as I feel this session was too difficult for him"/>
    <n v="8"/>
    <s v="the feedback form didn't work on his session so i asked for the score verbally, he said that he feels like he needs more time in the drill"/>
    <n v="7327"/>
    <m/>
    <m/>
    <s v="Attended"/>
    <m/>
    <m/>
    <m/>
    <m/>
    <m/>
  </r>
  <r>
    <d v="2026-01-09T00:00:00"/>
    <x v="9"/>
    <d v="1899-12-30T10:00:00"/>
    <s v="Chris"/>
    <s v="Domino's"/>
    <n v="8"/>
    <m/>
    <m/>
    <s v="Rishi"/>
    <m/>
    <m/>
    <m/>
    <m/>
    <m/>
    <m/>
    <m/>
    <s v="No Show"/>
    <m/>
    <m/>
    <m/>
    <m/>
    <m/>
  </r>
  <r>
    <d v="2026-01-12T00:00:00"/>
    <x v="9"/>
    <d v="1899-12-30T13:00:00"/>
    <s v="Pradeep"/>
    <s v="Domino's"/>
    <n v="17"/>
    <s v="The Chain"/>
    <m/>
    <s v="Rishi"/>
    <m/>
    <m/>
    <n v="10"/>
    <s v="Good one. Will think about the dependency in next drills "/>
    <n v="7368"/>
    <m/>
    <m/>
    <s v="Attended"/>
    <m/>
    <m/>
    <m/>
    <m/>
    <m/>
  </r>
  <r>
    <d v="2026-01-14T00:00:00"/>
    <x v="9"/>
    <d v="1899-12-30T11:00:00"/>
    <s v="Vallabh"/>
    <s v="Domino's"/>
    <n v="14"/>
    <s v="The Chain,Grounding Workshop"/>
    <m/>
    <s v="Rishi"/>
    <m/>
    <m/>
    <n v="10"/>
    <s v="Realistic. Cascading failure - got the idea by drill's name . Good practice on deciding whether to save a bitcoin feature or completely roll it back "/>
    <n v="7402"/>
    <m/>
    <m/>
    <s v="Attended"/>
    <m/>
    <m/>
    <m/>
    <m/>
    <m/>
  </r>
  <r>
    <d v="2026-01-14T00:00:00"/>
    <x v="9"/>
    <d v="1899-12-30T14:00:00"/>
    <s v="Swetha"/>
    <s v="Domino's"/>
    <n v="15"/>
    <m/>
    <m/>
    <m/>
    <m/>
    <m/>
    <m/>
    <m/>
    <m/>
    <m/>
    <m/>
    <s v="Rescheduled"/>
    <s v="Got another clash which is for an incident"/>
    <m/>
    <m/>
    <m/>
    <m/>
  </r>
  <r>
    <d v="2026-01-15T00:00:00"/>
    <x v="9"/>
    <d v="1899-12-30T12:00:00"/>
    <s v="Ranjan"/>
    <s v="Domino's"/>
    <n v="5"/>
    <s v="The Big Investors"/>
    <m/>
    <s v="Rishi"/>
    <m/>
    <m/>
    <n v="10"/>
    <s v="Took a lot of time. Said he needs to learn so many things. "/>
    <n v="7427"/>
    <m/>
    <m/>
    <s v="Attended"/>
    <m/>
    <m/>
    <m/>
    <m/>
    <m/>
  </r>
  <r>
    <d v="2026-01-16T00:00:00"/>
    <x v="9"/>
    <d v="1899-12-30T10:00:00"/>
    <s v="Chris"/>
    <s v="Domino's"/>
    <n v="8"/>
    <s v="Bez Beatles Day V2"/>
    <s v="checked"/>
    <s v="Naz"/>
    <m/>
    <m/>
    <n v="10"/>
    <m/>
    <m/>
    <m/>
    <m/>
    <s v="Attended"/>
    <m/>
    <m/>
    <m/>
    <m/>
    <m/>
  </r>
  <r>
    <d v="2026-01-16T00:00:00"/>
    <x v="9"/>
    <d v="1899-12-30T12:00:00"/>
    <s v="Vaishnavi"/>
    <s v="Domino's"/>
    <n v="13"/>
    <s v="The Switch"/>
    <m/>
    <s v="Matthew"/>
    <m/>
    <m/>
    <n v="10"/>
    <s v="Liked the drill and found the narrative very interesting"/>
    <n v="7449"/>
    <m/>
    <m/>
    <s v="Attended"/>
    <m/>
    <m/>
    <m/>
    <m/>
    <m/>
  </r>
  <r>
    <d v="2026-01-16T00:00:00"/>
    <x v="9"/>
    <d v="1899-12-30T13:00:00"/>
    <s v="Swetha"/>
    <s v="Domino's"/>
    <n v="15"/>
    <s v="The Switch,Grounding Workshop"/>
    <m/>
    <s v="Ed"/>
    <m/>
    <m/>
    <n v="10"/>
    <s v="said it was good experience and she is looking forward to PIR session in addition to find out more about her progres"/>
    <n v="7450"/>
    <m/>
    <m/>
    <s v="Attended"/>
    <m/>
    <m/>
    <m/>
    <m/>
    <m/>
  </r>
  <r>
    <d v="2026-01-16T00:00:00"/>
    <x v="9"/>
    <d v="1899-12-30T14:00:00"/>
    <s v="Gowtham"/>
    <s v="Domino's"/>
    <n v="10"/>
    <m/>
    <m/>
    <s v="Matthew"/>
    <m/>
    <m/>
    <m/>
    <m/>
    <m/>
    <m/>
    <m/>
    <s v="No Show"/>
    <m/>
    <m/>
    <m/>
    <m/>
    <m/>
  </r>
  <r>
    <d v="2026-01-21T00:00:00"/>
    <x v="9"/>
    <d v="1899-12-30T13:00:00"/>
    <s v="Ramesh"/>
    <s v="Domino's"/>
    <n v="16"/>
    <s v="Unknown Unknown"/>
    <m/>
    <s v="Rishi"/>
    <m/>
    <s v="Session plan? Discount Disaster or Detail Matter?"/>
    <n v="10"/>
    <m/>
    <n v="7486"/>
    <m/>
    <m/>
    <s v="Attended"/>
    <m/>
    <m/>
    <m/>
    <m/>
    <m/>
  </r>
  <r>
    <d v="2026-01-22T00:00:00"/>
    <x v="9"/>
    <d v="1899-12-30T10:00:00"/>
    <s v="Latif"/>
    <s v="Domino's"/>
    <n v="12"/>
    <s v="Roblox"/>
    <m/>
    <s v="Ed"/>
    <m/>
    <m/>
    <n v="9"/>
    <s v="Good drill to practice and identify multiple issues within the incident"/>
    <n v="7497"/>
    <m/>
    <m/>
    <s v="Attended"/>
    <m/>
    <m/>
    <m/>
    <m/>
    <m/>
  </r>
  <r>
    <d v="2026-01-22T00:00:00"/>
    <x v="9"/>
    <d v="1899-12-30T11:00:00"/>
    <s v="Yeshwanth"/>
    <s v="Domino's"/>
    <n v="11"/>
    <m/>
    <m/>
    <s v="Rishi"/>
    <m/>
    <m/>
    <m/>
    <m/>
    <m/>
    <m/>
    <m/>
    <s v="No Show"/>
    <m/>
    <m/>
    <m/>
    <m/>
    <m/>
  </r>
  <r>
    <d v="2026-01-22T00:00:00"/>
    <x v="9"/>
    <d v="1899-12-30T14:00:00"/>
    <s v="Praveen"/>
    <s v="Domino's"/>
    <n v="13"/>
    <s v="Profile Report"/>
    <m/>
    <s v="Ed"/>
    <m/>
    <s v="Waiting for response to move to earlier time"/>
    <n v="10"/>
    <m/>
    <m/>
    <m/>
    <m/>
    <s v="Attended"/>
    <m/>
    <m/>
    <m/>
    <m/>
    <s v="He will send you an email about potentially changing his time for sessions, also he would like to have Karan for his next session :D"/>
  </r>
  <r>
    <d v="2026-01-23T00:00:00"/>
    <x v="9"/>
    <d v="1899-12-30T10:00:00"/>
    <s v="Chris"/>
    <s v="Domino's"/>
    <n v="8"/>
    <s v="Bez Beatles Day V2"/>
    <s v="checked"/>
    <s v="Naz"/>
    <m/>
    <m/>
    <n v="10"/>
    <s v="he finished it and loved it"/>
    <n v="7514"/>
    <m/>
    <m/>
    <s v="Attended"/>
    <m/>
    <m/>
    <m/>
    <m/>
    <m/>
  </r>
  <r>
    <d v="2026-01-28T00:00:00"/>
    <x v="9"/>
    <d v="1899-12-30T11:00:00"/>
    <s v="Vallabh"/>
    <s v="Domino's"/>
    <n v="14"/>
    <s v="The Switch"/>
    <m/>
    <s v="Ed"/>
    <m/>
    <m/>
    <n v="9"/>
    <s v="He is looking forward to PIR and practice more  grounding"/>
    <n v="7543"/>
    <m/>
    <m/>
    <s v="Attended"/>
    <m/>
    <m/>
    <m/>
    <m/>
    <m/>
  </r>
  <r>
    <d v="2026-01-28T00:00:00"/>
    <x v="9"/>
    <d v="1899-12-30T14:00:00"/>
    <s v="Swetha"/>
    <s v="Domino's"/>
    <n v="15"/>
    <s v="Interview"/>
    <m/>
    <s v="Naz"/>
    <m/>
    <s v="She is going to play UU and prefer to skip PIR and join work call"/>
    <s v="No Score"/>
    <m/>
    <m/>
    <m/>
    <m/>
    <s v="Attended"/>
    <m/>
    <m/>
    <m/>
    <m/>
    <m/>
  </r>
  <r>
    <d v="2026-01-29T00:00:00"/>
    <x v="9"/>
    <d v="1899-12-30T10:00:00"/>
    <s v="Chris"/>
    <s v="Domino's"/>
    <n v="8"/>
    <s v="The Big Investors"/>
    <m/>
    <s v="Rishi"/>
    <m/>
    <m/>
    <n v="10"/>
    <s v="Great one. Intentionally this forced me to go through logs , check architecture then form a working theory. "/>
    <n v="7553"/>
    <m/>
    <m/>
    <s v="Attended"/>
    <m/>
    <m/>
    <m/>
    <m/>
    <m/>
  </r>
  <r>
    <d v="2026-01-29T00:00:00"/>
    <x v="9"/>
    <d v="1899-12-30T12:00:00"/>
    <s v="Ranjan"/>
    <s v="Domino's"/>
    <n v="5"/>
    <m/>
    <m/>
    <s v="Charlene"/>
    <m/>
    <m/>
    <m/>
    <m/>
    <m/>
    <m/>
    <m/>
    <s v="No Show"/>
    <s v="He had some issues with his laptop password reset"/>
    <m/>
    <m/>
    <m/>
    <m/>
  </r>
  <r>
    <d v="2026-01-30T00:00:00"/>
    <x v="9"/>
    <d v="1899-12-30T12:00:00"/>
    <s v="Vaishnavi"/>
    <s v="Domino's"/>
    <n v="13"/>
    <s v="PIR on Switch"/>
    <m/>
    <s v="Matthew"/>
    <m/>
    <s v="Feedback"/>
    <n v="9"/>
    <s v="Sees the values in our sessions, tight now there isnt sev 1's and this training helps keep them  fresh in their head "/>
    <m/>
    <m/>
    <m/>
    <s v="Attended"/>
    <m/>
    <m/>
    <m/>
    <m/>
    <m/>
  </r>
  <r>
    <d v="2026-01-30T00:00:00"/>
    <x v="9"/>
    <d v="1899-12-30T14:00:00"/>
    <s v="Gowtham"/>
    <s v="Domino's"/>
    <n v="10"/>
    <m/>
    <m/>
    <m/>
    <m/>
    <m/>
    <m/>
    <m/>
    <m/>
    <m/>
    <m/>
    <s v="Cancelled"/>
    <s v="Not feeling well"/>
    <m/>
    <m/>
    <m/>
    <m/>
  </r>
  <r>
    <d v="2026-02-02T00:00:00"/>
    <x v="10"/>
    <d v="1899-12-30T13:00:00"/>
    <s v="Pradeep"/>
    <s v="Domino's"/>
    <n v="17"/>
    <m/>
    <m/>
    <m/>
    <m/>
    <m/>
    <m/>
    <m/>
    <m/>
    <m/>
    <m/>
    <s v="Rescheduled"/>
    <s v="Occupied with production tasks"/>
    <s v="occupied with production tasks"/>
    <m/>
    <m/>
    <m/>
  </r>
  <r>
    <d v="2026-02-04T00:00:00"/>
    <x v="10"/>
    <d v="1899-12-30T13:00:00"/>
    <s v="Ramesh"/>
    <s v="Domino's"/>
    <n v="16"/>
    <s v="PIR on Unknown Unknown"/>
    <m/>
    <s v="Ed"/>
    <m/>
    <m/>
    <n v="8"/>
    <m/>
    <m/>
    <m/>
    <m/>
    <s v="Attended"/>
    <m/>
    <s v="INC-399 users can't view reports"/>
    <s v="checked"/>
    <m/>
    <m/>
  </r>
  <r>
    <d v="2026-02-04T00:00:00"/>
    <x v="10"/>
    <d v="1899-12-30T13:00:00"/>
    <s v="Pradeep"/>
    <s v="Domino's"/>
    <n v="17"/>
    <s v="Profile Report"/>
    <m/>
    <s v="Charlene"/>
    <m/>
    <m/>
    <s v="No Score"/>
    <s v="he liked seeing his current level and liked discussing where the training on the platform will take him. hasn't had any real incidents in the last few weeks so no real opportunity to showcase any uptime labs skills"/>
    <m/>
    <m/>
    <m/>
    <s v="Attended"/>
    <m/>
    <m/>
    <m/>
    <m/>
    <m/>
  </r>
  <r>
    <d v="2026-02-05T00:00:00"/>
    <x v="10"/>
    <d v="1899-12-30T10:00:00"/>
    <s v="Latif"/>
    <s v="Domino's"/>
    <n v="12"/>
    <s v="The Switch"/>
    <m/>
    <s v="Ed"/>
    <m/>
    <m/>
    <n v="9"/>
    <s v="He is looking forward to see how he is doing compared to other team members, overall he liked the drill"/>
    <n v="7631"/>
    <m/>
    <m/>
    <s v="Attended"/>
    <m/>
    <m/>
    <m/>
    <m/>
    <m/>
  </r>
  <r>
    <d v="2026-02-05T00:00:00"/>
    <x v="10"/>
    <d v="1899-12-30T11:00:00"/>
    <s v="Yeshwanth"/>
    <s v="Domino's"/>
    <n v="11"/>
    <m/>
    <m/>
    <s v="Rishi"/>
    <m/>
    <m/>
    <m/>
    <m/>
    <m/>
    <m/>
    <m/>
    <s v="No Show"/>
    <m/>
    <m/>
    <m/>
    <m/>
    <m/>
  </r>
  <r>
    <d v="2026-02-05T00:00:00"/>
    <x v="10"/>
    <d v="1899-12-30T12:00:00"/>
    <s v="Ranjan"/>
    <s v="Domino's"/>
    <n v="5"/>
    <m/>
    <m/>
    <s v="Charlene"/>
    <m/>
    <m/>
    <m/>
    <m/>
    <m/>
    <m/>
    <m/>
    <s v="No Show"/>
    <m/>
    <m/>
    <m/>
    <m/>
    <m/>
  </r>
  <r>
    <d v="2026-02-05T00:00:00"/>
    <x v="10"/>
    <d v="1899-12-30T14:00:00"/>
    <s v="Praveen"/>
    <s v="Domino's"/>
    <n v="13"/>
    <m/>
    <m/>
    <s v="Charlene"/>
    <m/>
    <m/>
    <m/>
    <m/>
    <m/>
    <m/>
    <m/>
    <s v="No Show"/>
    <s v="Due to some prod alerts"/>
    <m/>
    <m/>
    <m/>
    <m/>
  </r>
  <r>
    <d v="2026-02-06T00:00:00"/>
    <x v="10"/>
    <d v="1899-12-30T10:00:00"/>
    <s v="Chris"/>
    <s v="Domino's"/>
    <n v="8"/>
    <s v="Rumours"/>
    <m/>
    <s v="Karan"/>
    <m/>
    <m/>
    <n v="9"/>
    <s v="Didn't expect this .Surprising that its a no issue - It fooled me . really caught me"/>
    <n v="7645"/>
    <m/>
    <m/>
    <s v="Attended"/>
    <m/>
    <m/>
    <m/>
    <m/>
    <m/>
  </r>
  <r>
    <d v="2026-02-06T00:00:00"/>
    <x v="10"/>
    <d v="1899-12-30T14:00:00"/>
    <s v="Gowtham"/>
    <s v="Domino's"/>
    <n v="10"/>
    <m/>
    <m/>
    <s v="Matthew"/>
    <m/>
    <m/>
    <m/>
    <m/>
    <m/>
    <m/>
    <m/>
    <s v="No Show"/>
    <m/>
    <m/>
    <m/>
    <m/>
    <m/>
  </r>
  <r>
    <d v="2026-02-11T00:00:00"/>
    <x v="10"/>
    <d v="1899-12-30T14:00:00"/>
    <s v="Swetha"/>
    <s v="Domino's"/>
    <n v="15"/>
    <m/>
    <m/>
    <s v="Karan"/>
    <m/>
    <m/>
    <m/>
    <m/>
    <m/>
    <m/>
    <m/>
    <s v="Late Cancellation"/>
    <s v="Something came up in her neighborhood and she had to rush"/>
    <m/>
    <m/>
    <m/>
    <m/>
  </r>
  <r>
    <d v="2026-02-12T00:00:00"/>
    <x v="10"/>
    <d v="1899-12-30T12:00:00"/>
    <s v="Ranjan"/>
    <s v="Domino's"/>
    <n v="5"/>
    <m/>
    <m/>
    <s v="Ed"/>
    <m/>
    <s v="Move to every 2 weeks"/>
    <m/>
    <m/>
    <m/>
    <m/>
    <m/>
    <s v="No Show"/>
    <m/>
    <m/>
    <m/>
    <m/>
    <m/>
  </r>
  <r>
    <d v="2026-02-12T00:00:00"/>
    <x v="10"/>
    <d v="1899-12-30T14:00:00"/>
    <s v="Swetha"/>
    <s v="Domino's"/>
    <n v="15"/>
    <s v="Unknown Unknown"/>
    <m/>
    <s v="Karan"/>
    <m/>
    <s v="@Karan Tell her this is ur new drill and we want your feedback, red carpet treatment "/>
    <n v="10"/>
    <s v="This is great - The UAT situation is real . Lot of surprising factors ._x000a_Help from Hamed was good "/>
    <n v="7702"/>
    <m/>
    <m/>
    <s v="Attended"/>
    <m/>
    <m/>
    <m/>
    <m/>
    <m/>
  </r>
  <r>
    <d v="2026-02-13T00:00:00"/>
    <x v="10"/>
    <d v="1899-12-30T10:00:00"/>
    <s v="Chris"/>
    <s v="Domino's"/>
    <n v="8"/>
    <s v="Missing Delivery V2"/>
    <s v="checked"/>
    <s v="Rishi"/>
    <m/>
    <s v="Move to every 2 weeks"/>
    <n v="10"/>
    <s v="Brilliant. How cleverly it broke my pattern of triaging - i always thought change would be reason like previous drills. This was awesome."/>
    <n v="7718"/>
    <m/>
    <m/>
    <s v="Attended"/>
    <m/>
    <m/>
    <m/>
    <m/>
    <m/>
  </r>
  <r>
    <d v="2026-02-13T00:00:00"/>
    <x v="10"/>
    <d v="1899-12-30T12:00:00"/>
    <s v="Vaishnavi"/>
    <s v="Domino's"/>
    <n v="13"/>
    <s v="Version Confusion"/>
    <m/>
    <s v="Ed"/>
    <m/>
    <s v="Next session should be a profile @mi"/>
    <n v="10"/>
    <s v="Was asking me questions about her progress, so next session should be a profile session"/>
    <n v="7721"/>
    <m/>
    <m/>
    <s v="Attended"/>
    <m/>
    <m/>
    <m/>
    <m/>
    <m/>
  </r>
  <r>
    <d v="2026-02-13T00:00:00"/>
    <x v="10"/>
    <d v="1899-12-30T14:00:00"/>
    <s v="Praveen"/>
    <s v="Domino's"/>
    <n v="13"/>
    <s v="The Chain,Grounding Workshop"/>
    <m/>
    <s v="Matthew"/>
    <m/>
    <m/>
    <n v="8"/>
    <s v="Liked the session today and says he learnt some good skills today "/>
    <n v="7722"/>
    <m/>
    <m/>
    <s v="Attended"/>
    <m/>
    <m/>
    <m/>
    <m/>
    <m/>
  </r>
  <r>
    <d v="2026-02-16T00:00:00"/>
    <x v="10"/>
    <d v="1899-12-30T13:00:00"/>
    <s v="Pradeep"/>
    <s v="Domino's"/>
    <n v="17"/>
    <m/>
    <m/>
    <m/>
    <m/>
    <m/>
    <m/>
    <m/>
    <m/>
    <m/>
    <m/>
    <s v="Cancelled"/>
    <s v="On leave"/>
    <m/>
    <m/>
    <m/>
    <m/>
  </r>
  <r>
    <d v="2026-02-18T00:00:00"/>
    <x v="10"/>
    <d v="1899-12-30T11:00:00"/>
    <s v="Vallabh"/>
    <s v="Domino's"/>
    <n v="14"/>
    <s v="PIR on Switch"/>
    <m/>
    <s v="Ed"/>
    <m/>
    <m/>
    <n v="10"/>
    <s v="Found the sesion very insightful, they might integrate some aspects of our PIR for their RCA"/>
    <m/>
    <m/>
    <m/>
    <s v="Attended"/>
    <m/>
    <m/>
    <m/>
    <m/>
    <m/>
  </r>
  <r>
    <d v="2026-02-18T00:00:00"/>
    <x v="10"/>
    <d v="1899-12-30T13:00:00"/>
    <s v="Ramesh"/>
    <s v="Domino's"/>
    <n v="16"/>
    <m/>
    <m/>
    <m/>
    <m/>
    <m/>
    <m/>
    <m/>
    <m/>
    <m/>
    <m/>
    <s v="Rescheduled"/>
    <s v="Will not be able to attend today"/>
    <m/>
    <m/>
    <m/>
    <m/>
  </r>
  <r>
    <d v="2026-02-19T00:00:00"/>
    <x v="10"/>
    <d v="1899-12-30T10:00:00"/>
    <s v="Latif"/>
    <s v="Domino's"/>
    <n v="12"/>
    <s v="PIR on Switch"/>
    <m/>
    <s v="Ed"/>
    <m/>
    <m/>
    <n v="10"/>
    <s v="loved the drill, loved the PIR , finds the session really insightful"/>
    <m/>
    <m/>
    <m/>
    <s v="Attended"/>
    <m/>
    <m/>
    <m/>
    <m/>
    <m/>
  </r>
  <r>
    <d v="2026-02-19T00:00:00"/>
    <x v="10"/>
    <d v="1899-12-30T11:00:00"/>
    <s v="Yeshwanth"/>
    <s v="Domino's"/>
    <n v="11"/>
    <m/>
    <m/>
    <s v="Naz"/>
    <m/>
    <m/>
    <m/>
    <m/>
    <m/>
    <m/>
    <m/>
    <s v="No Show"/>
    <m/>
    <m/>
    <m/>
    <m/>
    <m/>
  </r>
  <r>
    <d v="2026-02-19T00:00:00"/>
    <x v="10"/>
    <d v="1899-12-30T12:00:00"/>
    <s v="Ranjan"/>
    <s v="Domino's"/>
    <n v="5"/>
    <m/>
    <m/>
    <s v="Ed"/>
    <m/>
    <m/>
    <m/>
    <m/>
    <m/>
    <m/>
    <m/>
    <s v="No Show"/>
    <m/>
    <m/>
    <m/>
    <m/>
    <m/>
  </r>
  <r>
    <d v="2026-02-19T00:00:00"/>
    <x v="10"/>
    <d v="1899-12-30T14:00:00"/>
    <s v="Ramesh"/>
    <s v="Domino's"/>
    <n v="16"/>
    <s v="Version Confusion"/>
    <m/>
    <s v="Charlene"/>
    <m/>
    <m/>
    <n v="8"/>
    <s v="I had to discuss with him post drill what the problem was as he didn't get it. he realised he missed a key message at the start of the drill"/>
    <n v="7774"/>
    <m/>
    <m/>
    <s v="Attended"/>
    <m/>
    <m/>
    <m/>
    <m/>
    <m/>
  </r>
  <r>
    <d v="2026-02-20T00:00:00"/>
    <x v="10"/>
    <d v="1899-12-30T14:00:00"/>
    <s v="Gowtham"/>
    <s v="Domino's"/>
    <n v="10"/>
    <s v="The Chain,Grounding Workshop"/>
    <m/>
    <s v="Matthew"/>
    <m/>
    <m/>
    <n v="10"/>
    <s v="Really liked the narrative, he sees where can improve for the next session "/>
    <n v="7786"/>
    <m/>
    <m/>
    <s v="Attended"/>
    <m/>
    <m/>
    <m/>
    <m/>
    <m/>
  </r>
  <r>
    <d v="2026-02-23T00:00:00"/>
    <x v="10"/>
    <d v="1899-12-30T13:00:00"/>
    <s v="Pradeep"/>
    <s v="Domino's"/>
    <n v="17"/>
    <s v="Version Confusion"/>
    <m/>
    <s v="Matthew"/>
    <m/>
    <m/>
    <n v="10"/>
    <s v="We will need to go back to this drill._x000a_needs to focus on driving the drill more himself and take lead"/>
    <n v="7796"/>
    <m/>
    <m/>
    <s v="Attended"/>
    <m/>
    <m/>
    <m/>
    <m/>
    <m/>
  </r>
  <r>
    <d v="2026-02-25T00:00:00"/>
    <x v="10"/>
    <d v="1899-12-30T14:00:00"/>
    <s v="Swetha"/>
    <s v="Domino's"/>
    <n v="15"/>
    <m/>
    <m/>
    <m/>
    <m/>
    <m/>
    <m/>
    <m/>
    <m/>
    <m/>
    <m/>
    <s v="Rescheduled"/>
    <s v="Did not provide any reason"/>
    <m/>
    <m/>
    <m/>
    <m/>
  </r>
  <r>
    <d v="2026-02-26T00:00:00"/>
    <x v="10"/>
    <d v="1899-12-30T12:00:00"/>
    <s v="Ranjan"/>
    <s v="Domino's"/>
    <n v="5"/>
    <m/>
    <m/>
    <s v="Ed"/>
    <m/>
    <m/>
    <m/>
    <m/>
    <m/>
    <m/>
    <m/>
    <s v="No Show"/>
    <m/>
    <m/>
    <m/>
    <m/>
    <m/>
  </r>
  <r>
    <d v="2026-02-26T00:00:00"/>
    <x v="10"/>
    <d v="1899-12-30T14:00:00"/>
    <s v="Praveen"/>
    <s v="Domino's"/>
    <n v="13"/>
    <s v="The Switch"/>
    <m/>
    <s v="Ed"/>
    <m/>
    <s v="Ask about value"/>
    <n v="9"/>
    <s v="He can see how this drill can help with similar situations that have ocoured in switch since they have not experience anything like this before"/>
    <n v="7826"/>
    <m/>
    <m/>
    <s v="Attended"/>
    <m/>
    <m/>
    <m/>
    <m/>
    <m/>
  </r>
  <r>
    <d v="2026-02-26T00:00:00"/>
    <x v="10"/>
    <d v="1899-12-30T14:00:00"/>
    <s v="Swetha"/>
    <s v="Domino's"/>
    <n v="15"/>
    <s v="PIR on Unknown Unknown"/>
    <m/>
    <s v="Karan"/>
    <m/>
    <m/>
    <n v="10"/>
    <s v="These are definately helpfull compared to traditional PIR's"/>
    <m/>
    <m/>
    <m/>
    <s v="Attended"/>
    <m/>
    <m/>
    <m/>
    <m/>
    <m/>
  </r>
  <r>
    <d v="2026-02-27T00:00:00"/>
    <x v="10"/>
    <d v="1899-12-30T10:00:00"/>
    <s v="Chris"/>
    <s v="Domino's"/>
    <n v="8"/>
    <s v="Radio Silence"/>
    <m/>
    <s v="Ed"/>
    <m/>
    <s v="next session 20th march @Mildred Ranque he is away on his honeymoon trip"/>
    <n v="9"/>
    <s v="Liked the drill and was able to figure out what drill was supposed to do and followed the learning objectives"/>
    <n v="7839"/>
    <m/>
    <m/>
    <s v="Attended"/>
    <m/>
    <m/>
    <m/>
    <m/>
    <m/>
  </r>
  <r>
    <d v="2026-02-27T00:00:00"/>
    <x v="10"/>
    <d v="1899-12-30T12:00:00"/>
    <s v="Vaishnavi"/>
    <s v="Domino's"/>
    <n v="13"/>
    <m/>
    <m/>
    <m/>
    <m/>
    <m/>
    <m/>
    <m/>
    <m/>
    <m/>
    <m/>
    <s v="Cancelled"/>
    <s v="Unwell today"/>
    <m/>
    <m/>
    <m/>
    <m/>
  </r>
  <r>
    <d v="2026-03-04T00:00:00"/>
    <x v="11"/>
    <d v="1899-12-30T11:00:00"/>
    <s v="Vallabh"/>
    <s v="Domino's"/>
    <n v="14"/>
    <s v="Version Confusion"/>
    <m/>
    <s v="Rishi"/>
    <m/>
    <m/>
    <n v="9"/>
    <s v="It was good. Expected t to be dev issue but it was infra "/>
    <n v="7881"/>
    <m/>
    <m/>
    <s v="Attended"/>
    <m/>
    <m/>
    <m/>
    <m/>
    <m/>
  </r>
  <r>
    <d v="2026-03-04T00:00:00"/>
    <x v="11"/>
    <d v="1899-12-30T13:00:00"/>
    <s v="Ramesh"/>
    <s v="Domino's"/>
    <n v="16"/>
    <m/>
    <m/>
    <s v="Charlene"/>
    <m/>
    <m/>
    <m/>
    <m/>
    <m/>
    <m/>
    <m/>
    <s v="No Show"/>
    <m/>
    <m/>
    <m/>
    <m/>
    <m/>
  </r>
  <r>
    <d v="2026-03-05T00:00:00"/>
    <x v="11"/>
    <d v="1899-12-30T11:00:00"/>
    <s v="Yeshwanth"/>
    <s v="Domino's"/>
    <n v="11"/>
    <m/>
    <m/>
    <s v="Rishi"/>
    <m/>
    <m/>
    <m/>
    <m/>
    <m/>
    <m/>
    <m/>
    <s v="No Show"/>
    <m/>
    <m/>
    <m/>
    <m/>
    <m/>
  </r>
  <r>
    <d v="2026-03-05T00:00:00"/>
    <x v="11"/>
    <d v="1899-12-30T12:00:00"/>
    <s v="Ranjan"/>
    <s v="Domino's"/>
    <n v="5"/>
    <m/>
    <m/>
    <s v="Karan"/>
    <m/>
    <m/>
    <m/>
    <m/>
    <m/>
    <m/>
    <m/>
    <s v="No Show"/>
    <m/>
    <m/>
    <m/>
    <m/>
    <m/>
  </r>
  <r>
    <d v="2026-03-06T00:00:00"/>
    <x v="11"/>
    <d v="1899-12-30T14:00:00"/>
    <s v="Gowtham"/>
    <s v="Domino's"/>
    <n v="10"/>
    <m/>
    <m/>
    <s v="Matthew"/>
    <m/>
    <s v="Feedback did he see the value?"/>
    <m/>
    <m/>
    <m/>
    <m/>
    <m/>
    <s v="No Show"/>
    <m/>
    <m/>
    <m/>
    <m/>
    <m/>
  </r>
  <r>
    <d v="2026-03-09T00:00:00"/>
    <x v="11"/>
    <d v="1899-12-30T13:00:00"/>
    <s v="Pradeep"/>
    <s v="Domino's"/>
    <n v="17"/>
    <m/>
    <m/>
    <m/>
    <m/>
    <s v="@Naz Mostoufi check session plan"/>
    <m/>
    <m/>
    <m/>
    <m/>
    <m/>
    <s v="Rescheduled"/>
    <s v="Have another call at the same time."/>
    <m/>
    <m/>
    <m/>
    <m/>
  </r>
  <r>
    <d v="2026-03-11T00:00:00"/>
    <x v="11"/>
    <d v="1899-12-30T13:00:00"/>
    <s v="Ramesh"/>
    <s v="Domino's"/>
    <n v="16"/>
    <m/>
    <m/>
    <s v="Charlene"/>
    <m/>
    <m/>
    <m/>
    <m/>
    <m/>
    <m/>
    <m/>
    <s v="No Show"/>
    <m/>
    <m/>
    <m/>
    <m/>
    <m/>
  </r>
  <r>
    <d v="2026-03-11T00:00:00"/>
    <x v="11"/>
    <d v="1899-12-30T14:00:00"/>
    <s v="Swetha"/>
    <s v="Domino's"/>
    <n v="15"/>
    <m/>
    <m/>
    <m/>
    <m/>
    <m/>
    <m/>
    <m/>
    <m/>
    <m/>
    <m/>
    <s v="Cancelled"/>
    <s v="Got incidents running through"/>
    <m/>
    <m/>
    <m/>
    <m/>
  </r>
  <r>
    <d v="2026-03-12T00:00:00"/>
    <x v="11"/>
    <d v="1899-12-30T11:00:00"/>
    <s v="Pradeep"/>
    <s v="Domino's"/>
    <n v="17"/>
    <s v="Cart-astroph"/>
    <m/>
    <s v="Rishi"/>
    <m/>
    <m/>
    <n v="10"/>
    <s v="Surprise to find Tanya not available. I should have thought to tagging Hamed earlier. Missed the correlation of 3 changes by not observing their deployment timings "/>
    <n v="7975"/>
    <m/>
    <m/>
    <s v="Attended"/>
    <m/>
    <m/>
    <m/>
    <m/>
    <m/>
  </r>
  <r>
    <d v="2026-03-12T00:00:00"/>
    <x v="11"/>
    <d v="1899-12-30T12:00:00"/>
    <s v="Ranjan"/>
    <s v="Domino's"/>
    <n v="5"/>
    <m/>
    <m/>
    <s v="Rishi"/>
    <m/>
    <m/>
    <m/>
    <m/>
    <m/>
    <m/>
    <m/>
    <s v="No Show"/>
    <m/>
    <m/>
    <m/>
    <m/>
    <m/>
  </r>
  <r>
    <d v="2026-03-12T00:00:00"/>
    <x v="11"/>
    <d v="1899-12-30T14:00:00"/>
    <s v="Praveen"/>
    <s v="Domino's"/>
    <n v="13"/>
    <m/>
    <m/>
    <s v="Charlene"/>
    <m/>
    <m/>
    <m/>
    <m/>
    <m/>
    <m/>
    <m/>
    <s v="No Show"/>
    <m/>
    <m/>
    <m/>
    <m/>
    <m/>
  </r>
  <r>
    <d v="2026-03-13T00:00:00"/>
    <x v="11"/>
    <d v="1899-12-30T12:00:00"/>
    <s v="Vaishnavi"/>
    <s v="Domino's"/>
    <n v="13"/>
    <m/>
    <m/>
    <m/>
    <m/>
    <m/>
    <m/>
    <m/>
    <m/>
    <m/>
    <m/>
    <s v="Cancelled"/>
    <s v="Personal reasons"/>
    <m/>
    <m/>
    <m/>
    <m/>
  </r>
  <r>
    <d v="2026-03-16T00:00:00"/>
    <x v="11"/>
    <d v="1899-12-30T12:00:00"/>
    <s v="Vaishnavi"/>
    <s v="Domino's"/>
    <n v="13"/>
    <s v="Cart-astroph"/>
    <m/>
    <s v="Charlene"/>
    <m/>
    <s v="Feedback"/>
    <n v="10"/>
    <m/>
    <m/>
    <m/>
    <m/>
    <s v="Attended"/>
    <m/>
    <m/>
    <m/>
    <m/>
    <m/>
  </r>
  <r>
    <d v="2026-03-18T00:00:00"/>
    <x v="11"/>
    <d v="1899-12-30T11:00:00"/>
    <s v="Vallabh"/>
    <s v="Domino's"/>
    <n v="14"/>
    <s v="Cart-astroph"/>
    <m/>
    <s v="Rishi"/>
    <m/>
    <m/>
    <m/>
    <m/>
    <m/>
    <m/>
    <m/>
    <m/>
    <m/>
    <m/>
    <m/>
    <m/>
    <m/>
  </r>
  <r>
    <d v="2026-03-19T00:00:00"/>
    <x v="11"/>
    <d v="1899-12-30T10:00:00"/>
    <s v="Latif"/>
    <s v="Domino's"/>
    <n v="12"/>
    <s v="The Chain,Grounding Workshop"/>
    <m/>
    <s v="Ed"/>
    <m/>
    <m/>
    <m/>
    <m/>
    <m/>
    <m/>
    <m/>
    <m/>
    <m/>
    <m/>
    <m/>
    <m/>
    <m/>
  </r>
  <r>
    <d v="2026-03-19T00:00:00"/>
    <x v="11"/>
    <d v="1899-12-30T11:00:00"/>
    <s v="Yeshwanth"/>
    <s v="Domino's"/>
    <n v="11"/>
    <s v="Version Confusion"/>
    <m/>
    <m/>
    <m/>
    <s v="I asked to move him to the following week. Waiting for response."/>
    <m/>
    <m/>
    <m/>
    <m/>
    <m/>
    <m/>
    <m/>
    <m/>
    <m/>
    <m/>
    <m/>
  </r>
  <r>
    <d v="2026-03-19T00:00:00"/>
    <x v="11"/>
    <d v="1899-12-30T12:00:00"/>
    <s v="Ranjan"/>
    <s v="Domino's"/>
    <n v="5"/>
    <s v="Rumours V2"/>
    <s v="checked"/>
    <m/>
    <m/>
    <s v="Last session was January. Waiting for response regarding attendance confirmation."/>
    <m/>
    <m/>
    <m/>
    <m/>
    <m/>
    <m/>
    <m/>
    <m/>
    <m/>
    <m/>
    <m/>
  </r>
  <r>
    <d v="2026-03-20T00:00:00"/>
    <x v="11"/>
    <d v="1899-12-30T10:00:00"/>
    <s v="Chris"/>
    <s v="Domino's"/>
    <n v="8"/>
    <s v="Roblox"/>
    <m/>
    <s v="Ed"/>
    <m/>
    <m/>
    <m/>
    <m/>
    <m/>
    <m/>
    <m/>
    <m/>
    <m/>
    <m/>
    <m/>
    <m/>
    <m/>
  </r>
  <r>
    <d v="2026-03-20T00:00:00"/>
    <x v="11"/>
    <d v="1899-12-30T14:00:00"/>
    <s v="Gowtham"/>
    <s v="Domino's"/>
    <n v="10"/>
    <s v="Version Confusion"/>
    <m/>
    <s v="Matthew"/>
    <m/>
    <m/>
    <m/>
    <m/>
    <m/>
    <m/>
    <m/>
    <m/>
    <m/>
    <m/>
    <m/>
    <m/>
    <m/>
  </r>
  <r>
    <m/>
    <x v="12"/>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5C8D66-128E-5840-859B-664E2A65FF3B}" name="PivotTable10"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3" firstHeaderRow="1" firstDataRow="1" firstDataCol="1"/>
  <pivotFields count="22">
    <pivotField showAll="0"/>
    <pivotField axis="axisRow" showAll="0">
      <items count="14">
        <item h="1" x="0"/>
        <item h="1" x="1"/>
        <item h="1" x="2"/>
        <item x="3"/>
        <item x="4"/>
        <item x="5"/>
        <item x="6"/>
        <item x="7"/>
        <item x="8"/>
        <item x="9"/>
        <item x="10"/>
        <item x="11"/>
        <item h="1" x="1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10">
    <i>
      <x v="3"/>
    </i>
    <i>
      <x v="4"/>
    </i>
    <i>
      <x v="5"/>
    </i>
    <i>
      <x v="6"/>
    </i>
    <i>
      <x v="7"/>
    </i>
    <i>
      <x v="8"/>
    </i>
    <i>
      <x v="9"/>
    </i>
    <i>
      <x v="10"/>
    </i>
    <i>
      <x v="11"/>
    </i>
    <i t="grand">
      <x/>
    </i>
  </rowItems>
  <colItems count="1">
    <i/>
  </colItems>
  <dataFields count="1">
    <dataField name="Average of GUOT" fld="11" subtotal="average"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004725-6910-5640-9D8D-5B8D005DE053}" name="PivotTable9"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24:G37" firstHeaderRow="0" firstDataRow="1" firstDataCol="1" rowPageCount="1" colPageCount="1"/>
  <pivotFields count="45">
    <pivotField dataField="1" showAll="0"/>
    <pivotField axis="axisPage" showAll="0">
      <items count="11">
        <item x="0"/>
        <item x="1"/>
        <item x="2"/>
        <item x="3"/>
        <item x="4"/>
        <item x="5"/>
        <item x="6"/>
        <item x="7"/>
        <item x="8"/>
        <item x="9"/>
        <item t="default"/>
      </items>
    </pivotField>
    <pivotField showAll="0"/>
    <pivotField showAll="0"/>
    <pivotField showAll="0"/>
    <pivotField showAll="0"/>
    <pivotField axis="axisRow" showAll="0" sortType="descending">
      <items count="15">
        <item x="5"/>
        <item x="12"/>
        <item x="8"/>
        <item x="10"/>
        <item x="7"/>
        <item x="2"/>
        <item x="4"/>
        <item x="3"/>
        <item x="11"/>
        <item x="0"/>
        <item x="9"/>
        <item x="6"/>
        <item x="1"/>
        <item h="1" x="13"/>
        <item t="default"/>
      </items>
      <autoSortScope>
        <pivotArea dataOnly="0" outline="0" fieldPosition="0">
          <references count="1">
            <reference field="4294967294" count="1" selected="0">
              <x v="5"/>
            </reference>
          </references>
        </pivotArea>
      </autoSortScope>
    </pivotField>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3">
    <i>
      <x v="7"/>
    </i>
    <i>
      <x v="11"/>
    </i>
    <i>
      <x v="10"/>
    </i>
    <i>
      <x v="5"/>
    </i>
    <i>
      <x v="9"/>
    </i>
    <i>
      <x v="12"/>
    </i>
    <i>
      <x v="6"/>
    </i>
    <i>
      <x v="2"/>
    </i>
    <i>
      <x v="4"/>
    </i>
    <i>
      <x v="1"/>
    </i>
    <i>
      <x/>
    </i>
    <i>
      <x v="8"/>
    </i>
    <i>
      <x v="3"/>
    </i>
  </rowItems>
  <colFields count="1">
    <field x="-2"/>
  </colFields>
  <colItems count="6">
    <i>
      <x/>
    </i>
    <i i="1">
      <x v="1"/>
    </i>
    <i i="2">
      <x v="2"/>
    </i>
    <i i="3">
      <x v="3"/>
    </i>
    <i i="4">
      <x v="4"/>
    </i>
    <i i="5">
      <x v="5"/>
    </i>
  </colItems>
  <pageFields count="1">
    <pageField fld="1" hier="-1"/>
  </pageFields>
  <dataFields count="6">
    <dataField name="Commanding The Incident" fld="12" subtotal="average" baseField="0" baseItem="0"/>
    <dataField name="Internal Comms" fld="11" subtotal="average" baseField="0" baseItem="0"/>
    <dataField name="Identify Scope" fld="8" subtotal="average" baseField="0" baseItem="0"/>
    <dataField name="External Comms" fld="10" subtotal="average" baseField="0" baseItem="0"/>
    <dataField name="Incident Mechanics" fld="9" subtotal="average" baseField="0" baseItem="0"/>
    <dataField name="Sessions Played" fld="0" subtotal="count" baseField="0" baseItem="0"/>
  </dataFields>
  <formats count="1">
    <format dxfId="6">
      <pivotArea collapsedLevelsAreSubtotals="1" fieldPosition="0">
        <references count="2">
          <reference field="4294967294" count="5" selected="0">
            <x v="0"/>
            <x v="1"/>
            <x v="2"/>
            <x v="3"/>
            <x v="4"/>
          </reference>
          <reference field="6" count="0"/>
        </references>
      </pivotArea>
    </format>
  </formats>
  <chartFormats count="1">
    <chartFormat chart="0" format="0"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4A126C-05A7-8043-9D62-0CBF73C5B4F7}" name="PivotTable8"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7" firstHeaderRow="1" firstDataRow="1" firstDataCol="1" rowPageCount="1" colPageCount="1"/>
  <pivotFields count="45">
    <pivotField dataField="1" showAll="0"/>
    <pivotField axis="axisPage" showAll="0">
      <items count="11">
        <item x="0"/>
        <item x="1"/>
        <item x="2"/>
        <item x="3"/>
        <item x="4"/>
        <item x="5"/>
        <item x="6"/>
        <item x="7"/>
        <item x="8"/>
        <item x="9"/>
        <item t="default"/>
      </items>
    </pivotField>
    <pivotField showAll="0"/>
    <pivotField showAll="0"/>
    <pivotField showAll="0"/>
    <pivotField showAll="0"/>
    <pivotField axis="axisRow" showAll="0" sortType="descending">
      <items count="15">
        <item x="5"/>
        <item x="12"/>
        <item x="8"/>
        <item x="10"/>
        <item x="7"/>
        <item x="2"/>
        <item x="4"/>
        <item x="3"/>
        <item x="11"/>
        <item x="0"/>
        <item x="9"/>
        <item x="6"/>
        <item x="1"/>
        <item h="1"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4">
    <i>
      <x v="7"/>
    </i>
    <i>
      <x v="11"/>
    </i>
    <i>
      <x v="10"/>
    </i>
    <i>
      <x v="5"/>
    </i>
    <i>
      <x v="9"/>
    </i>
    <i>
      <x v="12"/>
    </i>
    <i>
      <x v="6"/>
    </i>
    <i>
      <x v="2"/>
    </i>
    <i>
      <x v="4"/>
    </i>
    <i>
      <x v="1"/>
    </i>
    <i>
      <x/>
    </i>
    <i>
      <x v="8"/>
    </i>
    <i>
      <x v="3"/>
    </i>
    <i t="grand">
      <x/>
    </i>
  </rowItems>
  <colItems count="1">
    <i/>
  </colItems>
  <pageFields count="1">
    <pageField fld="1" hier="-1"/>
  </pageFields>
  <dataFields count="1">
    <dataField name="Count of session_start"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16C7D-0BDB-B54D-AB5E-DDB20C669DFB}">
  <dimension ref="A3:B13"/>
  <sheetViews>
    <sheetView workbookViewId="0">
      <selection activeCell="F21" sqref="F21"/>
    </sheetView>
  </sheetViews>
  <sheetFormatPr baseColWidth="10" defaultRowHeight="16" x14ac:dyDescent="0.2"/>
  <cols>
    <col min="1" max="1" width="13" bestFit="1" customWidth="1"/>
    <col min="2" max="2" width="14.83203125" bestFit="1" customWidth="1"/>
  </cols>
  <sheetData>
    <row r="3" spans="1:2" x14ac:dyDescent="0.2">
      <c r="A3" s="3" t="s">
        <v>159</v>
      </c>
      <c r="B3" t="s">
        <v>477</v>
      </c>
    </row>
    <row r="4" spans="1:2" x14ac:dyDescent="0.2">
      <c r="A4" s="11">
        <v>45839</v>
      </c>
      <c r="B4" s="5">
        <v>9.7777777777777786</v>
      </c>
    </row>
    <row r="5" spans="1:2" x14ac:dyDescent="0.2">
      <c r="A5" s="11">
        <v>45870</v>
      </c>
      <c r="B5" s="5">
        <v>9.6</v>
      </c>
    </row>
    <row r="6" spans="1:2" x14ac:dyDescent="0.2">
      <c r="A6" s="11">
        <v>45901</v>
      </c>
      <c r="B6" s="5">
        <v>9</v>
      </c>
    </row>
    <row r="7" spans="1:2" x14ac:dyDescent="0.2">
      <c r="A7" s="11">
        <v>45931</v>
      </c>
      <c r="B7" s="5">
        <v>9.304347826086957</v>
      </c>
    </row>
    <row r="8" spans="1:2" x14ac:dyDescent="0.2">
      <c r="A8" s="11">
        <v>45962</v>
      </c>
      <c r="B8" s="5">
        <v>9.6</v>
      </c>
    </row>
    <row r="9" spans="1:2" x14ac:dyDescent="0.2">
      <c r="A9" s="11">
        <v>45992</v>
      </c>
      <c r="B9" s="5">
        <v>9.3636363636363633</v>
      </c>
    </row>
    <row r="10" spans="1:2" x14ac:dyDescent="0.2">
      <c r="A10" s="11">
        <v>46023</v>
      </c>
      <c r="B10" s="5">
        <v>9.6666666666666661</v>
      </c>
    </row>
    <row r="11" spans="1:2" x14ac:dyDescent="0.2">
      <c r="A11" s="11">
        <v>46054</v>
      </c>
      <c r="B11" s="5">
        <v>9.3333333333333339</v>
      </c>
    </row>
    <row r="12" spans="1:2" x14ac:dyDescent="0.2">
      <c r="A12" s="11">
        <v>46082</v>
      </c>
      <c r="B12" s="5">
        <v>9.6666666666666661</v>
      </c>
    </row>
    <row r="13" spans="1:2" x14ac:dyDescent="0.2">
      <c r="A13" s="4" t="s">
        <v>160</v>
      </c>
      <c r="B13" s="5">
        <v>9.3916666666666675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8E9C2-4948-924F-9F0D-638D06EAFECA}">
  <dimension ref="A1"/>
  <sheetViews>
    <sheetView zoomScaleNormal="100" workbookViewId="0">
      <selection activeCell="O26" sqref="O26"/>
    </sheetView>
  </sheetViews>
  <sheetFormatPr baseColWidth="10" defaultRowHeight="16"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0D7E7-7BDE-6343-9792-9E24274A717F}">
  <dimension ref="A1:V277"/>
  <sheetViews>
    <sheetView workbookViewId="0">
      <selection sqref="A1:XFD1048576"/>
    </sheetView>
  </sheetViews>
  <sheetFormatPr baseColWidth="10" defaultRowHeight="16" x14ac:dyDescent="0.2"/>
  <sheetData>
    <row r="1" spans="1:22" x14ac:dyDescent="0.2">
      <c r="A1" t="s">
        <v>475</v>
      </c>
      <c r="B1" t="s">
        <v>476</v>
      </c>
      <c r="C1" t="s">
        <v>474</v>
      </c>
      <c r="D1" t="s">
        <v>473</v>
      </c>
      <c r="E1" t="s">
        <v>472</v>
      </c>
      <c r="F1" t="s">
        <v>471</v>
      </c>
      <c r="G1" t="s">
        <v>470</v>
      </c>
      <c r="H1" t="s">
        <v>469</v>
      </c>
      <c r="I1" t="s">
        <v>468</v>
      </c>
      <c r="J1" t="s">
        <v>467</v>
      </c>
      <c r="K1" t="s">
        <v>466</v>
      </c>
      <c r="L1" t="s">
        <v>465</v>
      </c>
      <c r="M1" t="s">
        <v>464</v>
      </c>
      <c r="N1" t="s">
        <v>463</v>
      </c>
      <c r="O1" t="s">
        <v>462</v>
      </c>
      <c r="P1" t="s">
        <v>461</v>
      </c>
      <c r="Q1" t="s">
        <v>460</v>
      </c>
      <c r="R1" t="s">
        <v>459</v>
      </c>
      <c r="S1" t="s">
        <v>458</v>
      </c>
      <c r="T1" t="s">
        <v>457</v>
      </c>
      <c r="U1" t="s">
        <v>456</v>
      </c>
      <c r="V1" t="s">
        <v>455</v>
      </c>
    </row>
    <row r="2" spans="1:22" x14ac:dyDescent="0.2">
      <c r="A2" s="2">
        <v>45587</v>
      </c>
      <c r="B2" s="2">
        <f>DATE(YEAR(A2), MONTH(A2), 1)</f>
        <v>45566</v>
      </c>
      <c r="C2" s="9">
        <v>0.45833333333333331</v>
      </c>
      <c r="D2" t="s">
        <v>185</v>
      </c>
      <c r="E2" t="s">
        <v>171</v>
      </c>
      <c r="F2">
        <v>14</v>
      </c>
      <c r="G2" t="s">
        <v>443</v>
      </c>
      <c r="I2" t="s">
        <v>450</v>
      </c>
      <c r="J2" t="s">
        <v>203</v>
      </c>
      <c r="K2" t="s">
        <v>454</v>
      </c>
      <c r="L2" t="s">
        <v>237</v>
      </c>
      <c r="Q2" t="s">
        <v>186</v>
      </c>
    </row>
    <row r="3" spans="1:22" x14ac:dyDescent="0.2">
      <c r="A3" s="2">
        <v>45587</v>
      </c>
      <c r="B3" s="2">
        <f t="shared" ref="B3:B66" si="0">DATE(YEAR(A3), MONTH(A3), 1)</f>
        <v>45566</v>
      </c>
      <c r="C3" s="9">
        <v>0.54166666666666663</v>
      </c>
      <c r="D3" t="s">
        <v>327</v>
      </c>
      <c r="E3" t="s">
        <v>171</v>
      </c>
      <c r="F3">
        <v>5</v>
      </c>
      <c r="G3" t="s">
        <v>443</v>
      </c>
      <c r="I3" t="s">
        <v>450</v>
      </c>
      <c r="J3" t="s">
        <v>203</v>
      </c>
      <c r="L3" t="s">
        <v>237</v>
      </c>
      <c r="Q3" t="s">
        <v>186</v>
      </c>
    </row>
    <row r="4" spans="1:22" x14ac:dyDescent="0.2">
      <c r="A4" s="2">
        <v>45588</v>
      </c>
      <c r="B4" s="2">
        <f t="shared" si="0"/>
        <v>45566</v>
      </c>
      <c r="C4" s="9">
        <v>0.5625</v>
      </c>
      <c r="D4" t="s">
        <v>197</v>
      </c>
      <c r="E4" t="s">
        <v>171</v>
      </c>
      <c r="F4">
        <v>15</v>
      </c>
      <c r="G4" t="s">
        <v>443</v>
      </c>
      <c r="I4" t="s">
        <v>203</v>
      </c>
      <c r="J4" t="s">
        <v>447</v>
      </c>
      <c r="L4" t="s">
        <v>237</v>
      </c>
      <c r="Q4" t="s">
        <v>186</v>
      </c>
    </row>
    <row r="5" spans="1:22" x14ac:dyDescent="0.2">
      <c r="A5" s="2">
        <v>45593</v>
      </c>
      <c r="B5" s="2">
        <f t="shared" si="0"/>
        <v>45566</v>
      </c>
      <c r="C5" s="9">
        <v>0.52083333333333337</v>
      </c>
      <c r="D5" t="s">
        <v>185</v>
      </c>
      <c r="E5" t="s">
        <v>171</v>
      </c>
      <c r="F5">
        <v>14</v>
      </c>
      <c r="G5" t="s">
        <v>443</v>
      </c>
      <c r="I5" t="s">
        <v>450</v>
      </c>
      <c r="J5" t="s">
        <v>216</v>
      </c>
      <c r="L5">
        <v>9</v>
      </c>
      <c r="Q5" t="s">
        <v>186</v>
      </c>
    </row>
    <row r="6" spans="1:22" x14ac:dyDescent="0.2">
      <c r="A6" s="2">
        <v>45593</v>
      </c>
      <c r="B6" s="2">
        <f t="shared" si="0"/>
        <v>45566</v>
      </c>
      <c r="C6" s="9">
        <v>0.60416666666666663</v>
      </c>
      <c r="D6" t="s">
        <v>197</v>
      </c>
      <c r="E6" t="s">
        <v>171</v>
      </c>
      <c r="F6">
        <v>15</v>
      </c>
      <c r="G6" t="s">
        <v>443</v>
      </c>
      <c r="I6" t="s">
        <v>450</v>
      </c>
      <c r="J6" t="s">
        <v>216</v>
      </c>
      <c r="L6">
        <v>8</v>
      </c>
      <c r="Q6" t="s">
        <v>186</v>
      </c>
    </row>
    <row r="7" spans="1:22" x14ac:dyDescent="0.2">
      <c r="A7" s="2">
        <v>45594</v>
      </c>
      <c r="B7" s="2">
        <f t="shared" si="0"/>
        <v>45566</v>
      </c>
      <c r="C7" s="9">
        <v>0.41666666666666669</v>
      </c>
      <c r="D7" t="s">
        <v>327</v>
      </c>
      <c r="E7" t="s">
        <v>171</v>
      </c>
      <c r="F7">
        <v>5</v>
      </c>
      <c r="G7" t="s">
        <v>443</v>
      </c>
      <c r="I7" t="s">
        <v>450</v>
      </c>
      <c r="J7" t="s">
        <v>216</v>
      </c>
      <c r="L7">
        <v>10</v>
      </c>
      <c r="Q7" t="s">
        <v>186</v>
      </c>
    </row>
    <row r="8" spans="1:22" x14ac:dyDescent="0.2">
      <c r="A8" s="2">
        <v>45594</v>
      </c>
      <c r="B8" s="2">
        <f t="shared" si="0"/>
        <v>45566</v>
      </c>
      <c r="C8" s="9">
        <v>0.52083333333333337</v>
      </c>
      <c r="D8" t="s">
        <v>185</v>
      </c>
      <c r="E8" t="s">
        <v>171</v>
      </c>
      <c r="F8">
        <v>14</v>
      </c>
      <c r="G8" t="s">
        <v>443</v>
      </c>
      <c r="Q8" t="s">
        <v>191</v>
      </c>
      <c r="R8" t="s">
        <v>453</v>
      </c>
    </row>
    <row r="9" spans="1:22" x14ac:dyDescent="0.2">
      <c r="A9" s="2">
        <v>45597</v>
      </c>
      <c r="B9" s="2">
        <f t="shared" si="0"/>
        <v>45597</v>
      </c>
      <c r="C9" s="9">
        <v>0.52083333333333337</v>
      </c>
      <c r="D9" t="s">
        <v>197</v>
      </c>
      <c r="E9" t="s">
        <v>171</v>
      </c>
      <c r="F9">
        <v>15</v>
      </c>
      <c r="G9" t="s">
        <v>443</v>
      </c>
      <c r="I9" t="s">
        <v>450</v>
      </c>
      <c r="J9" t="s">
        <v>452</v>
      </c>
      <c r="L9">
        <v>9</v>
      </c>
      <c r="M9" t="s">
        <v>451</v>
      </c>
      <c r="Q9" t="s">
        <v>186</v>
      </c>
    </row>
    <row r="10" spans="1:22" x14ac:dyDescent="0.2">
      <c r="A10" s="2">
        <v>45600</v>
      </c>
      <c r="B10" s="2">
        <f t="shared" si="0"/>
        <v>45597</v>
      </c>
      <c r="C10" s="9">
        <v>0.45833333333333331</v>
      </c>
      <c r="D10" t="s">
        <v>327</v>
      </c>
      <c r="E10" t="s">
        <v>171</v>
      </c>
      <c r="F10">
        <v>5</v>
      </c>
      <c r="G10" t="s">
        <v>443</v>
      </c>
      <c r="I10" t="s">
        <v>450</v>
      </c>
      <c r="J10" t="s">
        <v>173</v>
      </c>
      <c r="L10">
        <v>10</v>
      </c>
      <c r="Q10" t="s">
        <v>186</v>
      </c>
    </row>
    <row r="11" spans="1:22" x14ac:dyDescent="0.2">
      <c r="A11" s="2">
        <v>45607</v>
      </c>
      <c r="B11" s="2">
        <f t="shared" si="0"/>
        <v>45597</v>
      </c>
      <c r="C11" s="9">
        <v>0.5</v>
      </c>
      <c r="D11" t="s">
        <v>448</v>
      </c>
      <c r="E11" t="s">
        <v>171</v>
      </c>
      <c r="G11" t="s">
        <v>443</v>
      </c>
      <c r="I11" t="s">
        <v>203</v>
      </c>
      <c r="J11" t="s">
        <v>173</v>
      </c>
      <c r="Q11" t="s">
        <v>192</v>
      </c>
    </row>
    <row r="12" spans="1:22" x14ac:dyDescent="0.2">
      <c r="A12" s="2">
        <v>45616</v>
      </c>
      <c r="B12" s="2">
        <f t="shared" si="0"/>
        <v>45597</v>
      </c>
      <c r="C12" s="9">
        <v>0.5</v>
      </c>
      <c r="D12" t="s">
        <v>448</v>
      </c>
      <c r="E12" t="s">
        <v>171</v>
      </c>
      <c r="G12" t="s">
        <v>443</v>
      </c>
      <c r="I12" t="s">
        <v>203</v>
      </c>
      <c r="J12" t="s">
        <v>169</v>
      </c>
      <c r="L12">
        <v>9</v>
      </c>
      <c r="Q12" t="s">
        <v>186</v>
      </c>
    </row>
    <row r="13" spans="1:22" x14ac:dyDescent="0.2">
      <c r="A13" s="2">
        <v>45617</v>
      </c>
      <c r="B13" s="2">
        <f t="shared" si="0"/>
        <v>45597</v>
      </c>
      <c r="C13" s="9">
        <v>0.64583333333333337</v>
      </c>
      <c r="D13" t="s">
        <v>448</v>
      </c>
      <c r="E13" t="s">
        <v>171</v>
      </c>
      <c r="G13" t="s">
        <v>443</v>
      </c>
      <c r="I13" t="s">
        <v>203</v>
      </c>
      <c r="J13" t="s">
        <v>348</v>
      </c>
      <c r="L13">
        <v>10</v>
      </c>
      <c r="Q13" t="s">
        <v>186</v>
      </c>
    </row>
    <row r="14" spans="1:22" x14ac:dyDescent="0.2">
      <c r="A14" s="2">
        <v>45621</v>
      </c>
      <c r="B14" s="2">
        <f t="shared" si="0"/>
        <v>45597</v>
      </c>
      <c r="C14" s="9">
        <v>0.47916666666666669</v>
      </c>
      <c r="D14" t="s">
        <v>185</v>
      </c>
      <c r="E14" t="s">
        <v>171</v>
      </c>
      <c r="F14">
        <v>14</v>
      </c>
      <c r="G14" t="s">
        <v>443</v>
      </c>
      <c r="I14" t="s">
        <v>447</v>
      </c>
      <c r="J14" t="s">
        <v>173</v>
      </c>
      <c r="L14">
        <v>9</v>
      </c>
      <c r="Q14" t="s">
        <v>186</v>
      </c>
    </row>
    <row r="15" spans="1:22" x14ac:dyDescent="0.2">
      <c r="A15" s="2">
        <v>45622</v>
      </c>
      <c r="B15" s="2">
        <f t="shared" si="0"/>
        <v>45597</v>
      </c>
      <c r="C15" s="9">
        <v>0.47916666666666669</v>
      </c>
      <c r="D15" t="s">
        <v>189</v>
      </c>
      <c r="E15" t="s">
        <v>171</v>
      </c>
      <c r="F15">
        <v>13</v>
      </c>
      <c r="G15" t="s">
        <v>443</v>
      </c>
      <c r="I15" t="s">
        <v>216</v>
      </c>
      <c r="J15" t="s">
        <v>173</v>
      </c>
      <c r="L15">
        <v>8</v>
      </c>
      <c r="M15" t="s">
        <v>449</v>
      </c>
      <c r="Q15" t="s">
        <v>186</v>
      </c>
    </row>
    <row r="16" spans="1:22" x14ac:dyDescent="0.2">
      <c r="A16" s="2">
        <v>45625</v>
      </c>
      <c r="B16" s="2">
        <f t="shared" si="0"/>
        <v>45597</v>
      </c>
      <c r="C16" s="9">
        <v>0.54166666666666663</v>
      </c>
      <c r="D16" t="s">
        <v>180</v>
      </c>
      <c r="E16" t="s">
        <v>171</v>
      </c>
      <c r="F16">
        <v>11</v>
      </c>
      <c r="G16" t="s">
        <v>443</v>
      </c>
      <c r="I16" t="s">
        <v>216</v>
      </c>
      <c r="J16" t="s">
        <v>442</v>
      </c>
      <c r="L16">
        <v>9</v>
      </c>
      <c r="Q16" t="s">
        <v>186</v>
      </c>
    </row>
    <row r="17" spans="1:18" ht="51" x14ac:dyDescent="0.2">
      <c r="A17" s="2">
        <v>45628</v>
      </c>
      <c r="B17" s="2">
        <f t="shared" si="0"/>
        <v>45627</v>
      </c>
      <c r="C17" s="9">
        <v>0.51041666666666663</v>
      </c>
      <c r="D17" t="s">
        <v>448</v>
      </c>
      <c r="E17" t="s">
        <v>171</v>
      </c>
      <c r="G17" t="s">
        <v>443</v>
      </c>
      <c r="I17" t="s">
        <v>447</v>
      </c>
      <c r="J17" t="s">
        <v>365</v>
      </c>
      <c r="L17">
        <v>10</v>
      </c>
      <c r="M17" s="10" t="s">
        <v>446</v>
      </c>
      <c r="Q17" t="s">
        <v>186</v>
      </c>
    </row>
    <row r="18" spans="1:18" x14ac:dyDescent="0.2">
      <c r="A18" s="2">
        <v>45636</v>
      </c>
      <c r="B18" s="2">
        <f t="shared" si="0"/>
        <v>45627</v>
      </c>
      <c r="C18" s="9">
        <v>0.52083333333333337</v>
      </c>
      <c r="D18" t="s">
        <v>189</v>
      </c>
      <c r="E18" t="s">
        <v>171</v>
      </c>
      <c r="F18">
        <v>13</v>
      </c>
      <c r="G18" t="s">
        <v>443</v>
      </c>
      <c r="I18" t="s">
        <v>203</v>
      </c>
      <c r="J18" t="s">
        <v>365</v>
      </c>
      <c r="L18">
        <v>9</v>
      </c>
      <c r="M18" t="s">
        <v>445</v>
      </c>
      <c r="Q18" t="s">
        <v>186</v>
      </c>
    </row>
    <row r="19" spans="1:18" x14ac:dyDescent="0.2">
      <c r="A19" s="2">
        <v>45637</v>
      </c>
      <c r="B19" s="2">
        <f t="shared" si="0"/>
        <v>45627</v>
      </c>
      <c r="C19" s="9">
        <v>0.47916666666666669</v>
      </c>
      <c r="D19" t="s">
        <v>189</v>
      </c>
      <c r="E19" t="s">
        <v>171</v>
      </c>
      <c r="F19">
        <v>13</v>
      </c>
      <c r="G19" t="s">
        <v>443</v>
      </c>
      <c r="Q19" t="s">
        <v>191</v>
      </c>
      <c r="R19" t="s">
        <v>444</v>
      </c>
    </row>
    <row r="20" spans="1:18" x14ac:dyDescent="0.2">
      <c r="A20" s="2">
        <v>45638</v>
      </c>
      <c r="B20" s="2">
        <f t="shared" si="0"/>
        <v>45627</v>
      </c>
      <c r="C20" s="9">
        <v>0.41666666666666669</v>
      </c>
      <c r="D20" t="s">
        <v>189</v>
      </c>
      <c r="E20" t="s">
        <v>171</v>
      </c>
      <c r="F20">
        <v>13</v>
      </c>
      <c r="G20" t="s">
        <v>443</v>
      </c>
      <c r="I20" t="s">
        <v>203</v>
      </c>
      <c r="J20" t="s">
        <v>442</v>
      </c>
      <c r="L20">
        <v>10</v>
      </c>
      <c r="Q20" t="s">
        <v>186</v>
      </c>
    </row>
    <row r="21" spans="1:18" x14ac:dyDescent="0.2">
      <c r="A21" s="2">
        <v>45845</v>
      </c>
      <c r="B21" s="2">
        <f t="shared" si="0"/>
        <v>45839</v>
      </c>
      <c r="C21" s="9">
        <v>0.625</v>
      </c>
      <c r="D21" t="s">
        <v>195</v>
      </c>
      <c r="E21" t="s">
        <v>171</v>
      </c>
      <c r="F21">
        <v>17</v>
      </c>
      <c r="G21" t="s">
        <v>292</v>
      </c>
      <c r="I21" t="s">
        <v>216</v>
      </c>
      <c r="L21" t="s">
        <v>237</v>
      </c>
      <c r="Q21" t="s">
        <v>186</v>
      </c>
    </row>
    <row r="22" spans="1:18" x14ac:dyDescent="0.2">
      <c r="A22" s="2">
        <v>45847</v>
      </c>
      <c r="B22" s="2">
        <f t="shared" si="0"/>
        <v>45839</v>
      </c>
      <c r="C22" s="9">
        <v>0.58333333333333337</v>
      </c>
      <c r="D22" t="s">
        <v>197</v>
      </c>
      <c r="E22" t="s">
        <v>171</v>
      </c>
      <c r="F22">
        <v>15</v>
      </c>
      <c r="G22" t="s">
        <v>46</v>
      </c>
      <c r="I22" t="s">
        <v>203</v>
      </c>
      <c r="J22" t="s">
        <v>216</v>
      </c>
      <c r="L22">
        <v>10</v>
      </c>
      <c r="M22" t="s">
        <v>441</v>
      </c>
      <c r="N22">
        <v>4915</v>
      </c>
      <c r="Q22" t="s">
        <v>186</v>
      </c>
    </row>
    <row r="23" spans="1:18" x14ac:dyDescent="0.2">
      <c r="A23" s="2">
        <v>45848</v>
      </c>
      <c r="B23" s="2">
        <f t="shared" si="0"/>
        <v>45839</v>
      </c>
      <c r="C23" s="9">
        <v>0.45833333333333331</v>
      </c>
      <c r="D23" t="s">
        <v>180</v>
      </c>
      <c r="E23" t="s">
        <v>171</v>
      </c>
      <c r="F23">
        <v>11</v>
      </c>
      <c r="G23" t="s">
        <v>280</v>
      </c>
      <c r="I23" t="s">
        <v>216</v>
      </c>
      <c r="J23" t="s">
        <v>169</v>
      </c>
      <c r="L23" t="s">
        <v>237</v>
      </c>
      <c r="Q23" t="s">
        <v>186</v>
      </c>
    </row>
    <row r="24" spans="1:18" x14ac:dyDescent="0.2">
      <c r="A24" s="2">
        <v>45849</v>
      </c>
      <c r="B24" s="2">
        <f t="shared" si="0"/>
        <v>45839</v>
      </c>
      <c r="C24" s="9">
        <v>0.54166666666666663</v>
      </c>
      <c r="D24" t="s">
        <v>327</v>
      </c>
      <c r="E24" t="s">
        <v>171</v>
      </c>
      <c r="F24">
        <v>5</v>
      </c>
      <c r="G24" t="s">
        <v>292</v>
      </c>
      <c r="I24" t="s">
        <v>203</v>
      </c>
      <c r="L24" t="s">
        <v>237</v>
      </c>
      <c r="Q24" t="s">
        <v>186</v>
      </c>
    </row>
    <row r="25" spans="1:18" ht="187" x14ac:dyDescent="0.2">
      <c r="A25" s="2">
        <v>45852</v>
      </c>
      <c r="B25" s="2">
        <f t="shared" si="0"/>
        <v>45839</v>
      </c>
      <c r="C25" s="9">
        <v>0.625</v>
      </c>
      <c r="D25" t="s">
        <v>195</v>
      </c>
      <c r="E25" t="s">
        <v>171</v>
      </c>
      <c r="F25">
        <v>17</v>
      </c>
      <c r="G25" t="s">
        <v>280</v>
      </c>
      <c r="I25" t="s">
        <v>216</v>
      </c>
      <c r="J25" t="s">
        <v>365</v>
      </c>
      <c r="L25">
        <v>10</v>
      </c>
      <c r="M25" s="10" t="s">
        <v>440</v>
      </c>
      <c r="N25">
        <v>4974</v>
      </c>
      <c r="Q25" t="s">
        <v>186</v>
      </c>
    </row>
    <row r="26" spans="1:18" x14ac:dyDescent="0.2">
      <c r="A26" s="2">
        <v>45854</v>
      </c>
      <c r="B26" s="2">
        <f t="shared" si="0"/>
        <v>45839</v>
      </c>
      <c r="C26" s="9">
        <v>0.58333333333333337</v>
      </c>
      <c r="D26" t="s">
        <v>198</v>
      </c>
      <c r="E26" t="s">
        <v>171</v>
      </c>
      <c r="F26">
        <v>16</v>
      </c>
      <c r="G26" t="s">
        <v>292</v>
      </c>
      <c r="I26" t="s">
        <v>203</v>
      </c>
      <c r="L26" t="s">
        <v>237</v>
      </c>
      <c r="Q26" t="s">
        <v>186</v>
      </c>
    </row>
    <row r="27" spans="1:18" x14ac:dyDescent="0.2">
      <c r="A27" s="2">
        <v>45854</v>
      </c>
      <c r="B27" s="2">
        <f t="shared" si="0"/>
        <v>45839</v>
      </c>
      <c r="C27" s="9">
        <v>0.58333333333333337</v>
      </c>
      <c r="D27" t="s">
        <v>197</v>
      </c>
      <c r="E27" t="s">
        <v>171</v>
      </c>
      <c r="F27">
        <v>15</v>
      </c>
      <c r="Q27" t="s">
        <v>439</v>
      </c>
      <c r="R27" t="s">
        <v>438</v>
      </c>
    </row>
    <row r="28" spans="1:18" ht="409.6" x14ac:dyDescent="0.2">
      <c r="A28" s="2">
        <v>45855</v>
      </c>
      <c r="B28" s="2">
        <f t="shared" si="0"/>
        <v>45839</v>
      </c>
      <c r="C28" s="9">
        <v>0.45833333333333331</v>
      </c>
      <c r="D28" t="s">
        <v>180</v>
      </c>
      <c r="E28" t="s">
        <v>171</v>
      </c>
      <c r="F28">
        <v>11</v>
      </c>
      <c r="G28" t="s">
        <v>344</v>
      </c>
      <c r="I28" t="s">
        <v>188</v>
      </c>
      <c r="L28">
        <v>10</v>
      </c>
      <c r="M28" s="10" t="s">
        <v>437</v>
      </c>
      <c r="N28">
        <v>5043</v>
      </c>
      <c r="Q28" t="s">
        <v>186</v>
      </c>
    </row>
    <row r="29" spans="1:18" x14ac:dyDescent="0.2">
      <c r="A29" s="2">
        <v>45856</v>
      </c>
      <c r="B29" s="2">
        <f t="shared" si="0"/>
        <v>45839</v>
      </c>
      <c r="C29" s="9">
        <v>0.54166666666666663</v>
      </c>
      <c r="D29" t="s">
        <v>327</v>
      </c>
      <c r="E29" t="s">
        <v>171</v>
      </c>
      <c r="F29">
        <v>5</v>
      </c>
      <c r="Q29" t="s">
        <v>436</v>
      </c>
      <c r="R29" t="s">
        <v>435</v>
      </c>
    </row>
    <row r="30" spans="1:18" x14ac:dyDescent="0.2">
      <c r="A30" s="2">
        <v>45859</v>
      </c>
      <c r="B30" s="2">
        <f t="shared" si="0"/>
        <v>45839</v>
      </c>
      <c r="C30" s="9">
        <v>0.625</v>
      </c>
      <c r="D30" t="s">
        <v>195</v>
      </c>
      <c r="E30" t="s">
        <v>171</v>
      </c>
      <c r="F30">
        <v>17</v>
      </c>
      <c r="Q30" t="s">
        <v>200</v>
      </c>
      <c r="R30" t="s">
        <v>434</v>
      </c>
    </row>
    <row r="31" spans="1:18" x14ac:dyDescent="0.2">
      <c r="A31" s="2">
        <v>45861</v>
      </c>
      <c r="B31" s="2">
        <f t="shared" si="0"/>
        <v>45839</v>
      </c>
      <c r="C31" s="9">
        <v>0.58333333333333337</v>
      </c>
      <c r="D31" t="s">
        <v>198</v>
      </c>
      <c r="E31" t="s">
        <v>171</v>
      </c>
      <c r="F31">
        <v>16</v>
      </c>
      <c r="G31" t="s">
        <v>280</v>
      </c>
      <c r="I31" t="s">
        <v>216</v>
      </c>
      <c r="J31" t="s">
        <v>169</v>
      </c>
      <c r="L31">
        <v>10</v>
      </c>
      <c r="Q31" t="s">
        <v>186</v>
      </c>
    </row>
    <row r="32" spans="1:18" ht="187" x14ac:dyDescent="0.2">
      <c r="A32" s="2">
        <v>45861</v>
      </c>
      <c r="B32" s="2">
        <f t="shared" si="0"/>
        <v>45839</v>
      </c>
      <c r="C32" s="9">
        <v>0.58333333333333337</v>
      </c>
      <c r="D32" t="s">
        <v>197</v>
      </c>
      <c r="E32" t="s">
        <v>171</v>
      </c>
      <c r="F32">
        <v>15</v>
      </c>
      <c r="G32" t="s">
        <v>344</v>
      </c>
      <c r="I32" t="s">
        <v>203</v>
      </c>
      <c r="J32" t="s">
        <v>348</v>
      </c>
      <c r="L32">
        <v>10</v>
      </c>
      <c r="M32" s="10" t="s">
        <v>433</v>
      </c>
      <c r="N32">
        <v>5121</v>
      </c>
      <c r="Q32" t="s">
        <v>186</v>
      </c>
    </row>
    <row r="33" spans="1:18" x14ac:dyDescent="0.2">
      <c r="A33" s="2">
        <v>45861</v>
      </c>
      <c r="B33" s="2">
        <f t="shared" si="0"/>
        <v>45839</v>
      </c>
      <c r="C33" s="9">
        <v>0.625</v>
      </c>
      <c r="D33" t="s">
        <v>383</v>
      </c>
      <c r="E33" t="s">
        <v>171</v>
      </c>
      <c r="F33">
        <v>1</v>
      </c>
      <c r="Q33" t="s">
        <v>191</v>
      </c>
      <c r="R33" t="s">
        <v>432</v>
      </c>
    </row>
    <row r="34" spans="1:18" x14ac:dyDescent="0.2">
      <c r="A34" s="2">
        <v>45862</v>
      </c>
      <c r="B34" s="2">
        <f t="shared" si="0"/>
        <v>45839</v>
      </c>
      <c r="C34" s="9">
        <v>0.45833333333333331</v>
      </c>
      <c r="D34" t="s">
        <v>180</v>
      </c>
      <c r="E34" t="s">
        <v>171</v>
      </c>
      <c r="F34">
        <v>11</v>
      </c>
      <c r="Q34" t="s">
        <v>191</v>
      </c>
      <c r="R34" t="s">
        <v>431</v>
      </c>
    </row>
    <row r="35" spans="1:18" ht="204" x14ac:dyDescent="0.2">
      <c r="A35" s="2">
        <v>45862</v>
      </c>
      <c r="B35" s="2">
        <f t="shared" si="0"/>
        <v>45839</v>
      </c>
      <c r="C35" s="9">
        <v>0.54166666666666663</v>
      </c>
      <c r="D35" t="s">
        <v>195</v>
      </c>
      <c r="E35" t="s">
        <v>171</v>
      </c>
      <c r="F35">
        <v>17</v>
      </c>
      <c r="G35" t="s">
        <v>344</v>
      </c>
      <c r="I35" t="s">
        <v>169</v>
      </c>
      <c r="J35" t="s">
        <v>216</v>
      </c>
      <c r="L35">
        <v>10</v>
      </c>
      <c r="M35" s="10" t="s">
        <v>430</v>
      </c>
      <c r="N35">
        <v>5140</v>
      </c>
      <c r="Q35" t="s">
        <v>186</v>
      </c>
    </row>
    <row r="36" spans="1:18" x14ac:dyDescent="0.2">
      <c r="A36" s="2">
        <v>45863</v>
      </c>
      <c r="B36" s="2">
        <f t="shared" si="0"/>
        <v>45839</v>
      </c>
      <c r="C36" s="9">
        <v>0.54166666666666663</v>
      </c>
      <c r="D36" t="s">
        <v>327</v>
      </c>
      <c r="E36" t="s">
        <v>171</v>
      </c>
      <c r="F36">
        <v>5</v>
      </c>
      <c r="Q36" t="s">
        <v>191</v>
      </c>
      <c r="R36" t="s">
        <v>429</v>
      </c>
    </row>
    <row r="37" spans="1:18" ht="409.6" x14ac:dyDescent="0.2">
      <c r="A37" s="2">
        <v>45866</v>
      </c>
      <c r="B37" s="2">
        <f t="shared" si="0"/>
        <v>45839</v>
      </c>
      <c r="C37" s="9">
        <v>0.625</v>
      </c>
      <c r="D37" t="s">
        <v>195</v>
      </c>
      <c r="E37" t="s">
        <v>171</v>
      </c>
      <c r="F37">
        <v>17</v>
      </c>
      <c r="G37" t="s">
        <v>246</v>
      </c>
      <c r="I37" t="s">
        <v>183</v>
      </c>
      <c r="L37">
        <v>10</v>
      </c>
      <c r="M37" s="10" t="s">
        <v>428</v>
      </c>
      <c r="N37">
        <v>5181</v>
      </c>
      <c r="Q37" t="s">
        <v>186</v>
      </c>
    </row>
    <row r="38" spans="1:18" ht="409.6" x14ac:dyDescent="0.2">
      <c r="A38" s="2">
        <v>45868</v>
      </c>
      <c r="B38" s="2">
        <f t="shared" si="0"/>
        <v>45839</v>
      </c>
      <c r="C38" s="9">
        <v>0.58333333333333337</v>
      </c>
      <c r="D38" t="s">
        <v>198</v>
      </c>
      <c r="E38" t="s">
        <v>171</v>
      </c>
      <c r="F38">
        <v>16</v>
      </c>
      <c r="G38" t="s">
        <v>344</v>
      </c>
      <c r="I38" t="s">
        <v>183</v>
      </c>
      <c r="J38" t="s">
        <v>216</v>
      </c>
      <c r="L38">
        <v>8</v>
      </c>
      <c r="M38" s="10" t="s">
        <v>427</v>
      </c>
      <c r="N38">
        <v>5204</v>
      </c>
      <c r="Q38" t="s">
        <v>186</v>
      </c>
    </row>
    <row r="39" spans="1:18" ht="238" x14ac:dyDescent="0.2">
      <c r="A39" s="2">
        <v>45868</v>
      </c>
      <c r="B39" s="2">
        <f t="shared" si="0"/>
        <v>45839</v>
      </c>
      <c r="C39" s="9">
        <v>0.58333333333333337</v>
      </c>
      <c r="D39" t="s">
        <v>197</v>
      </c>
      <c r="E39" t="s">
        <v>171</v>
      </c>
      <c r="F39">
        <v>15</v>
      </c>
      <c r="G39" t="s">
        <v>246</v>
      </c>
      <c r="I39" t="s">
        <v>203</v>
      </c>
      <c r="J39" t="s">
        <v>365</v>
      </c>
      <c r="L39">
        <v>10</v>
      </c>
      <c r="M39" s="10" t="s">
        <v>426</v>
      </c>
      <c r="N39">
        <v>5205</v>
      </c>
      <c r="Q39" t="s">
        <v>186</v>
      </c>
    </row>
    <row r="40" spans="1:18" x14ac:dyDescent="0.2">
      <c r="A40" s="2">
        <v>45868</v>
      </c>
      <c r="B40" s="2">
        <f t="shared" si="0"/>
        <v>45839</v>
      </c>
      <c r="C40" s="9">
        <v>0.625</v>
      </c>
      <c r="D40" t="s">
        <v>383</v>
      </c>
      <c r="E40" t="s">
        <v>171</v>
      </c>
      <c r="F40">
        <v>1</v>
      </c>
      <c r="I40" t="s">
        <v>216</v>
      </c>
      <c r="K40" t="s">
        <v>425</v>
      </c>
      <c r="Q40" t="s">
        <v>232</v>
      </c>
    </row>
    <row r="41" spans="1:18" x14ac:dyDescent="0.2">
      <c r="A41" s="2">
        <v>45869</v>
      </c>
      <c r="B41" s="2">
        <f t="shared" si="0"/>
        <v>45839</v>
      </c>
      <c r="C41" s="9">
        <v>0.45833333333333331</v>
      </c>
      <c r="D41" t="s">
        <v>180</v>
      </c>
      <c r="E41" t="s">
        <v>171</v>
      </c>
      <c r="F41">
        <v>11</v>
      </c>
      <c r="Q41" t="s">
        <v>191</v>
      </c>
      <c r="R41" t="s">
        <v>424</v>
      </c>
    </row>
    <row r="42" spans="1:18" x14ac:dyDescent="0.2">
      <c r="A42" s="2">
        <v>45870</v>
      </c>
      <c r="B42" s="2">
        <f t="shared" si="0"/>
        <v>45870</v>
      </c>
      <c r="C42" s="9">
        <v>0.5</v>
      </c>
      <c r="D42" t="s">
        <v>313</v>
      </c>
      <c r="E42" t="s">
        <v>171</v>
      </c>
      <c r="G42" t="s">
        <v>313</v>
      </c>
    </row>
    <row r="43" spans="1:18" x14ac:dyDescent="0.2">
      <c r="A43" s="2">
        <v>45870</v>
      </c>
      <c r="B43" s="2">
        <f t="shared" si="0"/>
        <v>45870</v>
      </c>
      <c r="C43" s="9">
        <v>0.54166666666666663</v>
      </c>
      <c r="D43" t="s">
        <v>327</v>
      </c>
      <c r="E43" t="s">
        <v>171</v>
      </c>
      <c r="F43">
        <v>5</v>
      </c>
      <c r="I43" t="s">
        <v>183</v>
      </c>
      <c r="Q43" t="s">
        <v>192</v>
      </c>
    </row>
    <row r="44" spans="1:18" x14ac:dyDescent="0.2">
      <c r="A44" s="2">
        <v>45873</v>
      </c>
      <c r="B44" s="2">
        <f t="shared" si="0"/>
        <v>45870</v>
      </c>
      <c r="C44" s="9">
        <v>0.625</v>
      </c>
      <c r="D44" t="s">
        <v>195</v>
      </c>
      <c r="E44" t="s">
        <v>171</v>
      </c>
      <c r="F44">
        <v>17</v>
      </c>
      <c r="G44" t="s">
        <v>67</v>
      </c>
      <c r="I44" t="s">
        <v>183</v>
      </c>
      <c r="L44">
        <v>10</v>
      </c>
      <c r="M44" t="s">
        <v>423</v>
      </c>
      <c r="N44">
        <v>5255</v>
      </c>
      <c r="Q44" t="s">
        <v>186</v>
      </c>
    </row>
    <row r="45" spans="1:18" x14ac:dyDescent="0.2">
      <c r="A45" s="2">
        <v>45875</v>
      </c>
      <c r="B45" s="2">
        <f t="shared" si="0"/>
        <v>45870</v>
      </c>
      <c r="C45" s="9">
        <v>0.58333333333333337</v>
      </c>
      <c r="D45" t="s">
        <v>198</v>
      </c>
      <c r="E45" t="s">
        <v>171</v>
      </c>
      <c r="F45">
        <v>16</v>
      </c>
      <c r="Q45" t="s">
        <v>200</v>
      </c>
    </row>
    <row r="46" spans="1:18" x14ac:dyDescent="0.2">
      <c r="A46" s="2">
        <v>45875</v>
      </c>
      <c r="B46" s="2">
        <f t="shared" si="0"/>
        <v>45870</v>
      </c>
      <c r="C46" s="9">
        <v>0.625</v>
      </c>
      <c r="D46" t="s">
        <v>383</v>
      </c>
      <c r="E46" t="s">
        <v>171</v>
      </c>
      <c r="F46">
        <v>1</v>
      </c>
      <c r="Q46" t="s">
        <v>200</v>
      </c>
      <c r="R46" t="s">
        <v>422</v>
      </c>
    </row>
    <row r="47" spans="1:18" x14ac:dyDescent="0.2">
      <c r="A47" s="2">
        <v>45876</v>
      </c>
      <c r="B47" s="2">
        <f t="shared" si="0"/>
        <v>45870</v>
      </c>
      <c r="C47" s="9">
        <v>0.45833333333333331</v>
      </c>
      <c r="D47" t="s">
        <v>180</v>
      </c>
      <c r="E47" t="s">
        <v>171</v>
      </c>
      <c r="F47">
        <v>11</v>
      </c>
      <c r="G47" t="s">
        <v>246</v>
      </c>
      <c r="I47" t="s">
        <v>188</v>
      </c>
      <c r="L47">
        <v>10</v>
      </c>
      <c r="M47" t="s">
        <v>421</v>
      </c>
      <c r="N47">
        <v>5296</v>
      </c>
      <c r="Q47" t="s">
        <v>186</v>
      </c>
    </row>
    <row r="48" spans="1:18" x14ac:dyDescent="0.2">
      <c r="A48" s="2">
        <v>45876</v>
      </c>
      <c r="B48" s="2">
        <f t="shared" si="0"/>
        <v>45870</v>
      </c>
      <c r="C48" s="9">
        <v>0.58333333333333337</v>
      </c>
      <c r="D48" t="s">
        <v>198</v>
      </c>
      <c r="E48" t="s">
        <v>171</v>
      </c>
      <c r="F48">
        <v>16</v>
      </c>
      <c r="G48" t="s">
        <v>246</v>
      </c>
      <c r="I48" t="s">
        <v>169</v>
      </c>
      <c r="L48">
        <v>8</v>
      </c>
      <c r="M48" t="s">
        <v>420</v>
      </c>
      <c r="N48">
        <v>5302</v>
      </c>
      <c r="Q48" t="s">
        <v>186</v>
      </c>
    </row>
    <row r="49" spans="1:18" x14ac:dyDescent="0.2">
      <c r="A49" s="2">
        <v>45876</v>
      </c>
      <c r="B49" s="2">
        <f t="shared" si="0"/>
        <v>45870</v>
      </c>
      <c r="C49" s="9">
        <v>0.625</v>
      </c>
      <c r="D49" t="s">
        <v>383</v>
      </c>
      <c r="E49" t="s">
        <v>171</v>
      </c>
      <c r="F49">
        <v>1</v>
      </c>
      <c r="G49" t="s">
        <v>292</v>
      </c>
      <c r="I49" t="s">
        <v>203</v>
      </c>
      <c r="L49" t="s">
        <v>237</v>
      </c>
      <c r="Q49" t="s">
        <v>186</v>
      </c>
    </row>
    <row r="50" spans="1:18" x14ac:dyDescent="0.2">
      <c r="A50" s="2">
        <v>45877</v>
      </c>
      <c r="B50" s="2">
        <f t="shared" si="0"/>
        <v>45870</v>
      </c>
      <c r="C50" s="9">
        <v>0.54166666666666663</v>
      </c>
      <c r="D50" t="s">
        <v>327</v>
      </c>
      <c r="E50" t="s">
        <v>171</v>
      </c>
      <c r="F50">
        <v>5</v>
      </c>
      <c r="I50" t="s">
        <v>183</v>
      </c>
      <c r="Q50" t="s">
        <v>232</v>
      </c>
      <c r="R50" t="s">
        <v>419</v>
      </c>
    </row>
    <row r="51" spans="1:18" x14ac:dyDescent="0.2">
      <c r="A51" s="2">
        <v>45880</v>
      </c>
      <c r="B51" s="2">
        <f t="shared" si="0"/>
        <v>45870</v>
      </c>
      <c r="C51" s="9">
        <v>0.625</v>
      </c>
      <c r="D51" t="s">
        <v>195</v>
      </c>
      <c r="E51" t="s">
        <v>171</v>
      </c>
      <c r="F51">
        <v>17</v>
      </c>
      <c r="Q51" t="s">
        <v>191</v>
      </c>
      <c r="R51" t="s">
        <v>418</v>
      </c>
    </row>
    <row r="52" spans="1:18" x14ac:dyDescent="0.2">
      <c r="A52" s="2">
        <v>45882</v>
      </c>
      <c r="B52" s="2">
        <f t="shared" si="0"/>
        <v>45870</v>
      </c>
      <c r="C52" s="9">
        <v>0.58333333333333337</v>
      </c>
      <c r="D52" t="s">
        <v>198</v>
      </c>
      <c r="E52" t="s">
        <v>171</v>
      </c>
      <c r="F52">
        <v>16</v>
      </c>
      <c r="Q52" t="s">
        <v>191</v>
      </c>
      <c r="R52" t="s">
        <v>417</v>
      </c>
    </row>
    <row r="53" spans="1:18" x14ac:dyDescent="0.2">
      <c r="A53" s="2">
        <v>45882</v>
      </c>
      <c r="B53" s="2">
        <f t="shared" si="0"/>
        <v>45870</v>
      </c>
      <c r="C53" s="9">
        <v>0.58333333333333337</v>
      </c>
      <c r="D53" t="s">
        <v>197</v>
      </c>
      <c r="E53" t="s">
        <v>171</v>
      </c>
      <c r="F53">
        <v>15</v>
      </c>
      <c r="Q53" t="s">
        <v>191</v>
      </c>
      <c r="R53" t="s">
        <v>416</v>
      </c>
    </row>
    <row r="54" spans="1:18" x14ac:dyDescent="0.2">
      <c r="A54" s="2">
        <v>45883</v>
      </c>
      <c r="B54" s="2">
        <f t="shared" si="0"/>
        <v>45870</v>
      </c>
      <c r="C54" s="9">
        <v>0.45833333333333331</v>
      </c>
      <c r="D54" t="s">
        <v>180</v>
      </c>
      <c r="E54" t="s">
        <v>171</v>
      </c>
      <c r="F54">
        <v>11</v>
      </c>
      <c r="Q54" t="s">
        <v>191</v>
      </c>
      <c r="R54" t="s">
        <v>415</v>
      </c>
    </row>
    <row r="55" spans="1:18" x14ac:dyDescent="0.2">
      <c r="A55" s="2">
        <v>45883</v>
      </c>
      <c r="B55" s="2">
        <f t="shared" si="0"/>
        <v>45870</v>
      </c>
      <c r="C55" s="9">
        <v>0.58333333333333337</v>
      </c>
      <c r="D55" t="s">
        <v>193</v>
      </c>
      <c r="E55" t="s">
        <v>171</v>
      </c>
      <c r="F55">
        <v>13</v>
      </c>
      <c r="G55" t="s">
        <v>292</v>
      </c>
      <c r="I55" t="s">
        <v>203</v>
      </c>
      <c r="L55" t="s">
        <v>237</v>
      </c>
      <c r="Q55" t="s">
        <v>186</v>
      </c>
    </row>
    <row r="56" spans="1:18" x14ac:dyDescent="0.2">
      <c r="A56" s="2">
        <v>45883</v>
      </c>
      <c r="B56" s="2">
        <f t="shared" si="0"/>
        <v>45870</v>
      </c>
      <c r="C56" s="9">
        <v>0.625</v>
      </c>
      <c r="D56" t="s">
        <v>383</v>
      </c>
      <c r="E56" t="s">
        <v>171</v>
      </c>
      <c r="F56">
        <v>1</v>
      </c>
      <c r="Q56" t="s">
        <v>191</v>
      </c>
      <c r="R56" t="s">
        <v>382</v>
      </c>
    </row>
    <row r="57" spans="1:18" x14ac:dyDescent="0.2">
      <c r="A57" s="2">
        <v>45887</v>
      </c>
      <c r="B57" s="2">
        <f t="shared" si="0"/>
        <v>45870</v>
      </c>
      <c r="C57" s="9">
        <v>0.625</v>
      </c>
      <c r="D57" t="s">
        <v>195</v>
      </c>
      <c r="E57" t="s">
        <v>171</v>
      </c>
      <c r="F57">
        <v>17</v>
      </c>
      <c r="Q57" t="s">
        <v>200</v>
      </c>
      <c r="R57" t="s">
        <v>414</v>
      </c>
    </row>
    <row r="58" spans="1:18" ht="255" x14ac:dyDescent="0.2">
      <c r="A58" s="2">
        <v>45889</v>
      </c>
      <c r="B58" s="2">
        <f t="shared" si="0"/>
        <v>45870</v>
      </c>
      <c r="C58" s="9">
        <v>0.58333333333333337</v>
      </c>
      <c r="D58" t="s">
        <v>198</v>
      </c>
      <c r="E58" t="s">
        <v>171</v>
      </c>
      <c r="F58">
        <v>16</v>
      </c>
      <c r="G58" t="s">
        <v>67</v>
      </c>
      <c r="I58" t="s">
        <v>183</v>
      </c>
      <c r="L58">
        <v>10</v>
      </c>
      <c r="M58" s="10" t="s">
        <v>413</v>
      </c>
      <c r="N58">
        <v>5456</v>
      </c>
      <c r="Q58" t="s">
        <v>186</v>
      </c>
    </row>
    <row r="59" spans="1:18" ht="170" x14ac:dyDescent="0.2">
      <c r="A59" s="2">
        <v>45889</v>
      </c>
      <c r="B59" s="2">
        <f t="shared" si="0"/>
        <v>45870</v>
      </c>
      <c r="C59" s="9">
        <v>0.58333333333333337</v>
      </c>
      <c r="D59" t="s">
        <v>197</v>
      </c>
      <c r="E59" t="s">
        <v>171</v>
      </c>
      <c r="F59">
        <v>15</v>
      </c>
      <c r="G59" t="s">
        <v>67</v>
      </c>
      <c r="I59" t="s">
        <v>203</v>
      </c>
      <c r="K59" t="s">
        <v>412</v>
      </c>
      <c r="L59">
        <v>10</v>
      </c>
      <c r="M59" s="10" t="s">
        <v>411</v>
      </c>
      <c r="N59">
        <v>5457</v>
      </c>
      <c r="Q59" t="s">
        <v>186</v>
      </c>
    </row>
    <row r="60" spans="1:18" x14ac:dyDescent="0.2">
      <c r="A60" s="2">
        <v>45889</v>
      </c>
      <c r="B60" s="2">
        <f t="shared" si="0"/>
        <v>45870</v>
      </c>
      <c r="C60" s="9">
        <v>0.625</v>
      </c>
      <c r="D60" t="s">
        <v>195</v>
      </c>
      <c r="E60" t="s">
        <v>171</v>
      </c>
      <c r="F60">
        <v>17</v>
      </c>
      <c r="G60" t="s">
        <v>77</v>
      </c>
      <c r="I60" t="s">
        <v>348</v>
      </c>
      <c r="L60">
        <v>10</v>
      </c>
      <c r="M60" t="s">
        <v>410</v>
      </c>
      <c r="N60">
        <v>5458</v>
      </c>
      <c r="Q60" t="s">
        <v>186</v>
      </c>
    </row>
    <row r="61" spans="1:18" x14ac:dyDescent="0.2">
      <c r="A61" s="2">
        <v>45890</v>
      </c>
      <c r="B61" s="2">
        <f t="shared" si="0"/>
        <v>45870</v>
      </c>
      <c r="C61" s="9">
        <v>0.41666666666666669</v>
      </c>
      <c r="D61" t="s">
        <v>182</v>
      </c>
      <c r="E61" t="s">
        <v>171</v>
      </c>
      <c r="F61">
        <v>12</v>
      </c>
      <c r="G61" t="s">
        <v>292</v>
      </c>
      <c r="I61" t="s">
        <v>216</v>
      </c>
      <c r="L61" t="s">
        <v>237</v>
      </c>
      <c r="Q61" t="s">
        <v>186</v>
      </c>
    </row>
    <row r="62" spans="1:18" x14ac:dyDescent="0.2">
      <c r="A62" s="2">
        <v>45890</v>
      </c>
      <c r="B62" s="2">
        <f t="shared" si="0"/>
        <v>45870</v>
      </c>
      <c r="C62" s="9">
        <v>0.45833333333333331</v>
      </c>
      <c r="D62" t="s">
        <v>180</v>
      </c>
      <c r="E62" t="s">
        <v>171</v>
      </c>
      <c r="F62">
        <v>11</v>
      </c>
      <c r="G62" t="s">
        <v>67</v>
      </c>
      <c r="I62" t="s">
        <v>183</v>
      </c>
      <c r="L62">
        <v>10</v>
      </c>
      <c r="M62" t="s">
        <v>409</v>
      </c>
      <c r="N62">
        <v>5482</v>
      </c>
      <c r="Q62" t="s">
        <v>186</v>
      </c>
    </row>
    <row r="63" spans="1:18" ht="136" x14ac:dyDescent="0.2">
      <c r="A63" s="2">
        <v>45890</v>
      </c>
      <c r="B63" s="2">
        <f t="shared" si="0"/>
        <v>45870</v>
      </c>
      <c r="C63" s="9">
        <v>0.58333333333333337</v>
      </c>
      <c r="D63" t="s">
        <v>193</v>
      </c>
      <c r="E63" t="s">
        <v>171</v>
      </c>
      <c r="F63">
        <v>13</v>
      </c>
      <c r="G63" t="s">
        <v>280</v>
      </c>
      <c r="I63" t="s">
        <v>203</v>
      </c>
      <c r="L63">
        <v>10</v>
      </c>
      <c r="M63" s="10" t="s">
        <v>408</v>
      </c>
      <c r="N63">
        <v>5491</v>
      </c>
      <c r="Q63" t="s">
        <v>186</v>
      </c>
    </row>
    <row r="64" spans="1:18" x14ac:dyDescent="0.2">
      <c r="A64" s="2">
        <v>45890</v>
      </c>
      <c r="B64" s="2">
        <f t="shared" si="0"/>
        <v>45870</v>
      </c>
      <c r="C64" s="9">
        <v>0.625</v>
      </c>
      <c r="D64" t="s">
        <v>383</v>
      </c>
      <c r="E64" t="s">
        <v>171</v>
      </c>
      <c r="F64">
        <v>1</v>
      </c>
      <c r="Q64" t="s">
        <v>191</v>
      </c>
      <c r="R64" t="s">
        <v>382</v>
      </c>
    </row>
    <row r="65" spans="1:21" x14ac:dyDescent="0.2">
      <c r="A65" s="2">
        <v>45891</v>
      </c>
      <c r="B65" s="2">
        <f t="shared" si="0"/>
        <v>45870</v>
      </c>
      <c r="C65" s="9">
        <v>0.5</v>
      </c>
      <c r="D65" t="s">
        <v>189</v>
      </c>
      <c r="E65" t="s">
        <v>171</v>
      </c>
      <c r="F65">
        <v>13</v>
      </c>
      <c r="G65" t="s">
        <v>292</v>
      </c>
      <c r="I65" t="s">
        <v>216</v>
      </c>
      <c r="L65" t="s">
        <v>237</v>
      </c>
      <c r="Q65" t="s">
        <v>186</v>
      </c>
    </row>
    <row r="66" spans="1:21" x14ac:dyDescent="0.2">
      <c r="A66" s="2">
        <v>45891</v>
      </c>
      <c r="B66" s="2">
        <f t="shared" si="0"/>
        <v>45870</v>
      </c>
      <c r="C66" s="9">
        <v>0.54166666666666663</v>
      </c>
      <c r="D66" t="s">
        <v>327</v>
      </c>
      <c r="E66" t="s">
        <v>171</v>
      </c>
      <c r="F66">
        <v>5</v>
      </c>
      <c r="G66" t="s">
        <v>280</v>
      </c>
      <c r="I66" t="s">
        <v>216</v>
      </c>
      <c r="L66" t="s">
        <v>237</v>
      </c>
      <c r="Q66" t="s">
        <v>186</v>
      </c>
    </row>
    <row r="67" spans="1:21" x14ac:dyDescent="0.2">
      <c r="A67" s="2">
        <v>45896</v>
      </c>
      <c r="B67" s="2">
        <f t="shared" ref="B67:B130" si="1">DATE(YEAR(A67), MONTH(A67), 1)</f>
        <v>45870</v>
      </c>
      <c r="C67" s="9">
        <v>0.54166666666666663</v>
      </c>
      <c r="D67" t="s">
        <v>316</v>
      </c>
      <c r="E67" t="s">
        <v>171</v>
      </c>
      <c r="F67">
        <v>3</v>
      </c>
      <c r="Q67" t="s">
        <v>191</v>
      </c>
      <c r="R67" t="s">
        <v>407</v>
      </c>
    </row>
    <row r="68" spans="1:21" x14ac:dyDescent="0.2">
      <c r="A68" s="2">
        <v>45896</v>
      </c>
      <c r="B68" s="2">
        <f t="shared" si="1"/>
        <v>45870</v>
      </c>
      <c r="C68" s="9">
        <v>0.58333333333333337</v>
      </c>
      <c r="D68" t="s">
        <v>198</v>
      </c>
      <c r="E68" t="s">
        <v>171</v>
      </c>
      <c r="F68">
        <v>16</v>
      </c>
      <c r="Q68" t="s">
        <v>200</v>
      </c>
      <c r="R68" t="s">
        <v>406</v>
      </c>
    </row>
    <row r="69" spans="1:21" x14ac:dyDescent="0.2">
      <c r="A69" s="2">
        <v>45896</v>
      </c>
      <c r="B69" s="2">
        <f t="shared" si="1"/>
        <v>45870</v>
      </c>
      <c r="C69" s="9">
        <v>0.58333333333333337</v>
      </c>
      <c r="D69" t="s">
        <v>197</v>
      </c>
      <c r="E69" t="s">
        <v>171</v>
      </c>
      <c r="F69">
        <v>15</v>
      </c>
      <c r="Q69" t="s">
        <v>191</v>
      </c>
      <c r="R69" t="s">
        <v>405</v>
      </c>
    </row>
    <row r="70" spans="1:21" x14ac:dyDescent="0.2">
      <c r="A70" s="2">
        <v>45897</v>
      </c>
      <c r="B70" s="2">
        <f t="shared" si="1"/>
        <v>45870</v>
      </c>
      <c r="C70" s="9">
        <v>0.41666666666666669</v>
      </c>
      <c r="D70" t="s">
        <v>182</v>
      </c>
      <c r="E70" t="s">
        <v>171</v>
      </c>
      <c r="F70">
        <v>12</v>
      </c>
      <c r="I70" t="s">
        <v>169</v>
      </c>
      <c r="Q70" t="s">
        <v>271</v>
      </c>
      <c r="R70" t="s">
        <v>403</v>
      </c>
      <c r="S70" t="s">
        <v>404</v>
      </c>
      <c r="T70" t="s">
        <v>176</v>
      </c>
      <c r="U70" t="s">
        <v>403</v>
      </c>
    </row>
    <row r="71" spans="1:21" x14ac:dyDescent="0.2">
      <c r="A71" s="2">
        <v>45897</v>
      </c>
      <c r="B71" s="2">
        <f t="shared" si="1"/>
        <v>45870</v>
      </c>
      <c r="C71" s="9">
        <v>0.45833333333333331</v>
      </c>
      <c r="D71" t="s">
        <v>180</v>
      </c>
      <c r="E71" t="s">
        <v>171</v>
      </c>
      <c r="F71">
        <v>11</v>
      </c>
      <c r="Q71" t="s">
        <v>191</v>
      </c>
      <c r="R71" t="s">
        <v>402</v>
      </c>
    </row>
    <row r="72" spans="1:21" x14ac:dyDescent="0.2">
      <c r="A72" s="2">
        <v>45897</v>
      </c>
      <c r="B72" s="2">
        <f t="shared" si="1"/>
        <v>45870</v>
      </c>
      <c r="C72" s="9">
        <v>0.58333333333333337</v>
      </c>
      <c r="D72" t="s">
        <v>193</v>
      </c>
      <c r="E72" t="s">
        <v>171</v>
      </c>
      <c r="F72">
        <v>13</v>
      </c>
      <c r="Q72" t="s">
        <v>191</v>
      </c>
      <c r="R72" t="s">
        <v>212</v>
      </c>
    </row>
    <row r="73" spans="1:21" x14ac:dyDescent="0.2">
      <c r="A73" s="2">
        <v>45897</v>
      </c>
      <c r="B73" s="2">
        <f t="shared" si="1"/>
        <v>45870</v>
      </c>
      <c r="C73" s="9">
        <v>0.625</v>
      </c>
      <c r="D73" t="s">
        <v>383</v>
      </c>
      <c r="E73" t="s">
        <v>171</v>
      </c>
      <c r="F73">
        <v>1</v>
      </c>
      <c r="I73" t="s">
        <v>169</v>
      </c>
      <c r="Q73" t="s">
        <v>192</v>
      </c>
    </row>
    <row r="74" spans="1:21" ht="221" x14ac:dyDescent="0.2">
      <c r="A74" s="2">
        <v>45898</v>
      </c>
      <c r="B74" s="2">
        <f t="shared" si="1"/>
        <v>45870</v>
      </c>
      <c r="C74" s="9">
        <v>0.41666666666666669</v>
      </c>
      <c r="D74" t="s">
        <v>182</v>
      </c>
      <c r="E74" t="s">
        <v>171</v>
      </c>
      <c r="F74">
        <v>12</v>
      </c>
      <c r="G74" t="s">
        <v>280</v>
      </c>
      <c r="I74" t="s">
        <v>169</v>
      </c>
      <c r="L74">
        <v>10</v>
      </c>
      <c r="M74" s="10" t="s">
        <v>401</v>
      </c>
      <c r="N74">
        <v>5560</v>
      </c>
      <c r="Q74" t="s">
        <v>186</v>
      </c>
    </row>
    <row r="75" spans="1:21" x14ac:dyDescent="0.2">
      <c r="A75" s="2">
        <v>45898</v>
      </c>
      <c r="B75" s="2">
        <f t="shared" si="1"/>
        <v>45870</v>
      </c>
      <c r="C75" s="9">
        <v>0.5</v>
      </c>
      <c r="D75" t="s">
        <v>189</v>
      </c>
      <c r="E75" t="s">
        <v>171</v>
      </c>
      <c r="F75">
        <v>13</v>
      </c>
      <c r="I75" t="s">
        <v>169</v>
      </c>
      <c r="Q75" t="s">
        <v>192</v>
      </c>
    </row>
    <row r="76" spans="1:21" x14ac:dyDescent="0.2">
      <c r="A76" s="2">
        <v>45898</v>
      </c>
      <c r="B76" s="2">
        <f t="shared" si="1"/>
        <v>45870</v>
      </c>
      <c r="C76" s="9">
        <v>0.54166666666666663</v>
      </c>
      <c r="D76" t="s">
        <v>327</v>
      </c>
      <c r="E76" t="s">
        <v>171</v>
      </c>
      <c r="F76">
        <v>5</v>
      </c>
      <c r="Q76" t="s">
        <v>191</v>
      </c>
      <c r="R76" t="s">
        <v>400</v>
      </c>
    </row>
    <row r="77" spans="1:21" ht="409.6" x14ac:dyDescent="0.2">
      <c r="A77" s="2">
        <v>45898</v>
      </c>
      <c r="B77" s="2">
        <f t="shared" si="1"/>
        <v>45870</v>
      </c>
      <c r="C77" s="9">
        <v>0.54166666666666663</v>
      </c>
      <c r="D77" t="s">
        <v>198</v>
      </c>
      <c r="E77" t="s">
        <v>171</v>
      </c>
      <c r="F77">
        <v>16</v>
      </c>
      <c r="G77" t="s">
        <v>77</v>
      </c>
      <c r="I77" t="s">
        <v>183</v>
      </c>
      <c r="L77">
        <v>8</v>
      </c>
      <c r="M77" s="10" t="s">
        <v>399</v>
      </c>
      <c r="N77">
        <v>5567</v>
      </c>
      <c r="Q77" t="s">
        <v>186</v>
      </c>
      <c r="S77" t="s">
        <v>398</v>
      </c>
      <c r="T77" t="s">
        <v>176</v>
      </c>
      <c r="U77" t="s">
        <v>397</v>
      </c>
    </row>
    <row r="78" spans="1:21" x14ac:dyDescent="0.2">
      <c r="A78" s="2">
        <v>45898</v>
      </c>
      <c r="B78" s="2">
        <f t="shared" si="1"/>
        <v>45870</v>
      </c>
      <c r="C78" s="9">
        <v>0.58333333333333337</v>
      </c>
      <c r="D78" t="s">
        <v>172</v>
      </c>
      <c r="E78" t="s">
        <v>171</v>
      </c>
      <c r="F78">
        <v>10</v>
      </c>
      <c r="G78" t="s">
        <v>292</v>
      </c>
      <c r="I78" t="s">
        <v>216</v>
      </c>
      <c r="L78" t="s">
        <v>237</v>
      </c>
      <c r="Q78" t="s">
        <v>186</v>
      </c>
    </row>
    <row r="79" spans="1:21" x14ac:dyDescent="0.2">
      <c r="A79" s="2">
        <v>45901</v>
      </c>
      <c r="B79" s="2">
        <f t="shared" si="1"/>
        <v>45901</v>
      </c>
      <c r="C79" s="9">
        <v>0.625</v>
      </c>
      <c r="D79" t="s">
        <v>195</v>
      </c>
      <c r="E79" t="s">
        <v>171</v>
      </c>
      <c r="F79">
        <v>17</v>
      </c>
      <c r="Q79" t="s">
        <v>200</v>
      </c>
      <c r="R79" t="s">
        <v>396</v>
      </c>
    </row>
    <row r="80" spans="1:21" x14ac:dyDescent="0.2">
      <c r="A80" s="2">
        <v>45902</v>
      </c>
      <c r="B80" s="2">
        <f t="shared" si="1"/>
        <v>45901</v>
      </c>
      <c r="C80" s="9">
        <v>0.54166666666666663</v>
      </c>
      <c r="D80" t="s">
        <v>195</v>
      </c>
      <c r="E80" t="s">
        <v>171</v>
      </c>
      <c r="F80">
        <v>17</v>
      </c>
      <c r="G80" t="s">
        <v>80</v>
      </c>
      <c r="I80" t="s">
        <v>203</v>
      </c>
      <c r="L80">
        <v>10</v>
      </c>
      <c r="M80" t="s">
        <v>395</v>
      </c>
      <c r="N80">
        <v>5599</v>
      </c>
      <c r="Q80" t="s">
        <v>186</v>
      </c>
    </row>
    <row r="81" spans="1:18" x14ac:dyDescent="0.2">
      <c r="A81" s="2">
        <v>45903</v>
      </c>
      <c r="B81" s="2">
        <f t="shared" si="1"/>
        <v>45901</v>
      </c>
      <c r="C81" s="9">
        <v>0.5</v>
      </c>
      <c r="D81" t="s">
        <v>185</v>
      </c>
      <c r="E81" t="s">
        <v>171</v>
      </c>
      <c r="F81">
        <v>14</v>
      </c>
      <c r="G81" t="s">
        <v>280</v>
      </c>
      <c r="I81" t="s">
        <v>216</v>
      </c>
      <c r="L81">
        <v>9</v>
      </c>
      <c r="N81">
        <v>5611</v>
      </c>
      <c r="Q81" t="s">
        <v>186</v>
      </c>
    </row>
    <row r="82" spans="1:18" x14ac:dyDescent="0.2">
      <c r="A82" s="2">
        <v>45903</v>
      </c>
      <c r="B82" s="2">
        <f t="shared" si="1"/>
        <v>45901</v>
      </c>
      <c r="C82" s="9">
        <v>0.58333333333333337</v>
      </c>
      <c r="D82" t="s">
        <v>198</v>
      </c>
      <c r="E82" t="s">
        <v>171</v>
      </c>
      <c r="F82">
        <v>16</v>
      </c>
      <c r="Q82" t="s">
        <v>200</v>
      </c>
      <c r="R82" t="s">
        <v>394</v>
      </c>
    </row>
    <row r="83" spans="1:18" x14ac:dyDescent="0.2">
      <c r="A83" s="2">
        <v>45904</v>
      </c>
      <c r="B83" s="2">
        <f t="shared" si="1"/>
        <v>45901</v>
      </c>
      <c r="C83" s="9">
        <v>0.41666666666666669</v>
      </c>
      <c r="D83" t="s">
        <v>182</v>
      </c>
      <c r="E83" t="s">
        <v>171</v>
      </c>
      <c r="F83">
        <v>12</v>
      </c>
      <c r="G83" t="s">
        <v>344</v>
      </c>
      <c r="I83" t="s">
        <v>188</v>
      </c>
      <c r="L83">
        <v>7</v>
      </c>
      <c r="M83" t="s">
        <v>393</v>
      </c>
      <c r="N83">
        <v>5634</v>
      </c>
      <c r="Q83" t="s">
        <v>186</v>
      </c>
    </row>
    <row r="84" spans="1:18" x14ac:dyDescent="0.2">
      <c r="A84" s="2">
        <v>45904</v>
      </c>
      <c r="B84" s="2">
        <f t="shared" si="1"/>
        <v>45901</v>
      </c>
      <c r="C84" s="9">
        <v>0.45833333333333331</v>
      </c>
      <c r="D84" t="s">
        <v>180</v>
      </c>
      <c r="E84" t="s">
        <v>171</v>
      </c>
      <c r="F84">
        <v>11</v>
      </c>
      <c r="I84" t="s">
        <v>365</v>
      </c>
      <c r="Q84" t="s">
        <v>192</v>
      </c>
    </row>
    <row r="85" spans="1:18" ht="102" x14ac:dyDescent="0.2">
      <c r="A85" s="2">
        <v>45904</v>
      </c>
      <c r="B85" s="2">
        <f t="shared" si="1"/>
        <v>45901</v>
      </c>
      <c r="C85" s="9">
        <v>0.58333333333333337</v>
      </c>
      <c r="D85" t="s">
        <v>193</v>
      </c>
      <c r="E85" t="s">
        <v>171</v>
      </c>
      <c r="F85">
        <v>13</v>
      </c>
      <c r="G85" t="s">
        <v>344</v>
      </c>
      <c r="I85" t="s">
        <v>203</v>
      </c>
      <c r="L85">
        <v>9</v>
      </c>
      <c r="M85" s="10" t="s">
        <v>392</v>
      </c>
      <c r="N85">
        <v>5645</v>
      </c>
      <c r="Q85" t="s">
        <v>186</v>
      </c>
    </row>
    <row r="86" spans="1:18" x14ac:dyDescent="0.2">
      <c r="A86" s="2">
        <v>45904</v>
      </c>
      <c r="B86" s="2">
        <f t="shared" si="1"/>
        <v>45901</v>
      </c>
      <c r="C86" s="9">
        <v>0.625</v>
      </c>
      <c r="D86" t="s">
        <v>383</v>
      </c>
      <c r="E86" t="s">
        <v>171</v>
      </c>
      <c r="F86">
        <v>1</v>
      </c>
      <c r="I86" t="s">
        <v>216</v>
      </c>
      <c r="Q86" t="s">
        <v>192</v>
      </c>
    </row>
    <row r="87" spans="1:18" x14ac:dyDescent="0.2">
      <c r="A87" s="2">
        <v>45905</v>
      </c>
      <c r="B87" s="2">
        <f t="shared" si="1"/>
        <v>45901</v>
      </c>
      <c r="C87" s="9">
        <v>0.54166666666666663</v>
      </c>
      <c r="D87" t="s">
        <v>327</v>
      </c>
      <c r="E87" t="s">
        <v>171</v>
      </c>
      <c r="F87">
        <v>5</v>
      </c>
      <c r="G87" t="s">
        <v>344</v>
      </c>
      <c r="I87" t="s">
        <v>173</v>
      </c>
      <c r="K87" t="s">
        <v>391</v>
      </c>
      <c r="L87">
        <v>10</v>
      </c>
      <c r="M87" t="s">
        <v>390</v>
      </c>
      <c r="N87">
        <v>5660</v>
      </c>
      <c r="Q87" t="s">
        <v>186</v>
      </c>
    </row>
    <row r="88" spans="1:18" x14ac:dyDescent="0.2">
      <c r="A88" s="2">
        <v>45905</v>
      </c>
      <c r="B88" s="2">
        <f t="shared" si="1"/>
        <v>45901</v>
      </c>
      <c r="C88" s="9">
        <v>0.5625</v>
      </c>
      <c r="D88" t="s">
        <v>198</v>
      </c>
      <c r="E88" t="s">
        <v>171</v>
      </c>
      <c r="F88">
        <v>16</v>
      </c>
      <c r="G88" t="s">
        <v>80</v>
      </c>
      <c r="I88" t="s">
        <v>348</v>
      </c>
      <c r="L88">
        <v>7</v>
      </c>
      <c r="M88" t="s">
        <v>389</v>
      </c>
      <c r="N88">
        <v>5563</v>
      </c>
      <c r="Q88" t="s">
        <v>186</v>
      </c>
    </row>
    <row r="89" spans="1:18" x14ac:dyDescent="0.2">
      <c r="A89" s="2">
        <v>45905</v>
      </c>
      <c r="B89" s="2">
        <f t="shared" si="1"/>
        <v>45901</v>
      </c>
      <c r="C89" s="9">
        <v>0.58333333333333337</v>
      </c>
      <c r="D89" t="s">
        <v>172</v>
      </c>
      <c r="E89" t="s">
        <v>171</v>
      </c>
      <c r="F89">
        <v>10</v>
      </c>
      <c r="G89" t="s">
        <v>280</v>
      </c>
      <c r="I89" t="s">
        <v>169</v>
      </c>
      <c r="L89">
        <v>9</v>
      </c>
      <c r="M89" t="s">
        <v>388</v>
      </c>
      <c r="N89">
        <v>5564</v>
      </c>
      <c r="Q89" t="s">
        <v>186</v>
      </c>
    </row>
    <row r="90" spans="1:18" x14ac:dyDescent="0.2">
      <c r="A90" s="2">
        <v>45910</v>
      </c>
      <c r="B90" s="2">
        <f t="shared" si="1"/>
        <v>45901</v>
      </c>
      <c r="C90" s="9">
        <v>0.45833333333333331</v>
      </c>
      <c r="D90" t="s">
        <v>185</v>
      </c>
      <c r="E90" t="s">
        <v>171</v>
      </c>
      <c r="F90">
        <v>14</v>
      </c>
      <c r="G90" t="s">
        <v>344</v>
      </c>
      <c r="I90" t="s">
        <v>183</v>
      </c>
      <c r="L90">
        <v>9</v>
      </c>
      <c r="M90" t="s">
        <v>387</v>
      </c>
      <c r="N90">
        <v>5700</v>
      </c>
      <c r="Q90" t="s">
        <v>186</v>
      </c>
    </row>
    <row r="91" spans="1:18" x14ac:dyDescent="0.2">
      <c r="A91" s="2">
        <v>45910</v>
      </c>
      <c r="B91" s="2">
        <f t="shared" si="1"/>
        <v>45901</v>
      </c>
      <c r="C91" s="9">
        <v>0.58333333333333337</v>
      </c>
      <c r="D91" t="s">
        <v>198</v>
      </c>
      <c r="E91" t="s">
        <v>171</v>
      </c>
      <c r="F91">
        <v>16</v>
      </c>
      <c r="I91" t="s">
        <v>173</v>
      </c>
      <c r="K91" t="s">
        <v>226</v>
      </c>
      <c r="Q91" t="s">
        <v>192</v>
      </c>
    </row>
    <row r="92" spans="1:18" ht="102" x14ac:dyDescent="0.2">
      <c r="A92" s="2">
        <v>45910</v>
      </c>
      <c r="B92" s="2">
        <f t="shared" si="1"/>
        <v>45901</v>
      </c>
      <c r="C92" s="9">
        <v>0.58333333333333337</v>
      </c>
      <c r="D92" t="s">
        <v>197</v>
      </c>
      <c r="E92" t="s">
        <v>171</v>
      </c>
      <c r="F92">
        <v>15</v>
      </c>
      <c r="G92" t="s">
        <v>77</v>
      </c>
      <c r="I92" t="s">
        <v>203</v>
      </c>
      <c r="L92">
        <v>10</v>
      </c>
      <c r="M92" s="10" t="s">
        <v>386</v>
      </c>
      <c r="N92">
        <v>5703</v>
      </c>
      <c r="Q92" t="s">
        <v>186</v>
      </c>
    </row>
    <row r="93" spans="1:18" x14ac:dyDescent="0.2">
      <c r="A93" s="2">
        <v>45911</v>
      </c>
      <c r="B93" s="2">
        <f t="shared" si="1"/>
        <v>45901</v>
      </c>
      <c r="C93" s="9">
        <v>0.41666666666666669</v>
      </c>
      <c r="D93" t="s">
        <v>182</v>
      </c>
      <c r="E93" t="s">
        <v>171</v>
      </c>
      <c r="F93">
        <v>12</v>
      </c>
      <c r="G93" t="s">
        <v>246</v>
      </c>
      <c r="I93" t="s">
        <v>188</v>
      </c>
      <c r="L93">
        <v>9</v>
      </c>
      <c r="M93" t="s">
        <v>385</v>
      </c>
      <c r="N93">
        <v>5714</v>
      </c>
      <c r="Q93" t="s">
        <v>186</v>
      </c>
    </row>
    <row r="94" spans="1:18" x14ac:dyDescent="0.2">
      <c r="A94" s="2">
        <v>45911</v>
      </c>
      <c r="B94" s="2">
        <f t="shared" si="1"/>
        <v>45901</v>
      </c>
      <c r="C94" s="9">
        <v>0.45833333333333331</v>
      </c>
      <c r="D94" t="s">
        <v>180</v>
      </c>
      <c r="E94" t="s">
        <v>171</v>
      </c>
      <c r="F94">
        <v>11</v>
      </c>
      <c r="I94" t="s">
        <v>348</v>
      </c>
      <c r="Q94" t="s">
        <v>192</v>
      </c>
    </row>
    <row r="95" spans="1:18" x14ac:dyDescent="0.2">
      <c r="A95" s="2">
        <v>45911</v>
      </c>
      <c r="B95" s="2">
        <f t="shared" si="1"/>
        <v>45901</v>
      </c>
      <c r="C95" s="9">
        <v>0.58333333333333337</v>
      </c>
      <c r="D95" t="s">
        <v>193</v>
      </c>
      <c r="E95" t="s">
        <v>171</v>
      </c>
      <c r="F95">
        <v>13</v>
      </c>
      <c r="Q95" t="s">
        <v>191</v>
      </c>
      <c r="R95" t="s">
        <v>384</v>
      </c>
    </row>
    <row r="96" spans="1:18" x14ac:dyDescent="0.2">
      <c r="A96" s="2">
        <v>45911</v>
      </c>
      <c r="B96" s="2">
        <f t="shared" si="1"/>
        <v>45901</v>
      </c>
      <c r="C96" s="9">
        <v>0.625</v>
      </c>
      <c r="D96" t="s">
        <v>383</v>
      </c>
      <c r="E96" t="s">
        <v>171</v>
      </c>
      <c r="F96">
        <v>1</v>
      </c>
      <c r="Q96" t="s">
        <v>191</v>
      </c>
      <c r="R96" t="s">
        <v>382</v>
      </c>
    </row>
    <row r="97" spans="1:18" x14ac:dyDescent="0.2">
      <c r="A97" s="2">
        <v>45912</v>
      </c>
      <c r="B97" s="2">
        <f t="shared" si="1"/>
        <v>45901</v>
      </c>
      <c r="C97" s="9">
        <v>0.5</v>
      </c>
      <c r="D97" t="s">
        <v>189</v>
      </c>
      <c r="E97" t="s">
        <v>171</v>
      </c>
      <c r="F97">
        <v>13</v>
      </c>
      <c r="Q97" t="s">
        <v>191</v>
      </c>
      <c r="R97" t="s">
        <v>381</v>
      </c>
    </row>
    <row r="98" spans="1:18" x14ac:dyDescent="0.2">
      <c r="A98" s="2">
        <v>45912</v>
      </c>
      <c r="B98" s="2">
        <f t="shared" si="1"/>
        <v>45901</v>
      </c>
      <c r="C98" s="9">
        <v>0.54166666666666663</v>
      </c>
      <c r="D98" t="s">
        <v>327</v>
      </c>
      <c r="E98" t="s">
        <v>171</v>
      </c>
      <c r="F98">
        <v>5</v>
      </c>
      <c r="Q98" t="s">
        <v>191</v>
      </c>
      <c r="R98" t="s">
        <v>380</v>
      </c>
    </row>
    <row r="99" spans="1:18" x14ac:dyDescent="0.2">
      <c r="A99" s="2">
        <v>45912</v>
      </c>
      <c r="B99" s="2">
        <f t="shared" si="1"/>
        <v>45901</v>
      </c>
      <c r="C99" s="9">
        <v>0.5625</v>
      </c>
      <c r="D99" t="s">
        <v>198</v>
      </c>
      <c r="E99" t="s">
        <v>171</v>
      </c>
      <c r="F99">
        <v>16</v>
      </c>
      <c r="G99" t="s">
        <v>91</v>
      </c>
      <c r="I99" t="s">
        <v>173</v>
      </c>
      <c r="K99" t="s">
        <v>379</v>
      </c>
      <c r="L99">
        <v>8</v>
      </c>
      <c r="M99" t="s">
        <v>378</v>
      </c>
      <c r="N99">
        <v>5752</v>
      </c>
      <c r="Q99" t="s">
        <v>186</v>
      </c>
    </row>
    <row r="100" spans="1:18" x14ac:dyDescent="0.2">
      <c r="A100" s="2">
        <v>45912</v>
      </c>
      <c r="B100" s="2">
        <f t="shared" si="1"/>
        <v>45901</v>
      </c>
      <c r="C100" s="9">
        <v>0.58333333333333337</v>
      </c>
      <c r="D100" t="s">
        <v>172</v>
      </c>
      <c r="E100" t="s">
        <v>171</v>
      </c>
      <c r="F100">
        <v>10</v>
      </c>
      <c r="G100" t="s">
        <v>344</v>
      </c>
      <c r="I100" t="s">
        <v>188</v>
      </c>
      <c r="L100">
        <v>8</v>
      </c>
      <c r="M100" t="s">
        <v>377</v>
      </c>
      <c r="N100">
        <v>5759</v>
      </c>
      <c r="Q100" t="s">
        <v>186</v>
      </c>
    </row>
    <row r="101" spans="1:18" x14ac:dyDescent="0.2">
      <c r="A101" s="2">
        <v>45915</v>
      </c>
      <c r="B101" s="2">
        <f t="shared" si="1"/>
        <v>45901</v>
      </c>
      <c r="C101" s="9">
        <v>0.625</v>
      </c>
      <c r="D101" t="s">
        <v>195</v>
      </c>
      <c r="E101" t="s">
        <v>171</v>
      </c>
      <c r="F101">
        <v>17</v>
      </c>
      <c r="Q101" t="s">
        <v>200</v>
      </c>
      <c r="R101" t="s">
        <v>376</v>
      </c>
    </row>
    <row r="102" spans="1:18" x14ac:dyDescent="0.2">
      <c r="A102" s="2">
        <v>45917</v>
      </c>
      <c r="B102" s="2">
        <f t="shared" si="1"/>
        <v>45901</v>
      </c>
      <c r="C102" s="9">
        <v>0.45833333333333331</v>
      </c>
      <c r="D102" t="s">
        <v>185</v>
      </c>
      <c r="E102" t="s">
        <v>171</v>
      </c>
      <c r="F102">
        <v>14</v>
      </c>
      <c r="Q102" t="s">
        <v>191</v>
      </c>
      <c r="R102" t="s">
        <v>375</v>
      </c>
    </row>
    <row r="103" spans="1:18" x14ac:dyDescent="0.2">
      <c r="A103" s="2">
        <v>45917</v>
      </c>
      <c r="B103" s="2">
        <f t="shared" si="1"/>
        <v>45901</v>
      </c>
      <c r="C103" s="9">
        <v>0.58333333333333337</v>
      </c>
      <c r="D103" t="s">
        <v>197</v>
      </c>
      <c r="E103" t="s">
        <v>171</v>
      </c>
      <c r="F103">
        <v>15</v>
      </c>
      <c r="Q103" t="s">
        <v>191</v>
      </c>
      <c r="R103" t="s">
        <v>374</v>
      </c>
    </row>
    <row r="104" spans="1:18" x14ac:dyDescent="0.2">
      <c r="A104" s="2">
        <v>45918</v>
      </c>
      <c r="B104" s="2">
        <f t="shared" si="1"/>
        <v>45901</v>
      </c>
      <c r="C104" s="9">
        <v>0.41666666666666669</v>
      </c>
      <c r="D104" t="s">
        <v>182</v>
      </c>
      <c r="E104" t="s">
        <v>171</v>
      </c>
      <c r="F104">
        <v>12</v>
      </c>
      <c r="G104" t="s">
        <v>67</v>
      </c>
      <c r="I104" t="s">
        <v>183</v>
      </c>
      <c r="L104">
        <v>10</v>
      </c>
      <c r="M104" t="s">
        <v>373</v>
      </c>
      <c r="N104">
        <v>5830</v>
      </c>
      <c r="Q104" t="s">
        <v>186</v>
      </c>
    </row>
    <row r="105" spans="1:18" x14ac:dyDescent="0.2">
      <c r="A105" s="2">
        <v>45918</v>
      </c>
      <c r="B105" s="2">
        <f t="shared" si="1"/>
        <v>45901</v>
      </c>
      <c r="C105" s="9">
        <v>0.45833333333333331</v>
      </c>
      <c r="D105" t="s">
        <v>180</v>
      </c>
      <c r="E105" t="s">
        <v>171</v>
      </c>
      <c r="F105">
        <v>11</v>
      </c>
      <c r="I105" t="s">
        <v>365</v>
      </c>
      <c r="Q105" t="s">
        <v>192</v>
      </c>
    </row>
    <row r="106" spans="1:18" x14ac:dyDescent="0.2">
      <c r="A106" s="2">
        <v>45918</v>
      </c>
      <c r="B106" s="2">
        <f t="shared" si="1"/>
        <v>45901</v>
      </c>
      <c r="C106" s="9">
        <v>0.58333333333333337</v>
      </c>
      <c r="D106" t="s">
        <v>193</v>
      </c>
      <c r="E106" t="s">
        <v>171</v>
      </c>
      <c r="F106">
        <v>13</v>
      </c>
      <c r="G106" t="s">
        <v>246</v>
      </c>
      <c r="I106" t="s">
        <v>203</v>
      </c>
      <c r="L106">
        <v>9</v>
      </c>
      <c r="M106" t="s">
        <v>372</v>
      </c>
      <c r="N106">
        <v>5840</v>
      </c>
      <c r="Q106" t="s">
        <v>186</v>
      </c>
    </row>
    <row r="107" spans="1:18" ht="238" x14ac:dyDescent="0.2">
      <c r="A107" s="2">
        <v>45919</v>
      </c>
      <c r="B107" s="2">
        <f t="shared" si="1"/>
        <v>45901</v>
      </c>
      <c r="C107" s="9">
        <v>0.5</v>
      </c>
      <c r="D107" t="s">
        <v>189</v>
      </c>
      <c r="E107" t="s">
        <v>171</v>
      </c>
      <c r="F107">
        <v>13</v>
      </c>
      <c r="G107" t="s">
        <v>280</v>
      </c>
      <c r="I107" t="s">
        <v>183</v>
      </c>
      <c r="L107">
        <v>9</v>
      </c>
      <c r="M107" s="10" t="s">
        <v>371</v>
      </c>
      <c r="N107">
        <v>5856</v>
      </c>
      <c r="Q107" t="s">
        <v>186</v>
      </c>
    </row>
    <row r="108" spans="1:18" x14ac:dyDescent="0.2">
      <c r="A108" s="2">
        <v>45919</v>
      </c>
      <c r="B108" s="2">
        <f t="shared" si="1"/>
        <v>45901</v>
      </c>
      <c r="C108" s="9">
        <v>0.54166666666666663</v>
      </c>
      <c r="D108" t="s">
        <v>327</v>
      </c>
      <c r="E108" t="s">
        <v>171</v>
      </c>
      <c r="F108">
        <v>5</v>
      </c>
      <c r="G108" t="s">
        <v>246</v>
      </c>
      <c r="I108" t="s">
        <v>188</v>
      </c>
      <c r="L108">
        <v>9</v>
      </c>
      <c r="M108" t="s">
        <v>370</v>
      </c>
      <c r="N108">
        <v>5857</v>
      </c>
      <c r="Q108" t="s">
        <v>186</v>
      </c>
    </row>
    <row r="109" spans="1:18" x14ac:dyDescent="0.2">
      <c r="A109" s="2">
        <v>45919</v>
      </c>
      <c r="B109" s="2">
        <f t="shared" si="1"/>
        <v>45901</v>
      </c>
      <c r="C109" s="9">
        <v>0.58333333333333337</v>
      </c>
      <c r="D109" t="s">
        <v>172</v>
      </c>
      <c r="E109" t="s">
        <v>171</v>
      </c>
      <c r="F109">
        <v>10</v>
      </c>
      <c r="I109" t="s">
        <v>183</v>
      </c>
      <c r="Q109" t="s">
        <v>192</v>
      </c>
    </row>
    <row r="110" spans="1:18" x14ac:dyDescent="0.2">
      <c r="A110" s="2">
        <v>45919</v>
      </c>
      <c r="B110" s="2">
        <f t="shared" si="1"/>
        <v>45901</v>
      </c>
      <c r="C110" s="9">
        <v>0.625</v>
      </c>
      <c r="D110" t="s">
        <v>195</v>
      </c>
      <c r="E110" t="s">
        <v>171</v>
      </c>
      <c r="F110">
        <v>17</v>
      </c>
      <c r="I110" t="s">
        <v>216</v>
      </c>
      <c r="Q110" t="s">
        <v>192</v>
      </c>
      <c r="R110" t="s">
        <v>369</v>
      </c>
    </row>
    <row r="111" spans="1:18" x14ac:dyDescent="0.2">
      <c r="A111" s="2">
        <v>45922</v>
      </c>
      <c r="B111" s="2">
        <f t="shared" si="1"/>
        <v>45901</v>
      </c>
      <c r="C111" s="9">
        <v>0.54166666666666663</v>
      </c>
      <c r="D111" t="s">
        <v>316</v>
      </c>
      <c r="E111" t="s">
        <v>171</v>
      </c>
      <c r="F111">
        <v>3</v>
      </c>
      <c r="G111" t="s">
        <v>292</v>
      </c>
      <c r="I111" t="s">
        <v>216</v>
      </c>
      <c r="L111" t="s">
        <v>237</v>
      </c>
      <c r="Q111" t="s">
        <v>186</v>
      </c>
    </row>
    <row r="112" spans="1:18" ht="404" x14ac:dyDescent="0.2">
      <c r="A112" s="2">
        <v>45924</v>
      </c>
      <c r="B112" s="2">
        <f t="shared" si="1"/>
        <v>45901</v>
      </c>
      <c r="C112" s="9">
        <v>0.45833333333333331</v>
      </c>
      <c r="D112" t="s">
        <v>185</v>
      </c>
      <c r="E112" t="s">
        <v>171</v>
      </c>
      <c r="F112">
        <v>14</v>
      </c>
      <c r="G112" t="s">
        <v>246</v>
      </c>
      <c r="I112" t="s">
        <v>183</v>
      </c>
      <c r="L112">
        <v>8</v>
      </c>
      <c r="M112" s="10" t="s">
        <v>368</v>
      </c>
      <c r="N112">
        <v>5912</v>
      </c>
      <c r="Q112" t="s">
        <v>186</v>
      </c>
    </row>
    <row r="113" spans="1:22" x14ac:dyDescent="0.2">
      <c r="A113" s="2">
        <v>45924</v>
      </c>
      <c r="B113" s="2">
        <f t="shared" si="1"/>
        <v>45901</v>
      </c>
      <c r="C113" s="9">
        <v>0.58333333333333337</v>
      </c>
      <c r="D113" t="s">
        <v>198</v>
      </c>
      <c r="E113" t="s">
        <v>171</v>
      </c>
      <c r="F113">
        <v>16</v>
      </c>
      <c r="G113" t="s">
        <v>238</v>
      </c>
      <c r="I113" t="s">
        <v>183</v>
      </c>
      <c r="L113" t="s">
        <v>237</v>
      </c>
      <c r="M113" t="s">
        <v>367</v>
      </c>
      <c r="Q113" t="s">
        <v>186</v>
      </c>
    </row>
    <row r="114" spans="1:22" x14ac:dyDescent="0.2">
      <c r="A114" s="2">
        <v>45924</v>
      </c>
      <c r="B114" s="2">
        <f t="shared" si="1"/>
        <v>45901</v>
      </c>
      <c r="C114" s="9">
        <v>0.58333333333333337</v>
      </c>
      <c r="D114" t="s">
        <v>197</v>
      </c>
      <c r="E114" t="s">
        <v>171</v>
      </c>
      <c r="F114">
        <v>15</v>
      </c>
      <c r="G114" t="s">
        <v>238</v>
      </c>
      <c r="I114" t="s">
        <v>216</v>
      </c>
      <c r="L114" t="s">
        <v>237</v>
      </c>
      <c r="Q114" t="s">
        <v>186</v>
      </c>
    </row>
    <row r="115" spans="1:22" x14ac:dyDescent="0.2">
      <c r="A115" s="2">
        <v>45925</v>
      </c>
      <c r="B115" s="2">
        <f t="shared" si="1"/>
        <v>45901</v>
      </c>
      <c r="C115" s="9">
        <v>0.41666666666666669</v>
      </c>
      <c r="D115" t="s">
        <v>182</v>
      </c>
      <c r="E115" t="s">
        <v>171</v>
      </c>
      <c r="F115">
        <v>12</v>
      </c>
      <c r="G115" t="s">
        <v>77</v>
      </c>
      <c r="I115" t="s">
        <v>203</v>
      </c>
      <c r="L115">
        <v>9</v>
      </c>
      <c r="M115" t="s">
        <v>366</v>
      </c>
      <c r="N115">
        <v>5927</v>
      </c>
      <c r="Q115" t="s">
        <v>186</v>
      </c>
    </row>
    <row r="116" spans="1:22" x14ac:dyDescent="0.2">
      <c r="A116" s="2">
        <v>45925</v>
      </c>
      <c r="B116" s="2">
        <f t="shared" si="1"/>
        <v>45901</v>
      </c>
      <c r="C116" s="9">
        <v>0.45833333333333331</v>
      </c>
      <c r="D116" t="s">
        <v>180</v>
      </c>
      <c r="E116" t="s">
        <v>171</v>
      </c>
      <c r="F116">
        <v>11</v>
      </c>
      <c r="G116" t="s">
        <v>77</v>
      </c>
      <c r="I116" t="s">
        <v>365</v>
      </c>
      <c r="L116">
        <v>10</v>
      </c>
      <c r="M116" t="s">
        <v>364</v>
      </c>
      <c r="N116">
        <v>5932</v>
      </c>
      <c r="Q116" t="s">
        <v>186</v>
      </c>
      <c r="V116" t="s">
        <v>363</v>
      </c>
    </row>
    <row r="117" spans="1:22" x14ac:dyDescent="0.2">
      <c r="A117" s="2">
        <v>45925</v>
      </c>
      <c r="B117" s="2">
        <f t="shared" si="1"/>
        <v>45901</v>
      </c>
      <c r="C117" s="9">
        <v>0.625</v>
      </c>
      <c r="D117" t="s">
        <v>193</v>
      </c>
      <c r="E117" t="s">
        <v>171</v>
      </c>
      <c r="F117">
        <v>13</v>
      </c>
      <c r="G117" t="s">
        <v>77</v>
      </c>
      <c r="I117" t="s">
        <v>203</v>
      </c>
      <c r="L117">
        <v>9</v>
      </c>
      <c r="M117" t="s">
        <v>362</v>
      </c>
      <c r="N117">
        <v>5940</v>
      </c>
      <c r="Q117" t="s">
        <v>186</v>
      </c>
    </row>
    <row r="118" spans="1:22" x14ac:dyDescent="0.2">
      <c r="A118" s="2">
        <v>45925</v>
      </c>
      <c r="B118" s="2">
        <f t="shared" si="1"/>
        <v>45901</v>
      </c>
      <c r="C118" s="9">
        <v>0.66666666666666663</v>
      </c>
      <c r="D118" t="s">
        <v>313</v>
      </c>
      <c r="E118" t="s">
        <v>171</v>
      </c>
      <c r="G118" t="s">
        <v>313</v>
      </c>
    </row>
    <row r="119" spans="1:22" x14ac:dyDescent="0.2">
      <c r="A119" s="2">
        <v>45926</v>
      </c>
      <c r="B119" s="2">
        <f t="shared" si="1"/>
        <v>45901</v>
      </c>
      <c r="C119" s="9">
        <v>0.5</v>
      </c>
      <c r="D119" t="s">
        <v>189</v>
      </c>
      <c r="E119" t="s">
        <v>171</v>
      </c>
      <c r="F119">
        <v>13</v>
      </c>
      <c r="G119" t="s">
        <v>344</v>
      </c>
      <c r="I119" t="s">
        <v>188</v>
      </c>
      <c r="L119">
        <v>10</v>
      </c>
      <c r="M119" t="s">
        <v>361</v>
      </c>
      <c r="N119">
        <v>5963</v>
      </c>
      <c r="Q119" t="s">
        <v>186</v>
      </c>
    </row>
    <row r="120" spans="1:22" x14ac:dyDescent="0.2">
      <c r="A120" s="2">
        <v>45926</v>
      </c>
      <c r="B120" s="2">
        <f t="shared" si="1"/>
        <v>45901</v>
      </c>
      <c r="C120" s="9">
        <v>0.54166666666666663</v>
      </c>
      <c r="D120" t="s">
        <v>327</v>
      </c>
      <c r="E120" t="s">
        <v>171</v>
      </c>
      <c r="F120">
        <v>5</v>
      </c>
      <c r="G120" t="s">
        <v>77</v>
      </c>
      <c r="I120" t="s">
        <v>183</v>
      </c>
      <c r="L120">
        <v>10</v>
      </c>
      <c r="M120" t="s">
        <v>360</v>
      </c>
      <c r="N120">
        <v>5967</v>
      </c>
      <c r="Q120" t="s">
        <v>186</v>
      </c>
    </row>
    <row r="121" spans="1:22" ht="409.6" x14ac:dyDescent="0.2">
      <c r="A121" s="2">
        <v>45926</v>
      </c>
      <c r="B121" s="2">
        <f t="shared" si="1"/>
        <v>45901</v>
      </c>
      <c r="C121" s="9">
        <v>0.58333333333333337</v>
      </c>
      <c r="D121" t="s">
        <v>172</v>
      </c>
      <c r="E121" t="s">
        <v>171</v>
      </c>
      <c r="F121">
        <v>10</v>
      </c>
      <c r="G121" t="s">
        <v>246</v>
      </c>
      <c r="I121" t="s">
        <v>183</v>
      </c>
      <c r="L121">
        <v>8</v>
      </c>
      <c r="M121" s="10" t="s">
        <v>359</v>
      </c>
      <c r="N121">
        <v>5968</v>
      </c>
      <c r="Q121" t="s">
        <v>186</v>
      </c>
    </row>
    <row r="122" spans="1:22" x14ac:dyDescent="0.2">
      <c r="A122" s="2">
        <v>45929</v>
      </c>
      <c r="B122" s="2">
        <f t="shared" si="1"/>
        <v>45901</v>
      </c>
      <c r="C122" s="9">
        <v>0.5</v>
      </c>
      <c r="D122" t="s">
        <v>316</v>
      </c>
      <c r="E122" t="s">
        <v>171</v>
      </c>
      <c r="F122">
        <v>3</v>
      </c>
      <c r="I122" t="s">
        <v>173</v>
      </c>
      <c r="Q122" t="s">
        <v>192</v>
      </c>
    </row>
    <row r="123" spans="1:22" x14ac:dyDescent="0.2">
      <c r="A123" s="2">
        <v>45929</v>
      </c>
      <c r="B123" s="2">
        <f t="shared" si="1"/>
        <v>45901</v>
      </c>
      <c r="C123" s="9">
        <v>0.625</v>
      </c>
      <c r="D123" t="s">
        <v>195</v>
      </c>
      <c r="E123" t="s">
        <v>171</v>
      </c>
      <c r="F123">
        <v>17</v>
      </c>
      <c r="G123" t="s">
        <v>329</v>
      </c>
      <c r="I123" t="s">
        <v>348</v>
      </c>
      <c r="L123">
        <v>10</v>
      </c>
      <c r="M123" t="s">
        <v>358</v>
      </c>
      <c r="N123">
        <v>5988</v>
      </c>
      <c r="Q123" t="s">
        <v>186</v>
      </c>
    </row>
    <row r="124" spans="1:22" x14ac:dyDescent="0.2">
      <c r="A124" s="2">
        <v>45931</v>
      </c>
      <c r="B124" s="2">
        <f t="shared" si="1"/>
        <v>45931</v>
      </c>
      <c r="C124" s="9">
        <v>0.45833333333333331</v>
      </c>
      <c r="D124" t="s">
        <v>185</v>
      </c>
      <c r="E124" t="s">
        <v>171</v>
      </c>
      <c r="F124">
        <v>14</v>
      </c>
      <c r="I124" t="s">
        <v>183</v>
      </c>
      <c r="Q124" t="s">
        <v>192</v>
      </c>
    </row>
    <row r="125" spans="1:22" x14ac:dyDescent="0.2">
      <c r="A125" s="2">
        <v>45932</v>
      </c>
      <c r="B125" s="2">
        <f t="shared" si="1"/>
        <v>45931</v>
      </c>
      <c r="C125" s="9">
        <v>0.41666666666666669</v>
      </c>
      <c r="D125" t="s">
        <v>182</v>
      </c>
      <c r="E125" t="s">
        <v>171</v>
      </c>
      <c r="F125">
        <v>12</v>
      </c>
      <c r="G125" t="s">
        <v>80</v>
      </c>
      <c r="I125" t="s">
        <v>183</v>
      </c>
      <c r="K125" t="s">
        <v>226</v>
      </c>
      <c r="L125">
        <v>9</v>
      </c>
      <c r="M125" t="s">
        <v>357</v>
      </c>
      <c r="N125">
        <v>6051</v>
      </c>
      <c r="Q125" t="s">
        <v>186</v>
      </c>
    </row>
    <row r="126" spans="1:22" x14ac:dyDescent="0.2">
      <c r="A126" s="2">
        <v>45932</v>
      </c>
      <c r="B126" s="2">
        <f t="shared" si="1"/>
        <v>45931</v>
      </c>
      <c r="C126" s="9">
        <v>0.58333333333333337</v>
      </c>
      <c r="D126" t="s">
        <v>193</v>
      </c>
      <c r="E126" t="s">
        <v>171</v>
      </c>
      <c r="F126">
        <v>13</v>
      </c>
      <c r="Q126" t="s">
        <v>191</v>
      </c>
      <c r="R126" t="s">
        <v>356</v>
      </c>
    </row>
    <row r="127" spans="1:22" x14ac:dyDescent="0.2">
      <c r="A127" s="2">
        <v>45933</v>
      </c>
      <c r="B127" s="2">
        <f t="shared" si="1"/>
        <v>45931</v>
      </c>
      <c r="C127" s="9">
        <v>0.5</v>
      </c>
      <c r="D127" t="s">
        <v>189</v>
      </c>
      <c r="E127" t="s">
        <v>171</v>
      </c>
      <c r="F127">
        <v>13</v>
      </c>
      <c r="G127" t="s">
        <v>246</v>
      </c>
      <c r="I127" t="s">
        <v>188</v>
      </c>
      <c r="L127">
        <v>10</v>
      </c>
      <c r="M127" t="s">
        <v>355</v>
      </c>
      <c r="N127">
        <v>6085</v>
      </c>
      <c r="Q127" t="s">
        <v>186</v>
      </c>
    </row>
    <row r="128" spans="1:22" x14ac:dyDescent="0.2">
      <c r="A128" s="2">
        <v>45933</v>
      </c>
      <c r="B128" s="2">
        <f t="shared" si="1"/>
        <v>45931</v>
      </c>
      <c r="C128" s="9">
        <v>0.54166666666666663</v>
      </c>
      <c r="D128" t="s">
        <v>327</v>
      </c>
      <c r="E128" t="s">
        <v>171</v>
      </c>
      <c r="F128">
        <v>5</v>
      </c>
      <c r="Q128" t="s">
        <v>191</v>
      </c>
      <c r="R128" t="s">
        <v>354</v>
      </c>
    </row>
    <row r="129" spans="1:18" x14ac:dyDescent="0.2">
      <c r="A129" s="2">
        <v>45933</v>
      </c>
      <c r="B129" s="2">
        <f t="shared" si="1"/>
        <v>45931</v>
      </c>
      <c r="C129" s="9">
        <v>0.58333333333333337</v>
      </c>
      <c r="D129" t="s">
        <v>172</v>
      </c>
      <c r="E129" t="s">
        <v>171</v>
      </c>
      <c r="F129">
        <v>10</v>
      </c>
      <c r="I129" t="s">
        <v>216</v>
      </c>
      <c r="Q129" t="s">
        <v>192</v>
      </c>
    </row>
    <row r="130" spans="1:18" x14ac:dyDescent="0.2">
      <c r="A130" s="2">
        <v>45936</v>
      </c>
      <c r="B130" s="2">
        <f t="shared" si="1"/>
        <v>45931</v>
      </c>
      <c r="C130" s="9">
        <v>0.5</v>
      </c>
      <c r="D130" t="s">
        <v>316</v>
      </c>
      <c r="E130" t="s">
        <v>171</v>
      </c>
      <c r="F130">
        <v>3</v>
      </c>
      <c r="G130" t="s">
        <v>280</v>
      </c>
      <c r="I130" t="s">
        <v>173</v>
      </c>
      <c r="L130">
        <v>9</v>
      </c>
      <c r="M130" t="s">
        <v>353</v>
      </c>
      <c r="N130">
        <v>6104</v>
      </c>
      <c r="Q130" t="s">
        <v>186</v>
      </c>
    </row>
    <row r="131" spans="1:18" x14ac:dyDescent="0.2">
      <c r="A131" s="2">
        <v>45938</v>
      </c>
      <c r="B131" s="2">
        <f t="shared" ref="B131:B194" si="2">DATE(YEAR(A131), MONTH(A131), 1)</f>
        <v>45931</v>
      </c>
      <c r="C131" s="9">
        <v>0.45833333333333331</v>
      </c>
      <c r="D131" t="s">
        <v>185</v>
      </c>
      <c r="E131" t="s">
        <v>171</v>
      </c>
      <c r="F131">
        <v>14</v>
      </c>
      <c r="G131" t="s">
        <v>67</v>
      </c>
      <c r="I131" t="s">
        <v>183</v>
      </c>
      <c r="L131">
        <v>9</v>
      </c>
      <c r="M131" t="s">
        <v>352</v>
      </c>
      <c r="N131">
        <v>6214</v>
      </c>
      <c r="Q131" t="s">
        <v>186</v>
      </c>
    </row>
    <row r="132" spans="1:18" x14ac:dyDescent="0.2">
      <c r="A132" s="2">
        <v>45938</v>
      </c>
      <c r="B132" s="2">
        <f t="shared" si="2"/>
        <v>45931</v>
      </c>
      <c r="C132" s="9">
        <v>0.58333333333333337</v>
      </c>
      <c r="D132" t="s">
        <v>198</v>
      </c>
      <c r="E132" t="s">
        <v>171</v>
      </c>
      <c r="F132">
        <v>16</v>
      </c>
      <c r="G132" t="s">
        <v>329</v>
      </c>
      <c r="I132" t="s">
        <v>183</v>
      </c>
      <c r="L132">
        <v>10</v>
      </c>
      <c r="M132" t="s">
        <v>351</v>
      </c>
      <c r="N132">
        <v>6223</v>
      </c>
      <c r="Q132" t="s">
        <v>186</v>
      </c>
    </row>
    <row r="133" spans="1:18" x14ac:dyDescent="0.2">
      <c r="A133" s="2">
        <v>45938</v>
      </c>
      <c r="B133" s="2">
        <f t="shared" si="2"/>
        <v>45931</v>
      </c>
      <c r="C133" s="9">
        <v>0.58333333333333337</v>
      </c>
      <c r="D133" t="s">
        <v>197</v>
      </c>
      <c r="E133" t="s">
        <v>171</v>
      </c>
      <c r="F133">
        <v>15</v>
      </c>
      <c r="G133" t="s">
        <v>329</v>
      </c>
      <c r="I133" t="s">
        <v>173</v>
      </c>
      <c r="K133" t="s">
        <v>350</v>
      </c>
      <c r="L133">
        <v>10</v>
      </c>
      <c r="M133" t="s">
        <v>349</v>
      </c>
      <c r="N133">
        <v>6224</v>
      </c>
      <c r="Q133" t="s">
        <v>186</v>
      </c>
    </row>
    <row r="134" spans="1:18" x14ac:dyDescent="0.2">
      <c r="A134" s="2">
        <v>45938</v>
      </c>
      <c r="B134" s="2">
        <f t="shared" si="2"/>
        <v>45931</v>
      </c>
      <c r="C134" s="9">
        <v>0.60416666666666663</v>
      </c>
      <c r="D134" t="s">
        <v>193</v>
      </c>
      <c r="E134" t="s">
        <v>171</v>
      </c>
      <c r="F134">
        <v>13</v>
      </c>
      <c r="G134" t="s">
        <v>67</v>
      </c>
      <c r="I134" t="s">
        <v>188</v>
      </c>
      <c r="L134">
        <v>9</v>
      </c>
      <c r="Q134" t="s">
        <v>186</v>
      </c>
    </row>
    <row r="135" spans="1:18" x14ac:dyDescent="0.2">
      <c r="A135" s="2">
        <v>45939</v>
      </c>
      <c r="B135" s="2">
        <f t="shared" si="2"/>
        <v>45931</v>
      </c>
      <c r="C135" s="9">
        <v>0.45833333333333331</v>
      </c>
      <c r="D135" t="s">
        <v>180</v>
      </c>
      <c r="E135" t="s">
        <v>171</v>
      </c>
      <c r="F135">
        <v>11</v>
      </c>
      <c r="G135" t="s">
        <v>80</v>
      </c>
      <c r="I135" t="s">
        <v>348</v>
      </c>
      <c r="L135">
        <v>9</v>
      </c>
      <c r="M135" t="s">
        <v>347</v>
      </c>
      <c r="N135">
        <v>6251</v>
      </c>
      <c r="Q135" t="s">
        <v>186</v>
      </c>
    </row>
    <row r="136" spans="1:18" x14ac:dyDescent="0.2">
      <c r="A136" s="2">
        <v>45940</v>
      </c>
      <c r="B136" s="2">
        <f t="shared" si="2"/>
        <v>45931</v>
      </c>
      <c r="C136" s="9">
        <v>0.5</v>
      </c>
      <c r="D136" t="s">
        <v>189</v>
      </c>
      <c r="E136" t="s">
        <v>171</v>
      </c>
      <c r="F136">
        <v>13</v>
      </c>
      <c r="G136" t="s">
        <v>77</v>
      </c>
      <c r="I136" t="s">
        <v>188</v>
      </c>
      <c r="L136">
        <v>10</v>
      </c>
      <c r="Q136" t="s">
        <v>186</v>
      </c>
    </row>
    <row r="137" spans="1:18" x14ac:dyDescent="0.2">
      <c r="A137" s="2">
        <v>45940</v>
      </c>
      <c r="B137" s="2">
        <f t="shared" si="2"/>
        <v>45931</v>
      </c>
      <c r="C137" s="9">
        <v>0.54166666666666663</v>
      </c>
      <c r="D137" t="s">
        <v>327</v>
      </c>
      <c r="E137" t="s">
        <v>171</v>
      </c>
      <c r="F137">
        <v>5</v>
      </c>
      <c r="K137" t="s">
        <v>346</v>
      </c>
      <c r="Q137" t="s">
        <v>191</v>
      </c>
      <c r="R137" t="s">
        <v>345</v>
      </c>
    </row>
    <row r="138" spans="1:18" x14ac:dyDescent="0.2">
      <c r="A138" s="2">
        <v>45940</v>
      </c>
      <c r="B138" s="2">
        <f t="shared" si="2"/>
        <v>45931</v>
      </c>
      <c r="C138" s="9">
        <v>0.58333333333333337</v>
      </c>
      <c r="D138" t="s">
        <v>172</v>
      </c>
      <c r="E138" t="s">
        <v>171</v>
      </c>
      <c r="F138">
        <v>10</v>
      </c>
      <c r="I138" t="s">
        <v>183</v>
      </c>
      <c r="Q138" t="s">
        <v>192</v>
      </c>
    </row>
    <row r="139" spans="1:18" x14ac:dyDescent="0.2">
      <c r="A139" s="2">
        <v>45943</v>
      </c>
      <c r="B139" s="2">
        <f t="shared" si="2"/>
        <v>45931</v>
      </c>
      <c r="C139" s="9">
        <v>0.5</v>
      </c>
      <c r="D139" t="s">
        <v>316</v>
      </c>
      <c r="E139" t="s">
        <v>171</v>
      </c>
      <c r="F139">
        <v>3</v>
      </c>
      <c r="G139" t="s">
        <v>344</v>
      </c>
      <c r="I139" t="s">
        <v>173</v>
      </c>
      <c r="L139">
        <v>9</v>
      </c>
      <c r="M139" t="s">
        <v>343</v>
      </c>
      <c r="N139">
        <v>6279</v>
      </c>
      <c r="Q139" t="s">
        <v>186</v>
      </c>
    </row>
    <row r="140" spans="1:18" x14ac:dyDescent="0.2">
      <c r="A140" s="2">
        <v>45945</v>
      </c>
      <c r="B140" s="2">
        <f t="shared" si="2"/>
        <v>45931</v>
      </c>
      <c r="C140" s="9">
        <v>0.45833333333333331</v>
      </c>
      <c r="D140" t="s">
        <v>185</v>
      </c>
      <c r="E140" t="s">
        <v>171</v>
      </c>
      <c r="F140">
        <v>14</v>
      </c>
      <c r="G140" t="s">
        <v>77</v>
      </c>
      <c r="I140" t="s">
        <v>183</v>
      </c>
      <c r="K140" t="s">
        <v>342</v>
      </c>
      <c r="L140">
        <v>9</v>
      </c>
      <c r="M140" t="s">
        <v>341</v>
      </c>
      <c r="N140">
        <v>6308</v>
      </c>
      <c r="Q140" t="s">
        <v>186</v>
      </c>
    </row>
    <row r="141" spans="1:18" x14ac:dyDescent="0.2">
      <c r="A141" s="2">
        <v>45946</v>
      </c>
      <c r="B141" s="2">
        <f t="shared" si="2"/>
        <v>45931</v>
      </c>
      <c r="C141" s="9">
        <v>0.41666666666666669</v>
      </c>
      <c r="D141" t="s">
        <v>182</v>
      </c>
      <c r="E141" t="s">
        <v>171</v>
      </c>
      <c r="F141">
        <v>12</v>
      </c>
      <c r="G141" t="s">
        <v>329</v>
      </c>
      <c r="I141" t="s">
        <v>173</v>
      </c>
      <c r="K141" t="s">
        <v>340</v>
      </c>
      <c r="L141">
        <v>7</v>
      </c>
      <c r="M141" t="s">
        <v>339</v>
      </c>
      <c r="N141">
        <v>6324</v>
      </c>
      <c r="Q141" t="s">
        <v>186</v>
      </c>
    </row>
    <row r="142" spans="1:18" x14ac:dyDescent="0.2">
      <c r="A142" s="2">
        <v>45946</v>
      </c>
      <c r="B142" s="2">
        <f t="shared" si="2"/>
        <v>45931</v>
      </c>
      <c r="C142" s="9">
        <v>0.45833333333333331</v>
      </c>
      <c r="D142" t="s">
        <v>180</v>
      </c>
      <c r="E142" t="s">
        <v>171</v>
      </c>
      <c r="F142">
        <v>11</v>
      </c>
      <c r="G142" t="s">
        <v>329</v>
      </c>
      <c r="I142" t="s">
        <v>183</v>
      </c>
      <c r="L142">
        <v>10</v>
      </c>
      <c r="M142" t="s">
        <v>338</v>
      </c>
      <c r="N142">
        <v>6327</v>
      </c>
      <c r="Q142" t="s">
        <v>186</v>
      </c>
    </row>
    <row r="143" spans="1:18" x14ac:dyDescent="0.2">
      <c r="A143" s="2">
        <v>45946</v>
      </c>
      <c r="B143" s="2">
        <f t="shared" si="2"/>
        <v>45931</v>
      </c>
      <c r="C143" s="9">
        <v>0.52083333333333337</v>
      </c>
      <c r="D143" t="s">
        <v>193</v>
      </c>
      <c r="E143" t="s">
        <v>171</v>
      </c>
      <c r="F143">
        <v>13</v>
      </c>
      <c r="G143" t="s">
        <v>329</v>
      </c>
      <c r="I143" t="s">
        <v>183</v>
      </c>
      <c r="L143">
        <v>9</v>
      </c>
      <c r="M143" t="s">
        <v>337</v>
      </c>
      <c r="N143">
        <v>6333</v>
      </c>
      <c r="Q143" t="s">
        <v>186</v>
      </c>
    </row>
    <row r="144" spans="1:18" x14ac:dyDescent="0.2">
      <c r="A144" s="2">
        <v>45946</v>
      </c>
      <c r="B144" s="2">
        <f t="shared" si="2"/>
        <v>45931</v>
      </c>
      <c r="C144" s="9">
        <v>0.64583333333333337</v>
      </c>
      <c r="D144" t="s">
        <v>313</v>
      </c>
      <c r="E144" t="s">
        <v>171</v>
      </c>
      <c r="G144" t="s">
        <v>313</v>
      </c>
      <c r="K144" t="s">
        <v>336</v>
      </c>
    </row>
    <row r="145" spans="1:18" x14ac:dyDescent="0.2">
      <c r="A145" s="2">
        <v>45947</v>
      </c>
      <c r="B145" s="2">
        <f t="shared" si="2"/>
        <v>45931</v>
      </c>
      <c r="C145" s="9">
        <v>0.58333333333333337</v>
      </c>
      <c r="D145" t="s">
        <v>172</v>
      </c>
      <c r="E145" t="s">
        <v>171</v>
      </c>
      <c r="F145">
        <v>10</v>
      </c>
      <c r="G145" t="s">
        <v>67</v>
      </c>
      <c r="I145" t="s">
        <v>169</v>
      </c>
      <c r="K145" t="s">
        <v>335</v>
      </c>
      <c r="L145">
        <v>10</v>
      </c>
      <c r="M145" t="s">
        <v>334</v>
      </c>
      <c r="Q145" t="s">
        <v>186</v>
      </c>
    </row>
    <row r="146" spans="1:18" x14ac:dyDescent="0.2">
      <c r="A146" s="2">
        <v>45947</v>
      </c>
      <c r="B146" s="2">
        <f t="shared" si="2"/>
        <v>45931</v>
      </c>
      <c r="C146" s="9">
        <v>0.66666666666666663</v>
      </c>
      <c r="D146" t="s">
        <v>195</v>
      </c>
      <c r="E146" t="s">
        <v>171</v>
      </c>
      <c r="F146">
        <v>17</v>
      </c>
      <c r="G146" t="s">
        <v>312</v>
      </c>
      <c r="I146" t="s">
        <v>216</v>
      </c>
      <c r="L146" t="s">
        <v>237</v>
      </c>
      <c r="Q146" t="s">
        <v>186</v>
      </c>
    </row>
    <row r="147" spans="1:18" x14ac:dyDescent="0.2">
      <c r="A147" s="2">
        <v>45950</v>
      </c>
      <c r="B147" s="2">
        <f t="shared" si="2"/>
        <v>45931</v>
      </c>
      <c r="C147" s="9">
        <v>0.5</v>
      </c>
      <c r="D147" t="s">
        <v>316</v>
      </c>
      <c r="E147" t="s">
        <v>171</v>
      </c>
      <c r="F147">
        <v>3</v>
      </c>
      <c r="Q147" t="s">
        <v>191</v>
      </c>
      <c r="R147" t="s">
        <v>333</v>
      </c>
    </row>
    <row r="148" spans="1:18" x14ac:dyDescent="0.2">
      <c r="A148" s="2">
        <v>45952</v>
      </c>
      <c r="B148" s="2">
        <f t="shared" si="2"/>
        <v>45931</v>
      </c>
      <c r="C148" s="9">
        <v>0.45833333333333331</v>
      </c>
      <c r="D148" t="s">
        <v>185</v>
      </c>
      <c r="E148" t="s">
        <v>171</v>
      </c>
      <c r="F148">
        <v>14</v>
      </c>
      <c r="G148" t="s">
        <v>329</v>
      </c>
      <c r="I148" t="s">
        <v>183</v>
      </c>
      <c r="L148">
        <v>10</v>
      </c>
      <c r="M148" t="s">
        <v>332</v>
      </c>
      <c r="N148">
        <v>6404</v>
      </c>
      <c r="Q148" t="s">
        <v>186</v>
      </c>
    </row>
    <row r="149" spans="1:18" x14ac:dyDescent="0.2">
      <c r="A149" s="2">
        <v>45952</v>
      </c>
      <c r="B149" s="2">
        <f t="shared" si="2"/>
        <v>45931</v>
      </c>
      <c r="C149" s="9">
        <v>0.58333333333333337</v>
      </c>
      <c r="D149" t="s">
        <v>198</v>
      </c>
      <c r="E149" t="s">
        <v>171</v>
      </c>
      <c r="F149">
        <v>16</v>
      </c>
      <c r="G149" t="s">
        <v>312</v>
      </c>
      <c r="I149" t="s">
        <v>183</v>
      </c>
      <c r="L149">
        <v>9</v>
      </c>
      <c r="M149" t="s">
        <v>331</v>
      </c>
      <c r="Q149" t="s">
        <v>186</v>
      </c>
    </row>
    <row r="150" spans="1:18" x14ac:dyDescent="0.2">
      <c r="A150" s="2">
        <v>45952</v>
      </c>
      <c r="B150" s="2">
        <f t="shared" si="2"/>
        <v>45931</v>
      </c>
      <c r="C150" s="9">
        <v>0.58333333333333337</v>
      </c>
      <c r="D150" t="s">
        <v>197</v>
      </c>
      <c r="E150" t="s">
        <v>171</v>
      </c>
      <c r="F150">
        <v>15</v>
      </c>
      <c r="G150" t="s">
        <v>312</v>
      </c>
      <c r="I150" t="s">
        <v>169</v>
      </c>
      <c r="L150">
        <v>6</v>
      </c>
      <c r="M150" t="s">
        <v>330</v>
      </c>
      <c r="Q150" t="s">
        <v>186</v>
      </c>
    </row>
    <row r="151" spans="1:18" x14ac:dyDescent="0.2">
      <c r="A151" s="2">
        <v>45954</v>
      </c>
      <c r="B151" s="2">
        <f t="shared" si="2"/>
        <v>45931</v>
      </c>
      <c r="C151" s="9">
        <v>0.5</v>
      </c>
      <c r="D151" t="s">
        <v>189</v>
      </c>
      <c r="E151" t="s">
        <v>171</v>
      </c>
      <c r="F151">
        <v>13</v>
      </c>
      <c r="G151" t="s">
        <v>329</v>
      </c>
      <c r="I151" t="s">
        <v>169</v>
      </c>
      <c r="L151">
        <v>10</v>
      </c>
      <c r="M151" t="s">
        <v>328</v>
      </c>
      <c r="N151">
        <v>6446</v>
      </c>
      <c r="Q151" t="s">
        <v>186</v>
      </c>
    </row>
    <row r="152" spans="1:18" x14ac:dyDescent="0.2">
      <c r="A152" s="2">
        <v>45954</v>
      </c>
      <c r="B152" s="2">
        <f t="shared" si="2"/>
        <v>45931</v>
      </c>
      <c r="C152" s="9">
        <v>0.54166666666666663</v>
      </c>
      <c r="D152" t="s">
        <v>327</v>
      </c>
      <c r="E152" t="s">
        <v>171</v>
      </c>
      <c r="F152">
        <v>5</v>
      </c>
      <c r="I152" t="s">
        <v>183</v>
      </c>
      <c r="Q152" t="s">
        <v>192</v>
      </c>
    </row>
    <row r="153" spans="1:18" x14ac:dyDescent="0.2">
      <c r="A153" s="2">
        <v>45954</v>
      </c>
      <c r="B153" s="2">
        <f t="shared" si="2"/>
        <v>45931</v>
      </c>
      <c r="C153" s="9">
        <v>0.58333333333333337</v>
      </c>
      <c r="D153" t="s">
        <v>172</v>
      </c>
      <c r="E153" t="s">
        <v>171</v>
      </c>
      <c r="F153">
        <v>10</v>
      </c>
      <c r="G153" t="s">
        <v>77</v>
      </c>
      <c r="I153" t="s">
        <v>169</v>
      </c>
      <c r="L153">
        <v>10</v>
      </c>
      <c r="M153" t="s">
        <v>326</v>
      </c>
      <c r="N153">
        <v>6451</v>
      </c>
      <c r="Q153" t="s">
        <v>186</v>
      </c>
    </row>
    <row r="154" spans="1:18" x14ac:dyDescent="0.2">
      <c r="A154" s="2">
        <v>45957</v>
      </c>
      <c r="B154" s="2">
        <f t="shared" si="2"/>
        <v>45931</v>
      </c>
      <c r="C154" s="9">
        <v>0.5</v>
      </c>
      <c r="D154" t="s">
        <v>316</v>
      </c>
      <c r="E154" t="s">
        <v>171</v>
      </c>
      <c r="F154">
        <v>3</v>
      </c>
      <c r="Q154" t="s">
        <v>191</v>
      </c>
      <c r="R154" t="s">
        <v>212</v>
      </c>
    </row>
    <row r="155" spans="1:18" x14ac:dyDescent="0.2">
      <c r="A155" s="2">
        <v>45957</v>
      </c>
      <c r="B155" s="2">
        <f t="shared" si="2"/>
        <v>45931</v>
      </c>
      <c r="C155" s="9">
        <v>0.625</v>
      </c>
      <c r="D155" t="s">
        <v>195</v>
      </c>
      <c r="E155" t="s">
        <v>171</v>
      </c>
      <c r="F155">
        <v>17</v>
      </c>
      <c r="Q155" t="s">
        <v>200</v>
      </c>
      <c r="R155" t="s">
        <v>325</v>
      </c>
    </row>
    <row r="156" spans="1:18" x14ac:dyDescent="0.2">
      <c r="A156" s="2">
        <v>45959</v>
      </c>
      <c r="B156" s="2">
        <f t="shared" si="2"/>
        <v>45931</v>
      </c>
      <c r="C156" s="9">
        <v>0.45833333333333331</v>
      </c>
      <c r="D156" t="s">
        <v>185</v>
      </c>
      <c r="E156" t="s">
        <v>171</v>
      </c>
      <c r="F156">
        <v>14</v>
      </c>
      <c r="G156" t="s">
        <v>312</v>
      </c>
      <c r="I156" t="s">
        <v>183</v>
      </c>
      <c r="K156" t="s">
        <v>324</v>
      </c>
      <c r="L156">
        <v>10</v>
      </c>
      <c r="M156" t="s">
        <v>323</v>
      </c>
      <c r="Q156" t="s">
        <v>186</v>
      </c>
    </row>
    <row r="157" spans="1:18" x14ac:dyDescent="0.2">
      <c r="A157" s="2">
        <v>45959</v>
      </c>
      <c r="B157" s="2">
        <f t="shared" si="2"/>
        <v>45931</v>
      </c>
      <c r="C157" s="9">
        <v>0.625</v>
      </c>
      <c r="D157" t="s">
        <v>195</v>
      </c>
      <c r="E157" t="s">
        <v>171</v>
      </c>
      <c r="F157">
        <v>17</v>
      </c>
      <c r="G157" t="s">
        <v>91</v>
      </c>
      <c r="I157" t="s">
        <v>183</v>
      </c>
      <c r="L157">
        <v>10</v>
      </c>
      <c r="M157" t="s">
        <v>322</v>
      </c>
      <c r="N157">
        <v>6496</v>
      </c>
      <c r="Q157" t="s">
        <v>186</v>
      </c>
    </row>
    <row r="158" spans="1:18" x14ac:dyDescent="0.2">
      <c r="A158" s="2">
        <v>45960</v>
      </c>
      <c r="B158" s="2">
        <f t="shared" si="2"/>
        <v>45931</v>
      </c>
      <c r="C158" s="9">
        <v>0.45833333333333331</v>
      </c>
      <c r="D158" t="s">
        <v>180</v>
      </c>
      <c r="E158" t="s">
        <v>171</v>
      </c>
      <c r="F158">
        <v>11</v>
      </c>
      <c r="I158" t="s">
        <v>183</v>
      </c>
      <c r="Q158" t="s">
        <v>192</v>
      </c>
    </row>
    <row r="159" spans="1:18" x14ac:dyDescent="0.2">
      <c r="A159" s="2">
        <v>45960</v>
      </c>
      <c r="B159" s="2">
        <f t="shared" si="2"/>
        <v>45931</v>
      </c>
      <c r="C159" s="9">
        <v>0.66666666666666663</v>
      </c>
      <c r="D159" t="s">
        <v>193</v>
      </c>
      <c r="E159" t="s">
        <v>171</v>
      </c>
      <c r="F159">
        <v>13</v>
      </c>
      <c r="G159" t="s">
        <v>312</v>
      </c>
      <c r="I159" t="s">
        <v>216</v>
      </c>
      <c r="K159" t="s">
        <v>321</v>
      </c>
      <c r="L159">
        <v>10</v>
      </c>
      <c r="Q159" t="s">
        <v>186</v>
      </c>
    </row>
    <row r="160" spans="1:18" x14ac:dyDescent="0.2">
      <c r="A160" s="2">
        <v>45966</v>
      </c>
      <c r="B160" s="2">
        <f t="shared" si="2"/>
        <v>45962</v>
      </c>
      <c r="C160" s="9">
        <v>0.58333333333333337</v>
      </c>
      <c r="D160" t="s">
        <v>198</v>
      </c>
      <c r="E160" t="s">
        <v>171</v>
      </c>
      <c r="F160">
        <v>16</v>
      </c>
      <c r="Q160" t="s">
        <v>191</v>
      </c>
      <c r="R160" t="s">
        <v>320</v>
      </c>
    </row>
    <row r="161" spans="1:21" x14ac:dyDescent="0.2">
      <c r="A161" s="2">
        <v>45966</v>
      </c>
      <c r="B161" s="2">
        <f t="shared" si="2"/>
        <v>45962</v>
      </c>
      <c r="C161" s="9">
        <v>0.58333333333333337</v>
      </c>
      <c r="D161" t="s">
        <v>197</v>
      </c>
      <c r="E161" t="s">
        <v>171</v>
      </c>
      <c r="F161">
        <v>15</v>
      </c>
      <c r="G161" t="s">
        <v>80</v>
      </c>
      <c r="I161" t="s">
        <v>188</v>
      </c>
      <c r="L161">
        <v>10</v>
      </c>
      <c r="M161" t="s">
        <v>319</v>
      </c>
      <c r="Q161" t="s">
        <v>186</v>
      </c>
    </row>
    <row r="162" spans="1:21" ht="221" x14ac:dyDescent="0.2">
      <c r="A162" s="2">
        <v>45968</v>
      </c>
      <c r="B162" s="2">
        <f t="shared" si="2"/>
        <v>45962</v>
      </c>
      <c r="C162" s="9">
        <v>0.5</v>
      </c>
      <c r="D162" t="s">
        <v>189</v>
      </c>
      <c r="E162" t="s">
        <v>171</v>
      </c>
      <c r="F162">
        <v>13</v>
      </c>
      <c r="G162" t="s">
        <v>312</v>
      </c>
      <c r="I162" t="s">
        <v>173</v>
      </c>
      <c r="L162">
        <v>9</v>
      </c>
      <c r="M162" s="10" t="s">
        <v>318</v>
      </c>
      <c r="Q162" t="s">
        <v>186</v>
      </c>
    </row>
    <row r="163" spans="1:21" ht="136" x14ac:dyDescent="0.2">
      <c r="A163" s="2">
        <v>45968</v>
      </c>
      <c r="B163" s="2">
        <f t="shared" si="2"/>
        <v>45962</v>
      </c>
      <c r="C163" s="9">
        <v>0.58333333333333337</v>
      </c>
      <c r="D163" t="s">
        <v>172</v>
      </c>
      <c r="E163" t="s">
        <v>171</v>
      </c>
      <c r="F163">
        <v>10</v>
      </c>
      <c r="G163" t="s">
        <v>80</v>
      </c>
      <c r="I163" t="s">
        <v>203</v>
      </c>
      <c r="L163">
        <v>10</v>
      </c>
      <c r="M163" s="10" t="s">
        <v>317</v>
      </c>
      <c r="N163">
        <v>6653</v>
      </c>
      <c r="Q163" t="s">
        <v>186</v>
      </c>
    </row>
    <row r="164" spans="1:21" x14ac:dyDescent="0.2">
      <c r="A164" s="2">
        <v>45971</v>
      </c>
      <c r="B164" s="2">
        <f t="shared" si="2"/>
        <v>45962</v>
      </c>
      <c r="C164" s="9">
        <v>0.5</v>
      </c>
      <c r="D164" t="s">
        <v>316</v>
      </c>
      <c r="E164" t="s">
        <v>171</v>
      </c>
      <c r="F164">
        <v>3</v>
      </c>
      <c r="Q164" t="s">
        <v>191</v>
      </c>
      <c r="R164" t="s">
        <v>315</v>
      </c>
    </row>
    <row r="165" spans="1:21" x14ac:dyDescent="0.2">
      <c r="A165" s="2">
        <v>45973</v>
      </c>
      <c r="B165" s="2">
        <f t="shared" si="2"/>
        <v>45962</v>
      </c>
      <c r="C165" s="9">
        <v>0.41666666666666669</v>
      </c>
      <c r="D165" t="s">
        <v>195</v>
      </c>
      <c r="E165" t="s">
        <v>171</v>
      </c>
      <c r="F165">
        <v>17</v>
      </c>
      <c r="Q165" t="s">
        <v>191</v>
      </c>
    </row>
    <row r="166" spans="1:21" x14ac:dyDescent="0.2">
      <c r="A166" s="2">
        <v>45973</v>
      </c>
      <c r="B166" s="2">
        <f t="shared" si="2"/>
        <v>45962</v>
      </c>
      <c r="C166" s="9">
        <v>0.45833333333333331</v>
      </c>
      <c r="D166" t="s">
        <v>185</v>
      </c>
      <c r="E166" t="s">
        <v>171</v>
      </c>
      <c r="F166">
        <v>14</v>
      </c>
      <c r="G166" t="s">
        <v>80</v>
      </c>
      <c r="I166" t="s">
        <v>203</v>
      </c>
      <c r="L166">
        <v>10</v>
      </c>
      <c r="M166" t="s">
        <v>314</v>
      </c>
      <c r="N166">
        <v>6743</v>
      </c>
      <c r="Q166" t="s">
        <v>186</v>
      </c>
    </row>
    <row r="167" spans="1:21" x14ac:dyDescent="0.2">
      <c r="A167" s="2">
        <v>45973</v>
      </c>
      <c r="B167" s="2">
        <f t="shared" si="2"/>
        <v>45962</v>
      </c>
      <c r="C167" s="9">
        <v>0.66666666666666663</v>
      </c>
      <c r="D167" t="s">
        <v>313</v>
      </c>
      <c r="E167" t="s">
        <v>171</v>
      </c>
      <c r="G167" t="s">
        <v>313</v>
      </c>
    </row>
    <row r="168" spans="1:21" x14ac:dyDescent="0.2">
      <c r="A168" s="2">
        <v>45974</v>
      </c>
      <c r="B168" s="2">
        <f t="shared" si="2"/>
        <v>45962</v>
      </c>
      <c r="C168" s="9">
        <v>0.41666666666666669</v>
      </c>
      <c r="D168" t="s">
        <v>182</v>
      </c>
      <c r="E168" t="s">
        <v>171</v>
      </c>
      <c r="F168">
        <v>12</v>
      </c>
      <c r="G168" t="s">
        <v>312</v>
      </c>
      <c r="I168" t="s">
        <v>216</v>
      </c>
      <c r="L168" t="s">
        <v>237</v>
      </c>
      <c r="Q168" t="s">
        <v>186</v>
      </c>
    </row>
    <row r="169" spans="1:21" ht="409.6" x14ac:dyDescent="0.2">
      <c r="A169" s="2">
        <v>45974</v>
      </c>
      <c r="B169" s="2">
        <f t="shared" si="2"/>
        <v>45962</v>
      </c>
      <c r="C169" s="9">
        <v>0.45833333333333331</v>
      </c>
      <c r="D169" t="s">
        <v>180</v>
      </c>
      <c r="E169" t="s">
        <v>171</v>
      </c>
      <c r="F169">
        <v>11</v>
      </c>
      <c r="G169" t="s">
        <v>311</v>
      </c>
      <c r="I169" t="s">
        <v>183</v>
      </c>
      <c r="L169" t="s">
        <v>237</v>
      </c>
      <c r="M169" s="10" t="s">
        <v>310</v>
      </c>
      <c r="Q169" t="s">
        <v>186</v>
      </c>
    </row>
    <row r="170" spans="1:21" x14ac:dyDescent="0.2">
      <c r="A170" s="2">
        <v>45978</v>
      </c>
      <c r="B170" s="2">
        <f t="shared" si="2"/>
        <v>45962</v>
      </c>
      <c r="C170" s="9">
        <v>0.625</v>
      </c>
      <c r="D170" t="s">
        <v>195</v>
      </c>
      <c r="E170" t="s">
        <v>171</v>
      </c>
      <c r="F170">
        <v>17</v>
      </c>
      <c r="G170" t="s">
        <v>309</v>
      </c>
      <c r="I170" t="s">
        <v>183</v>
      </c>
      <c r="M170" t="s">
        <v>308</v>
      </c>
      <c r="N170">
        <v>6795</v>
      </c>
      <c r="Q170" t="s">
        <v>271</v>
      </c>
      <c r="R170" t="s">
        <v>306</v>
      </c>
      <c r="S170" t="s">
        <v>307</v>
      </c>
      <c r="T170" t="s">
        <v>176</v>
      </c>
      <c r="U170" t="s">
        <v>306</v>
      </c>
    </row>
    <row r="171" spans="1:21" x14ac:dyDescent="0.2">
      <c r="A171" s="2">
        <v>45980</v>
      </c>
      <c r="B171" s="2">
        <f t="shared" si="2"/>
        <v>45962</v>
      </c>
      <c r="C171" s="9">
        <v>0.52083333333333337</v>
      </c>
      <c r="D171" t="s">
        <v>198</v>
      </c>
      <c r="E171" t="s">
        <v>171</v>
      </c>
      <c r="F171">
        <v>16</v>
      </c>
      <c r="G171" t="s">
        <v>181</v>
      </c>
      <c r="I171" t="s">
        <v>188</v>
      </c>
      <c r="L171">
        <v>9</v>
      </c>
      <c r="M171" t="s">
        <v>305</v>
      </c>
      <c r="N171">
        <v>6828</v>
      </c>
      <c r="Q171" t="s">
        <v>186</v>
      </c>
    </row>
    <row r="172" spans="1:21" x14ac:dyDescent="0.2">
      <c r="A172" s="2">
        <v>45980</v>
      </c>
      <c r="B172" s="2">
        <f t="shared" si="2"/>
        <v>45962</v>
      </c>
      <c r="C172" s="9">
        <v>0.58333333333333337</v>
      </c>
      <c r="D172" t="s">
        <v>193</v>
      </c>
      <c r="E172" t="s">
        <v>171</v>
      </c>
      <c r="F172">
        <v>13</v>
      </c>
      <c r="G172" t="s">
        <v>80</v>
      </c>
      <c r="I172" t="s">
        <v>173</v>
      </c>
      <c r="L172">
        <v>9</v>
      </c>
      <c r="M172" t="s">
        <v>304</v>
      </c>
      <c r="N172">
        <v>6832</v>
      </c>
      <c r="Q172" t="s">
        <v>186</v>
      </c>
    </row>
    <row r="173" spans="1:21" x14ac:dyDescent="0.2">
      <c r="A173" s="2">
        <v>45980</v>
      </c>
      <c r="B173" s="2">
        <f t="shared" si="2"/>
        <v>45962</v>
      </c>
      <c r="C173" s="9">
        <v>0.625</v>
      </c>
      <c r="D173" t="s">
        <v>197</v>
      </c>
      <c r="E173" t="s">
        <v>171</v>
      </c>
      <c r="F173">
        <v>15</v>
      </c>
      <c r="G173" t="s">
        <v>91</v>
      </c>
      <c r="I173" t="s">
        <v>203</v>
      </c>
      <c r="L173">
        <v>10</v>
      </c>
      <c r="M173" t="s">
        <v>303</v>
      </c>
      <c r="N173">
        <v>6836</v>
      </c>
      <c r="Q173" t="s">
        <v>186</v>
      </c>
    </row>
    <row r="174" spans="1:21" x14ac:dyDescent="0.2">
      <c r="A174" s="2">
        <v>45981</v>
      </c>
      <c r="B174" s="2">
        <f t="shared" si="2"/>
        <v>45962</v>
      </c>
      <c r="C174" s="9">
        <v>0.5</v>
      </c>
      <c r="D174" t="s">
        <v>178</v>
      </c>
      <c r="E174" t="s">
        <v>171</v>
      </c>
      <c r="F174">
        <v>5</v>
      </c>
      <c r="G174" t="s">
        <v>292</v>
      </c>
      <c r="I174" t="s">
        <v>216</v>
      </c>
      <c r="L174" t="s">
        <v>237</v>
      </c>
      <c r="Q174" t="s">
        <v>186</v>
      </c>
    </row>
    <row r="175" spans="1:21" x14ac:dyDescent="0.2">
      <c r="A175" s="2">
        <v>45981</v>
      </c>
      <c r="B175" s="2">
        <f t="shared" si="2"/>
        <v>45962</v>
      </c>
      <c r="C175" s="9">
        <v>0.625</v>
      </c>
      <c r="D175" t="s">
        <v>195</v>
      </c>
      <c r="E175" t="s">
        <v>171</v>
      </c>
      <c r="F175">
        <v>17</v>
      </c>
      <c r="Q175" t="s">
        <v>191</v>
      </c>
      <c r="R175" t="s">
        <v>302</v>
      </c>
    </row>
    <row r="176" spans="1:21" x14ac:dyDescent="0.2">
      <c r="A176" s="2">
        <v>45982</v>
      </c>
      <c r="B176" s="2">
        <f t="shared" si="2"/>
        <v>45962</v>
      </c>
      <c r="C176" s="9">
        <v>0.5</v>
      </c>
      <c r="D176" t="s">
        <v>189</v>
      </c>
      <c r="E176" t="s">
        <v>171</v>
      </c>
      <c r="F176">
        <v>13</v>
      </c>
      <c r="G176" t="s">
        <v>80</v>
      </c>
      <c r="I176" t="s">
        <v>173</v>
      </c>
      <c r="K176" t="s">
        <v>301</v>
      </c>
      <c r="L176" t="s">
        <v>237</v>
      </c>
      <c r="M176" t="s">
        <v>300</v>
      </c>
      <c r="N176">
        <v>6859</v>
      </c>
      <c r="Q176" t="s">
        <v>186</v>
      </c>
    </row>
    <row r="177" spans="1:18" x14ac:dyDescent="0.2">
      <c r="A177" s="2">
        <v>45982</v>
      </c>
      <c r="B177" s="2">
        <f t="shared" si="2"/>
        <v>45962</v>
      </c>
      <c r="C177" s="9">
        <v>0.58333333333333337</v>
      </c>
      <c r="D177" t="s">
        <v>172</v>
      </c>
      <c r="E177" t="s">
        <v>171</v>
      </c>
      <c r="F177">
        <v>10</v>
      </c>
      <c r="I177" t="s">
        <v>183</v>
      </c>
      <c r="K177" t="s">
        <v>299</v>
      </c>
      <c r="Q177" t="s">
        <v>192</v>
      </c>
    </row>
    <row r="178" spans="1:18" x14ac:dyDescent="0.2">
      <c r="A178" s="2">
        <v>45985</v>
      </c>
      <c r="B178" s="2">
        <f t="shared" si="2"/>
        <v>45962</v>
      </c>
      <c r="C178" s="9">
        <v>0.625</v>
      </c>
      <c r="D178" t="s">
        <v>195</v>
      </c>
      <c r="E178" t="s">
        <v>171</v>
      </c>
      <c r="F178">
        <v>17</v>
      </c>
      <c r="G178" t="s">
        <v>122</v>
      </c>
      <c r="I178" t="s">
        <v>169</v>
      </c>
      <c r="L178">
        <v>9</v>
      </c>
      <c r="M178" t="s">
        <v>298</v>
      </c>
      <c r="N178">
        <v>6872</v>
      </c>
      <c r="Q178" t="s">
        <v>186</v>
      </c>
    </row>
    <row r="179" spans="1:18" x14ac:dyDescent="0.2">
      <c r="A179" s="2">
        <v>45987</v>
      </c>
      <c r="B179" s="2">
        <f t="shared" si="2"/>
        <v>45962</v>
      </c>
      <c r="C179" s="9">
        <v>0.45833333333333331</v>
      </c>
      <c r="D179" t="s">
        <v>185</v>
      </c>
      <c r="E179" t="s">
        <v>171</v>
      </c>
      <c r="F179">
        <v>14</v>
      </c>
      <c r="G179" t="s">
        <v>91</v>
      </c>
      <c r="I179" t="s">
        <v>183</v>
      </c>
      <c r="K179" t="s">
        <v>297</v>
      </c>
      <c r="L179">
        <v>10</v>
      </c>
      <c r="M179" t="s">
        <v>296</v>
      </c>
      <c r="N179">
        <v>6906</v>
      </c>
      <c r="Q179" t="s">
        <v>186</v>
      </c>
    </row>
    <row r="180" spans="1:18" x14ac:dyDescent="0.2">
      <c r="A180" s="2">
        <v>45988</v>
      </c>
      <c r="B180" s="2">
        <f t="shared" si="2"/>
        <v>45962</v>
      </c>
      <c r="C180" s="9">
        <v>0.45833333333333331</v>
      </c>
      <c r="D180" t="s">
        <v>180</v>
      </c>
      <c r="E180" t="s">
        <v>171</v>
      </c>
      <c r="F180">
        <v>11</v>
      </c>
      <c r="G180" t="s">
        <v>91</v>
      </c>
      <c r="I180" t="s">
        <v>183</v>
      </c>
      <c r="L180">
        <v>10</v>
      </c>
      <c r="M180" t="s">
        <v>295</v>
      </c>
      <c r="N180">
        <v>6937</v>
      </c>
      <c r="Q180" t="s">
        <v>186</v>
      </c>
    </row>
    <row r="181" spans="1:18" x14ac:dyDescent="0.2">
      <c r="A181" s="2">
        <v>45988</v>
      </c>
      <c r="B181" s="2">
        <f t="shared" si="2"/>
        <v>45962</v>
      </c>
      <c r="C181" s="9">
        <v>0.5</v>
      </c>
      <c r="D181" t="s">
        <v>178</v>
      </c>
      <c r="E181" t="s">
        <v>171</v>
      </c>
      <c r="F181">
        <v>5</v>
      </c>
      <c r="G181" t="s">
        <v>280</v>
      </c>
      <c r="I181" t="s">
        <v>188</v>
      </c>
      <c r="L181" t="s">
        <v>237</v>
      </c>
      <c r="M181" t="s">
        <v>294</v>
      </c>
      <c r="N181">
        <v>6940</v>
      </c>
      <c r="Q181" t="s">
        <v>186</v>
      </c>
    </row>
    <row r="182" spans="1:18" x14ac:dyDescent="0.2">
      <c r="A182" s="2">
        <v>45988</v>
      </c>
      <c r="B182" s="2">
        <f t="shared" si="2"/>
        <v>45962</v>
      </c>
      <c r="C182" s="9">
        <v>0.54166666666666663</v>
      </c>
      <c r="D182" t="s">
        <v>174</v>
      </c>
      <c r="E182" t="s">
        <v>171</v>
      </c>
      <c r="F182">
        <v>8</v>
      </c>
      <c r="I182" t="s">
        <v>216</v>
      </c>
      <c r="Q182" t="s">
        <v>192</v>
      </c>
    </row>
    <row r="183" spans="1:18" x14ac:dyDescent="0.2">
      <c r="A183" s="2">
        <v>45994</v>
      </c>
      <c r="B183" s="2">
        <f t="shared" si="2"/>
        <v>45992</v>
      </c>
      <c r="C183" s="9">
        <v>0.54166666666666663</v>
      </c>
      <c r="D183" t="s">
        <v>198</v>
      </c>
      <c r="E183" t="s">
        <v>171</v>
      </c>
      <c r="F183">
        <v>16</v>
      </c>
      <c r="G183" t="s">
        <v>122</v>
      </c>
      <c r="I183" t="s">
        <v>183</v>
      </c>
      <c r="L183">
        <v>10</v>
      </c>
      <c r="M183" t="s">
        <v>293</v>
      </c>
      <c r="N183">
        <v>7002</v>
      </c>
      <c r="Q183" t="s">
        <v>186</v>
      </c>
    </row>
    <row r="184" spans="1:18" x14ac:dyDescent="0.2">
      <c r="A184" s="2">
        <v>45995</v>
      </c>
      <c r="B184" s="2">
        <f t="shared" si="2"/>
        <v>45992</v>
      </c>
      <c r="C184" s="9">
        <v>0.54166666666666663</v>
      </c>
      <c r="D184" t="s">
        <v>174</v>
      </c>
      <c r="E184" t="s">
        <v>171</v>
      </c>
      <c r="F184">
        <v>8</v>
      </c>
      <c r="G184" t="s">
        <v>292</v>
      </c>
      <c r="I184" t="s">
        <v>216</v>
      </c>
      <c r="L184" t="s">
        <v>237</v>
      </c>
      <c r="Q184" t="s">
        <v>186</v>
      </c>
    </row>
    <row r="185" spans="1:18" x14ac:dyDescent="0.2">
      <c r="A185" s="2">
        <v>45995</v>
      </c>
      <c r="B185" s="2">
        <f t="shared" si="2"/>
        <v>45992</v>
      </c>
      <c r="C185" s="9">
        <v>0.58333333333333337</v>
      </c>
      <c r="D185" t="s">
        <v>193</v>
      </c>
      <c r="E185" t="s">
        <v>171</v>
      </c>
      <c r="F185">
        <v>13</v>
      </c>
      <c r="Q185" t="s">
        <v>191</v>
      </c>
      <c r="R185" t="s">
        <v>291</v>
      </c>
    </row>
    <row r="186" spans="1:18" x14ac:dyDescent="0.2">
      <c r="A186" s="2">
        <v>45996</v>
      </c>
      <c r="B186" s="2">
        <f t="shared" si="2"/>
        <v>45992</v>
      </c>
      <c r="C186" s="9">
        <v>0.5</v>
      </c>
      <c r="D186" t="s">
        <v>178</v>
      </c>
      <c r="E186" t="s">
        <v>171</v>
      </c>
      <c r="F186">
        <v>5</v>
      </c>
      <c r="G186" t="s">
        <v>251</v>
      </c>
      <c r="H186" t="s">
        <v>176</v>
      </c>
      <c r="I186" t="s">
        <v>216</v>
      </c>
      <c r="L186">
        <v>8</v>
      </c>
      <c r="Q186" t="s">
        <v>186</v>
      </c>
    </row>
    <row r="187" spans="1:18" x14ac:dyDescent="0.2">
      <c r="A187" s="2">
        <v>45996</v>
      </c>
      <c r="B187" s="2">
        <f t="shared" si="2"/>
        <v>45992</v>
      </c>
      <c r="C187" s="9">
        <v>0.5</v>
      </c>
      <c r="D187" t="s">
        <v>189</v>
      </c>
      <c r="E187" t="s">
        <v>171</v>
      </c>
      <c r="F187">
        <v>13</v>
      </c>
      <c r="G187" t="s">
        <v>91</v>
      </c>
      <c r="I187" t="s">
        <v>173</v>
      </c>
      <c r="K187" t="s">
        <v>290</v>
      </c>
      <c r="L187">
        <v>10</v>
      </c>
      <c r="M187" t="s">
        <v>289</v>
      </c>
      <c r="N187">
        <v>7032</v>
      </c>
      <c r="Q187" t="s">
        <v>186</v>
      </c>
    </row>
    <row r="188" spans="1:18" x14ac:dyDescent="0.2">
      <c r="A188" s="2">
        <v>45996</v>
      </c>
      <c r="B188" s="2">
        <f t="shared" si="2"/>
        <v>45992</v>
      </c>
      <c r="C188" s="9">
        <v>0.58333333333333337</v>
      </c>
      <c r="D188" t="s">
        <v>172</v>
      </c>
      <c r="E188" t="s">
        <v>171</v>
      </c>
      <c r="F188">
        <v>10</v>
      </c>
      <c r="G188" t="s">
        <v>91</v>
      </c>
      <c r="I188" t="s">
        <v>183</v>
      </c>
      <c r="K188" t="s">
        <v>288</v>
      </c>
      <c r="L188">
        <v>9</v>
      </c>
      <c r="M188" t="s">
        <v>287</v>
      </c>
      <c r="N188">
        <v>7037</v>
      </c>
      <c r="Q188" t="s">
        <v>186</v>
      </c>
    </row>
    <row r="189" spans="1:18" x14ac:dyDescent="0.2">
      <c r="A189" s="2">
        <v>45999</v>
      </c>
      <c r="B189" s="2">
        <f t="shared" si="2"/>
        <v>45992</v>
      </c>
      <c r="C189" s="9">
        <v>0.625</v>
      </c>
      <c r="D189" t="s">
        <v>195</v>
      </c>
      <c r="E189" t="s">
        <v>171</v>
      </c>
      <c r="F189">
        <v>17</v>
      </c>
      <c r="Q189" t="s">
        <v>191</v>
      </c>
      <c r="R189" t="s">
        <v>286</v>
      </c>
    </row>
    <row r="190" spans="1:18" x14ac:dyDescent="0.2">
      <c r="A190" s="2">
        <v>46001</v>
      </c>
      <c r="B190" s="2">
        <f t="shared" si="2"/>
        <v>45992</v>
      </c>
      <c r="C190" s="9">
        <v>0.45833333333333331</v>
      </c>
      <c r="D190" t="s">
        <v>185</v>
      </c>
      <c r="E190" t="s">
        <v>171</v>
      </c>
      <c r="F190">
        <v>14</v>
      </c>
      <c r="G190" t="s">
        <v>238</v>
      </c>
      <c r="I190" t="s">
        <v>183</v>
      </c>
      <c r="L190" t="s">
        <v>237</v>
      </c>
      <c r="Q190" t="s">
        <v>186</v>
      </c>
    </row>
    <row r="191" spans="1:18" x14ac:dyDescent="0.2">
      <c r="A191" s="2">
        <v>46001</v>
      </c>
      <c r="B191" s="2">
        <f t="shared" si="2"/>
        <v>45992</v>
      </c>
      <c r="C191" s="9">
        <v>0.58333333333333337</v>
      </c>
      <c r="D191" t="s">
        <v>197</v>
      </c>
      <c r="E191" t="s">
        <v>171</v>
      </c>
      <c r="F191">
        <v>15</v>
      </c>
      <c r="G191" t="s">
        <v>119</v>
      </c>
      <c r="I191" t="s">
        <v>183</v>
      </c>
      <c r="K191" t="s">
        <v>285</v>
      </c>
      <c r="L191">
        <v>10</v>
      </c>
      <c r="M191" t="s">
        <v>284</v>
      </c>
      <c r="N191">
        <v>7082</v>
      </c>
      <c r="Q191" t="s">
        <v>186</v>
      </c>
    </row>
    <row r="192" spans="1:18" x14ac:dyDescent="0.2">
      <c r="A192" s="2">
        <v>46002</v>
      </c>
      <c r="B192" s="2">
        <f t="shared" si="2"/>
        <v>45992</v>
      </c>
      <c r="C192" s="9">
        <v>0.41666666666666669</v>
      </c>
      <c r="D192" t="s">
        <v>182</v>
      </c>
      <c r="E192" t="s">
        <v>171</v>
      </c>
      <c r="F192">
        <v>12</v>
      </c>
      <c r="I192" t="s">
        <v>183</v>
      </c>
      <c r="Q192" t="s">
        <v>192</v>
      </c>
    </row>
    <row r="193" spans="1:21" x14ac:dyDescent="0.2">
      <c r="A193" s="2">
        <v>46002</v>
      </c>
      <c r="B193" s="2">
        <f t="shared" si="2"/>
        <v>45992</v>
      </c>
      <c r="C193" s="9">
        <v>0.45833333333333331</v>
      </c>
      <c r="D193" t="s">
        <v>180</v>
      </c>
      <c r="E193" t="s">
        <v>171</v>
      </c>
      <c r="F193">
        <v>11</v>
      </c>
      <c r="I193" t="s">
        <v>183</v>
      </c>
      <c r="Q193" t="s">
        <v>232</v>
      </c>
      <c r="R193" t="s">
        <v>283</v>
      </c>
    </row>
    <row r="194" spans="1:21" ht="136" x14ac:dyDescent="0.2">
      <c r="A194" s="2">
        <v>46002</v>
      </c>
      <c r="B194" s="2">
        <f t="shared" si="2"/>
        <v>45992</v>
      </c>
      <c r="C194" s="9">
        <v>0.5</v>
      </c>
      <c r="D194" t="s">
        <v>178</v>
      </c>
      <c r="E194" t="s">
        <v>171</v>
      </c>
      <c r="F194">
        <v>5</v>
      </c>
      <c r="G194" t="s">
        <v>251</v>
      </c>
      <c r="H194" t="s">
        <v>176</v>
      </c>
      <c r="I194" t="s">
        <v>183</v>
      </c>
      <c r="K194" s="10" t="s">
        <v>282</v>
      </c>
      <c r="L194">
        <v>9</v>
      </c>
      <c r="M194" t="s">
        <v>281</v>
      </c>
      <c r="N194">
        <v>7098</v>
      </c>
      <c r="Q194" t="s">
        <v>186</v>
      </c>
    </row>
    <row r="195" spans="1:21" x14ac:dyDescent="0.2">
      <c r="A195" s="2">
        <v>46002</v>
      </c>
      <c r="B195" s="2">
        <f t="shared" ref="B195:B258" si="3">DATE(YEAR(A195), MONTH(A195), 1)</f>
        <v>45992</v>
      </c>
      <c r="C195" s="9">
        <v>0.54166666666666663</v>
      </c>
      <c r="D195" t="s">
        <v>174</v>
      </c>
      <c r="E195" t="s">
        <v>171</v>
      </c>
      <c r="F195">
        <v>8</v>
      </c>
      <c r="G195" t="s">
        <v>280</v>
      </c>
      <c r="I195" t="s">
        <v>188</v>
      </c>
      <c r="L195">
        <v>8</v>
      </c>
      <c r="M195" t="s">
        <v>279</v>
      </c>
      <c r="N195">
        <v>7103</v>
      </c>
      <c r="Q195" t="s">
        <v>186</v>
      </c>
    </row>
    <row r="196" spans="1:21" x14ac:dyDescent="0.2">
      <c r="A196" s="2">
        <v>46002</v>
      </c>
      <c r="B196" s="2">
        <f t="shared" si="3"/>
        <v>45992</v>
      </c>
      <c r="C196" s="9">
        <v>0.58333333333333337</v>
      </c>
      <c r="D196" t="s">
        <v>193</v>
      </c>
      <c r="E196" t="s">
        <v>171</v>
      </c>
      <c r="F196">
        <v>13</v>
      </c>
      <c r="Q196" t="s">
        <v>191</v>
      </c>
      <c r="R196" t="s">
        <v>278</v>
      </c>
    </row>
    <row r="197" spans="1:21" x14ac:dyDescent="0.2">
      <c r="A197" s="2">
        <v>46003</v>
      </c>
      <c r="B197" s="2">
        <f t="shared" si="3"/>
        <v>45992</v>
      </c>
      <c r="C197" s="9">
        <v>0.45833333333333331</v>
      </c>
      <c r="D197" t="s">
        <v>180</v>
      </c>
      <c r="E197" t="s">
        <v>171</v>
      </c>
      <c r="F197">
        <v>11</v>
      </c>
      <c r="G197" t="s">
        <v>181</v>
      </c>
      <c r="I197" t="s">
        <v>169</v>
      </c>
      <c r="L197">
        <v>9</v>
      </c>
      <c r="M197" t="s">
        <v>277</v>
      </c>
      <c r="N197">
        <v>7114</v>
      </c>
      <c r="Q197" t="s">
        <v>186</v>
      </c>
    </row>
    <row r="198" spans="1:21" x14ac:dyDescent="0.2">
      <c r="A198" s="2">
        <v>46006</v>
      </c>
      <c r="B198" s="2">
        <f t="shared" si="3"/>
        <v>45992</v>
      </c>
      <c r="C198" s="9">
        <v>0.45833333333333331</v>
      </c>
      <c r="D198" t="s">
        <v>195</v>
      </c>
      <c r="E198" t="s">
        <v>171</v>
      </c>
      <c r="F198">
        <v>17</v>
      </c>
      <c r="I198" t="s">
        <v>173</v>
      </c>
      <c r="Q198" t="s">
        <v>200</v>
      </c>
    </row>
    <row r="199" spans="1:21" x14ac:dyDescent="0.2">
      <c r="A199" s="2">
        <v>46007</v>
      </c>
      <c r="B199" s="2">
        <f t="shared" si="3"/>
        <v>45992</v>
      </c>
      <c r="C199" s="9">
        <v>0.45833333333333331</v>
      </c>
      <c r="D199" t="s">
        <v>195</v>
      </c>
      <c r="E199" t="s">
        <v>171</v>
      </c>
      <c r="F199">
        <v>17</v>
      </c>
      <c r="G199" t="s">
        <v>218</v>
      </c>
      <c r="I199" t="s">
        <v>173</v>
      </c>
      <c r="L199">
        <v>10</v>
      </c>
      <c r="M199" t="s">
        <v>276</v>
      </c>
      <c r="Q199" t="s">
        <v>186</v>
      </c>
    </row>
    <row r="200" spans="1:21" x14ac:dyDescent="0.2">
      <c r="A200" s="2">
        <v>46009</v>
      </c>
      <c r="B200" s="2">
        <f t="shared" si="3"/>
        <v>45992</v>
      </c>
      <c r="C200" s="9">
        <v>0.5</v>
      </c>
      <c r="D200" t="s">
        <v>178</v>
      </c>
      <c r="E200" t="s">
        <v>171</v>
      </c>
      <c r="F200">
        <v>5</v>
      </c>
      <c r="Q200" t="s">
        <v>191</v>
      </c>
    </row>
    <row r="201" spans="1:21" x14ac:dyDescent="0.2">
      <c r="A201" s="2">
        <v>46010</v>
      </c>
      <c r="B201" s="2">
        <f t="shared" si="3"/>
        <v>45992</v>
      </c>
      <c r="C201" s="9">
        <v>0.5</v>
      </c>
      <c r="D201" t="s">
        <v>189</v>
      </c>
      <c r="E201" t="s">
        <v>171</v>
      </c>
      <c r="F201">
        <v>13</v>
      </c>
      <c r="G201" t="s">
        <v>181</v>
      </c>
      <c r="I201" t="s">
        <v>183</v>
      </c>
      <c r="L201">
        <v>10</v>
      </c>
      <c r="M201" t="s">
        <v>275</v>
      </c>
      <c r="N201">
        <v>7208</v>
      </c>
      <c r="Q201" t="s">
        <v>186</v>
      </c>
    </row>
    <row r="202" spans="1:21" x14ac:dyDescent="0.2">
      <c r="A202" s="2">
        <v>46010</v>
      </c>
      <c r="B202" s="2">
        <f t="shared" si="3"/>
        <v>45992</v>
      </c>
      <c r="C202" s="9">
        <v>0.58333333333333337</v>
      </c>
      <c r="D202" t="s">
        <v>174</v>
      </c>
      <c r="E202" t="s">
        <v>171</v>
      </c>
      <c r="F202">
        <v>8</v>
      </c>
      <c r="I202" t="s">
        <v>183</v>
      </c>
      <c r="Q202" t="s">
        <v>232</v>
      </c>
      <c r="R202" t="s">
        <v>274</v>
      </c>
    </row>
    <row r="203" spans="1:21" x14ac:dyDescent="0.2">
      <c r="A203" s="2">
        <v>46010</v>
      </c>
      <c r="B203" s="2">
        <f t="shared" si="3"/>
        <v>45992</v>
      </c>
      <c r="C203" s="9">
        <v>0.58333333333333337</v>
      </c>
      <c r="D203" t="s">
        <v>172</v>
      </c>
      <c r="E203" t="s">
        <v>171</v>
      </c>
      <c r="F203">
        <v>10</v>
      </c>
      <c r="G203" t="s">
        <v>122</v>
      </c>
      <c r="I203" t="s">
        <v>173</v>
      </c>
      <c r="K203" t="s">
        <v>273</v>
      </c>
      <c r="L203">
        <v>10</v>
      </c>
      <c r="M203" t="s">
        <v>272</v>
      </c>
      <c r="N203">
        <v>7211</v>
      </c>
      <c r="Q203" t="s">
        <v>186</v>
      </c>
    </row>
    <row r="204" spans="1:21" ht="170" x14ac:dyDescent="0.2">
      <c r="A204" s="2">
        <v>46029</v>
      </c>
      <c r="B204" s="2">
        <f t="shared" si="3"/>
        <v>46023</v>
      </c>
      <c r="C204" s="9">
        <v>0.45833333333333331</v>
      </c>
      <c r="D204" t="s">
        <v>185</v>
      </c>
      <c r="E204" t="s">
        <v>171</v>
      </c>
      <c r="F204">
        <v>14</v>
      </c>
      <c r="I204" t="s">
        <v>169</v>
      </c>
      <c r="Q204" t="s">
        <v>271</v>
      </c>
      <c r="R204" s="10" t="s">
        <v>270</v>
      </c>
      <c r="S204" t="s">
        <v>269</v>
      </c>
      <c r="U204" t="s">
        <v>268</v>
      </c>
    </row>
    <row r="205" spans="1:21" x14ac:dyDescent="0.2">
      <c r="A205" s="2">
        <v>46030</v>
      </c>
      <c r="B205" s="2">
        <f t="shared" si="3"/>
        <v>46023</v>
      </c>
      <c r="C205" s="9">
        <v>0.45833333333333331</v>
      </c>
      <c r="D205" t="s">
        <v>180</v>
      </c>
      <c r="E205" t="s">
        <v>171</v>
      </c>
      <c r="F205">
        <v>11</v>
      </c>
      <c r="G205" t="s">
        <v>122</v>
      </c>
      <c r="I205" t="s">
        <v>183</v>
      </c>
      <c r="L205">
        <v>10</v>
      </c>
      <c r="M205" t="s">
        <v>267</v>
      </c>
      <c r="N205">
        <v>7320</v>
      </c>
      <c r="Q205" t="s">
        <v>186</v>
      </c>
    </row>
    <row r="206" spans="1:21" x14ac:dyDescent="0.2">
      <c r="A206" s="2">
        <v>46030</v>
      </c>
      <c r="B206" s="2">
        <f t="shared" si="3"/>
        <v>46023</v>
      </c>
      <c r="C206" s="9">
        <v>0.5</v>
      </c>
      <c r="D206" t="s">
        <v>178</v>
      </c>
      <c r="E206" t="s">
        <v>171</v>
      </c>
      <c r="F206">
        <v>5</v>
      </c>
      <c r="I206" t="s">
        <v>188</v>
      </c>
      <c r="Q206" t="s">
        <v>232</v>
      </c>
      <c r="R206" t="s">
        <v>266</v>
      </c>
    </row>
    <row r="207" spans="1:21" x14ac:dyDescent="0.2">
      <c r="A207" s="2">
        <v>46030</v>
      </c>
      <c r="B207" s="2">
        <f t="shared" si="3"/>
        <v>46023</v>
      </c>
      <c r="C207" s="9">
        <v>0.54166666666666663</v>
      </c>
      <c r="D207" t="s">
        <v>174</v>
      </c>
      <c r="E207" t="s">
        <v>171</v>
      </c>
      <c r="F207">
        <v>8</v>
      </c>
      <c r="I207" t="s">
        <v>188</v>
      </c>
      <c r="K207" t="s">
        <v>265</v>
      </c>
      <c r="Q207" t="s">
        <v>192</v>
      </c>
    </row>
    <row r="208" spans="1:21" x14ac:dyDescent="0.2">
      <c r="A208" s="2">
        <v>46030</v>
      </c>
      <c r="B208" s="2">
        <f t="shared" si="3"/>
        <v>46023</v>
      </c>
      <c r="C208" s="9">
        <v>0.625</v>
      </c>
      <c r="D208" t="s">
        <v>193</v>
      </c>
      <c r="E208" t="s">
        <v>171</v>
      </c>
      <c r="F208">
        <v>13</v>
      </c>
      <c r="G208" t="s">
        <v>91</v>
      </c>
      <c r="I208" t="s">
        <v>188</v>
      </c>
      <c r="K208" t="s">
        <v>264</v>
      </c>
      <c r="L208">
        <v>8</v>
      </c>
      <c r="M208" t="s">
        <v>263</v>
      </c>
      <c r="N208">
        <v>7327</v>
      </c>
      <c r="Q208" t="s">
        <v>186</v>
      </c>
    </row>
    <row r="209" spans="1:22" x14ac:dyDescent="0.2">
      <c r="A209" s="2">
        <v>46031</v>
      </c>
      <c r="B209" s="2">
        <f t="shared" si="3"/>
        <v>46023</v>
      </c>
      <c r="C209" s="9">
        <v>0.41666666666666669</v>
      </c>
      <c r="D209" t="s">
        <v>174</v>
      </c>
      <c r="E209" t="s">
        <v>171</v>
      </c>
      <c r="F209">
        <v>8</v>
      </c>
      <c r="I209" t="s">
        <v>183</v>
      </c>
      <c r="Q209" t="s">
        <v>192</v>
      </c>
    </row>
    <row r="210" spans="1:22" x14ac:dyDescent="0.2">
      <c r="A210" s="2">
        <v>46034</v>
      </c>
      <c r="B210" s="2">
        <f t="shared" si="3"/>
        <v>46023</v>
      </c>
      <c r="C210" s="9">
        <v>0.54166666666666663</v>
      </c>
      <c r="D210" t="s">
        <v>195</v>
      </c>
      <c r="E210" t="s">
        <v>171</v>
      </c>
      <c r="F210">
        <v>17</v>
      </c>
      <c r="G210" t="s">
        <v>119</v>
      </c>
      <c r="I210" t="s">
        <v>183</v>
      </c>
      <c r="L210">
        <v>10</v>
      </c>
      <c r="M210" t="s">
        <v>262</v>
      </c>
      <c r="N210">
        <v>7368</v>
      </c>
      <c r="Q210" t="s">
        <v>186</v>
      </c>
    </row>
    <row r="211" spans="1:22" x14ac:dyDescent="0.2">
      <c r="A211" s="2">
        <v>46036</v>
      </c>
      <c r="B211" s="2">
        <f t="shared" si="3"/>
        <v>46023</v>
      </c>
      <c r="C211" s="9">
        <v>0.45833333333333331</v>
      </c>
      <c r="D211" t="s">
        <v>185</v>
      </c>
      <c r="E211" t="s">
        <v>171</v>
      </c>
      <c r="F211">
        <v>14</v>
      </c>
      <c r="G211" t="s">
        <v>181</v>
      </c>
      <c r="I211" t="s">
        <v>183</v>
      </c>
      <c r="L211">
        <v>10</v>
      </c>
      <c r="M211" t="s">
        <v>261</v>
      </c>
      <c r="N211">
        <v>7402</v>
      </c>
      <c r="Q211" t="s">
        <v>186</v>
      </c>
    </row>
    <row r="212" spans="1:22" x14ac:dyDescent="0.2">
      <c r="A212" s="2">
        <v>46036</v>
      </c>
      <c r="B212" s="2">
        <f t="shared" si="3"/>
        <v>46023</v>
      </c>
      <c r="C212" s="9">
        <v>0.58333333333333337</v>
      </c>
      <c r="D212" t="s">
        <v>197</v>
      </c>
      <c r="E212" t="s">
        <v>171</v>
      </c>
      <c r="F212">
        <v>15</v>
      </c>
      <c r="Q212" t="s">
        <v>200</v>
      </c>
      <c r="R212" t="s">
        <v>260</v>
      </c>
    </row>
    <row r="213" spans="1:22" x14ac:dyDescent="0.2">
      <c r="A213" s="2">
        <v>46037</v>
      </c>
      <c r="B213" s="2">
        <f t="shared" si="3"/>
        <v>46023</v>
      </c>
      <c r="C213" s="9">
        <v>0.5</v>
      </c>
      <c r="D213" t="s">
        <v>178</v>
      </c>
      <c r="E213" t="s">
        <v>171</v>
      </c>
      <c r="F213">
        <v>5</v>
      </c>
      <c r="G213" t="s">
        <v>246</v>
      </c>
      <c r="I213" t="s">
        <v>183</v>
      </c>
      <c r="L213">
        <v>10</v>
      </c>
      <c r="M213" t="s">
        <v>259</v>
      </c>
      <c r="N213">
        <v>7427</v>
      </c>
      <c r="Q213" t="s">
        <v>186</v>
      </c>
    </row>
    <row r="214" spans="1:22" x14ac:dyDescent="0.2">
      <c r="A214" s="2">
        <v>46038</v>
      </c>
      <c r="B214" s="2">
        <f t="shared" si="3"/>
        <v>46023</v>
      </c>
      <c r="C214" s="9">
        <v>0.41666666666666669</v>
      </c>
      <c r="D214" t="s">
        <v>174</v>
      </c>
      <c r="E214" t="s">
        <v>171</v>
      </c>
      <c r="F214">
        <v>8</v>
      </c>
      <c r="G214" t="s">
        <v>251</v>
      </c>
      <c r="H214" t="s">
        <v>176</v>
      </c>
      <c r="I214" t="s">
        <v>216</v>
      </c>
      <c r="L214">
        <v>10</v>
      </c>
      <c r="Q214" t="s">
        <v>186</v>
      </c>
    </row>
    <row r="215" spans="1:22" x14ac:dyDescent="0.2">
      <c r="A215" s="2">
        <v>46038</v>
      </c>
      <c r="B215" s="2">
        <f t="shared" si="3"/>
        <v>46023</v>
      </c>
      <c r="C215" s="9">
        <v>0.5</v>
      </c>
      <c r="D215" t="s">
        <v>189</v>
      </c>
      <c r="E215" t="s">
        <v>171</v>
      </c>
      <c r="F215">
        <v>13</v>
      </c>
      <c r="G215" t="s">
        <v>122</v>
      </c>
      <c r="I215" t="s">
        <v>169</v>
      </c>
      <c r="L215">
        <v>10</v>
      </c>
      <c r="M215" t="s">
        <v>258</v>
      </c>
      <c r="N215">
        <v>7449</v>
      </c>
      <c r="Q215" t="s">
        <v>186</v>
      </c>
    </row>
    <row r="216" spans="1:22" x14ac:dyDescent="0.2">
      <c r="A216" s="2">
        <v>46038</v>
      </c>
      <c r="B216" s="2">
        <f t="shared" si="3"/>
        <v>46023</v>
      </c>
      <c r="C216" s="9">
        <v>0.54166666666666663</v>
      </c>
      <c r="D216" t="s">
        <v>197</v>
      </c>
      <c r="E216" t="s">
        <v>171</v>
      </c>
      <c r="F216">
        <v>15</v>
      </c>
      <c r="G216" t="s">
        <v>257</v>
      </c>
      <c r="I216" t="s">
        <v>173</v>
      </c>
      <c r="L216">
        <v>10</v>
      </c>
      <c r="M216" t="s">
        <v>256</v>
      </c>
      <c r="N216">
        <v>7450</v>
      </c>
      <c r="Q216" t="s">
        <v>186</v>
      </c>
    </row>
    <row r="217" spans="1:22" x14ac:dyDescent="0.2">
      <c r="A217" s="2">
        <v>46038</v>
      </c>
      <c r="B217" s="2">
        <f t="shared" si="3"/>
        <v>46023</v>
      </c>
      <c r="C217" s="9">
        <v>0.58333333333333337</v>
      </c>
      <c r="D217" t="s">
        <v>172</v>
      </c>
      <c r="E217" t="s">
        <v>171</v>
      </c>
      <c r="F217">
        <v>10</v>
      </c>
      <c r="I217" t="s">
        <v>169</v>
      </c>
      <c r="Q217" t="s">
        <v>192</v>
      </c>
    </row>
    <row r="218" spans="1:22" x14ac:dyDescent="0.2">
      <c r="A218" s="2">
        <v>46043</v>
      </c>
      <c r="B218" s="2">
        <f t="shared" si="3"/>
        <v>46023</v>
      </c>
      <c r="C218" s="9">
        <v>0.54166666666666663</v>
      </c>
      <c r="D218" t="s">
        <v>198</v>
      </c>
      <c r="E218" t="s">
        <v>171</v>
      </c>
      <c r="F218">
        <v>16</v>
      </c>
      <c r="G218" t="s">
        <v>230</v>
      </c>
      <c r="I218" t="s">
        <v>183</v>
      </c>
      <c r="K218" t="s">
        <v>255</v>
      </c>
      <c r="L218">
        <v>10</v>
      </c>
      <c r="N218">
        <v>7486</v>
      </c>
      <c r="Q218" t="s">
        <v>186</v>
      </c>
    </row>
    <row r="219" spans="1:22" x14ac:dyDescent="0.2">
      <c r="A219" s="2">
        <v>46044</v>
      </c>
      <c r="B219" s="2">
        <f t="shared" si="3"/>
        <v>46023</v>
      </c>
      <c r="C219" s="9">
        <v>0.41666666666666669</v>
      </c>
      <c r="D219" t="s">
        <v>182</v>
      </c>
      <c r="E219" t="s">
        <v>171</v>
      </c>
      <c r="F219">
        <v>12</v>
      </c>
      <c r="G219" t="s">
        <v>91</v>
      </c>
      <c r="I219" t="s">
        <v>173</v>
      </c>
      <c r="L219">
        <v>9</v>
      </c>
      <c r="M219" t="s">
        <v>254</v>
      </c>
      <c r="N219">
        <v>7497</v>
      </c>
      <c r="Q219" t="s">
        <v>186</v>
      </c>
    </row>
    <row r="220" spans="1:22" x14ac:dyDescent="0.2">
      <c r="A220" s="2">
        <v>46044</v>
      </c>
      <c r="B220" s="2">
        <f t="shared" si="3"/>
        <v>46023</v>
      </c>
      <c r="C220" s="9">
        <v>0.45833333333333331</v>
      </c>
      <c r="D220" t="s">
        <v>180</v>
      </c>
      <c r="E220" t="s">
        <v>171</v>
      </c>
      <c r="F220">
        <v>11</v>
      </c>
      <c r="I220" t="s">
        <v>183</v>
      </c>
      <c r="Q220" t="s">
        <v>192</v>
      </c>
    </row>
    <row r="221" spans="1:22" x14ac:dyDescent="0.2">
      <c r="A221" s="2">
        <v>46044</v>
      </c>
      <c r="B221" s="2">
        <f t="shared" si="3"/>
        <v>46023</v>
      </c>
      <c r="C221" s="9">
        <v>0.58333333333333337</v>
      </c>
      <c r="D221" t="s">
        <v>193</v>
      </c>
      <c r="E221" t="s">
        <v>171</v>
      </c>
      <c r="F221">
        <v>13</v>
      </c>
      <c r="G221" t="s">
        <v>238</v>
      </c>
      <c r="I221" t="s">
        <v>173</v>
      </c>
      <c r="K221" t="s">
        <v>253</v>
      </c>
      <c r="L221">
        <v>10</v>
      </c>
      <c r="Q221" t="s">
        <v>186</v>
      </c>
      <c r="V221" t="s">
        <v>252</v>
      </c>
    </row>
    <row r="222" spans="1:22" x14ac:dyDescent="0.2">
      <c r="A222" s="2">
        <v>46045</v>
      </c>
      <c r="B222" s="2">
        <f t="shared" si="3"/>
        <v>46023</v>
      </c>
      <c r="C222" s="9">
        <v>0.41666666666666669</v>
      </c>
      <c r="D222" t="s">
        <v>174</v>
      </c>
      <c r="E222" t="s">
        <v>171</v>
      </c>
      <c r="F222">
        <v>8</v>
      </c>
      <c r="G222" t="s">
        <v>251</v>
      </c>
      <c r="H222" t="s">
        <v>176</v>
      </c>
      <c r="I222" t="s">
        <v>216</v>
      </c>
      <c r="L222">
        <v>10</v>
      </c>
      <c r="M222" t="s">
        <v>250</v>
      </c>
      <c r="N222">
        <v>7514</v>
      </c>
      <c r="Q222" t="s">
        <v>186</v>
      </c>
    </row>
    <row r="223" spans="1:22" x14ac:dyDescent="0.2">
      <c r="A223" s="2">
        <v>46050</v>
      </c>
      <c r="B223" s="2">
        <f t="shared" si="3"/>
        <v>46023</v>
      </c>
      <c r="C223" s="9">
        <v>0.45833333333333331</v>
      </c>
      <c r="D223" t="s">
        <v>185</v>
      </c>
      <c r="E223" t="s">
        <v>171</v>
      </c>
      <c r="F223">
        <v>14</v>
      </c>
      <c r="G223" t="s">
        <v>122</v>
      </c>
      <c r="I223" t="s">
        <v>173</v>
      </c>
      <c r="L223">
        <v>9</v>
      </c>
      <c r="M223" t="s">
        <v>249</v>
      </c>
      <c r="N223">
        <v>7543</v>
      </c>
      <c r="Q223" t="s">
        <v>186</v>
      </c>
    </row>
    <row r="224" spans="1:22" x14ac:dyDescent="0.2">
      <c r="A224" s="2">
        <v>46050</v>
      </c>
      <c r="B224" s="2">
        <f t="shared" si="3"/>
        <v>46023</v>
      </c>
      <c r="C224" s="9">
        <v>0.58333333333333337</v>
      </c>
      <c r="D224" t="s">
        <v>197</v>
      </c>
      <c r="E224" t="s">
        <v>171</v>
      </c>
      <c r="F224">
        <v>15</v>
      </c>
      <c r="G224" t="s">
        <v>248</v>
      </c>
      <c r="I224" t="s">
        <v>216</v>
      </c>
      <c r="K224" t="s">
        <v>247</v>
      </c>
      <c r="L224" t="s">
        <v>237</v>
      </c>
      <c r="Q224" t="s">
        <v>186</v>
      </c>
    </row>
    <row r="225" spans="1:20" x14ac:dyDescent="0.2">
      <c r="A225" s="2">
        <v>46051</v>
      </c>
      <c r="B225" s="2">
        <f t="shared" si="3"/>
        <v>46023</v>
      </c>
      <c r="C225" s="9">
        <v>0.41666666666666669</v>
      </c>
      <c r="D225" t="s">
        <v>174</v>
      </c>
      <c r="E225" t="s">
        <v>171</v>
      </c>
      <c r="F225">
        <v>8</v>
      </c>
      <c r="G225" t="s">
        <v>246</v>
      </c>
      <c r="I225" t="s">
        <v>183</v>
      </c>
      <c r="L225">
        <v>10</v>
      </c>
      <c r="M225" t="s">
        <v>245</v>
      </c>
      <c r="N225">
        <v>7553</v>
      </c>
      <c r="Q225" t="s">
        <v>186</v>
      </c>
    </row>
    <row r="226" spans="1:20" x14ac:dyDescent="0.2">
      <c r="A226" s="2">
        <v>46051</v>
      </c>
      <c r="B226" s="2">
        <f t="shared" si="3"/>
        <v>46023</v>
      </c>
      <c r="C226" s="9">
        <v>0.5</v>
      </c>
      <c r="D226" t="s">
        <v>178</v>
      </c>
      <c r="E226" t="s">
        <v>171</v>
      </c>
      <c r="F226">
        <v>5</v>
      </c>
      <c r="I226" t="s">
        <v>188</v>
      </c>
      <c r="Q226" t="s">
        <v>192</v>
      </c>
      <c r="R226" t="s">
        <v>244</v>
      </c>
    </row>
    <row r="227" spans="1:20" x14ac:dyDescent="0.2">
      <c r="A227" s="2">
        <v>46052</v>
      </c>
      <c r="B227" s="2">
        <f t="shared" si="3"/>
        <v>46023</v>
      </c>
      <c r="C227" s="9">
        <v>0.5</v>
      </c>
      <c r="D227" t="s">
        <v>189</v>
      </c>
      <c r="E227" t="s">
        <v>171</v>
      </c>
      <c r="F227">
        <v>13</v>
      </c>
      <c r="G227" t="s">
        <v>218</v>
      </c>
      <c r="I227" t="s">
        <v>169</v>
      </c>
      <c r="K227" t="s">
        <v>187</v>
      </c>
      <c r="L227">
        <v>9</v>
      </c>
      <c r="M227" t="s">
        <v>243</v>
      </c>
      <c r="Q227" t="s">
        <v>186</v>
      </c>
    </row>
    <row r="228" spans="1:20" x14ac:dyDescent="0.2">
      <c r="A228" s="2">
        <v>46052</v>
      </c>
      <c r="B228" s="2">
        <f t="shared" si="3"/>
        <v>46023</v>
      </c>
      <c r="C228" s="9">
        <v>0.58333333333333337</v>
      </c>
      <c r="D228" t="s">
        <v>172</v>
      </c>
      <c r="E228" t="s">
        <v>171</v>
      </c>
      <c r="F228">
        <v>10</v>
      </c>
      <c r="Q228" t="s">
        <v>191</v>
      </c>
      <c r="R228" t="s">
        <v>242</v>
      </c>
    </row>
    <row r="229" spans="1:20" x14ac:dyDescent="0.2">
      <c r="A229" s="2">
        <v>46055</v>
      </c>
      <c r="B229" s="2">
        <f t="shared" si="3"/>
        <v>46054</v>
      </c>
      <c r="C229" s="9">
        <v>0.54166666666666663</v>
      </c>
      <c r="D229" t="s">
        <v>195</v>
      </c>
      <c r="E229" t="s">
        <v>171</v>
      </c>
      <c r="F229">
        <v>17</v>
      </c>
      <c r="Q229" t="s">
        <v>200</v>
      </c>
      <c r="R229" t="s">
        <v>241</v>
      </c>
      <c r="S229" t="s">
        <v>240</v>
      </c>
    </row>
    <row r="230" spans="1:20" x14ac:dyDescent="0.2">
      <c r="A230" s="2">
        <v>46057</v>
      </c>
      <c r="B230" s="2">
        <f t="shared" si="3"/>
        <v>46054</v>
      </c>
      <c r="C230" s="9">
        <v>0.54166666666666663</v>
      </c>
      <c r="D230" t="s">
        <v>198</v>
      </c>
      <c r="E230" t="s">
        <v>171</v>
      </c>
      <c r="F230">
        <v>16</v>
      </c>
      <c r="G230" t="s">
        <v>209</v>
      </c>
      <c r="I230" t="s">
        <v>173</v>
      </c>
      <c r="L230">
        <v>8</v>
      </c>
      <c r="Q230" t="s">
        <v>186</v>
      </c>
      <c r="S230" t="s">
        <v>239</v>
      </c>
      <c r="T230" t="s">
        <v>176</v>
      </c>
    </row>
    <row r="231" spans="1:20" x14ac:dyDescent="0.2">
      <c r="A231" s="2">
        <v>46057</v>
      </c>
      <c r="B231" s="2">
        <f t="shared" si="3"/>
        <v>46054</v>
      </c>
      <c r="C231" s="9">
        <v>0.54166666666666663</v>
      </c>
      <c r="D231" t="s">
        <v>195</v>
      </c>
      <c r="E231" t="s">
        <v>171</v>
      </c>
      <c r="F231">
        <v>17</v>
      </c>
      <c r="G231" t="s">
        <v>238</v>
      </c>
      <c r="I231" t="s">
        <v>188</v>
      </c>
      <c r="L231" t="s">
        <v>237</v>
      </c>
      <c r="M231" t="s">
        <v>236</v>
      </c>
      <c r="Q231" t="s">
        <v>186</v>
      </c>
    </row>
    <row r="232" spans="1:20" x14ac:dyDescent="0.2">
      <c r="A232" s="2">
        <v>46058</v>
      </c>
      <c r="B232" s="2">
        <f t="shared" si="3"/>
        <v>46054</v>
      </c>
      <c r="C232" s="9">
        <v>0.41666666666666669</v>
      </c>
      <c r="D232" t="s">
        <v>182</v>
      </c>
      <c r="E232" t="s">
        <v>171</v>
      </c>
      <c r="F232">
        <v>12</v>
      </c>
      <c r="G232" t="s">
        <v>122</v>
      </c>
      <c r="I232" t="s">
        <v>173</v>
      </c>
      <c r="L232">
        <v>9</v>
      </c>
      <c r="M232" t="s">
        <v>235</v>
      </c>
      <c r="N232">
        <v>7631</v>
      </c>
      <c r="Q232" t="s">
        <v>186</v>
      </c>
    </row>
    <row r="233" spans="1:20" x14ac:dyDescent="0.2">
      <c r="A233" s="2">
        <v>46058</v>
      </c>
      <c r="B233" s="2">
        <f t="shared" si="3"/>
        <v>46054</v>
      </c>
      <c r="C233" s="9">
        <v>0.45833333333333331</v>
      </c>
      <c r="D233" t="s">
        <v>180</v>
      </c>
      <c r="E233" t="s">
        <v>171</v>
      </c>
      <c r="F233">
        <v>11</v>
      </c>
      <c r="I233" t="s">
        <v>183</v>
      </c>
      <c r="Q233" t="s">
        <v>192</v>
      </c>
    </row>
    <row r="234" spans="1:20" x14ac:dyDescent="0.2">
      <c r="A234" s="2">
        <v>46058</v>
      </c>
      <c r="B234" s="2">
        <f t="shared" si="3"/>
        <v>46054</v>
      </c>
      <c r="C234" s="9">
        <v>0.5</v>
      </c>
      <c r="D234" t="s">
        <v>178</v>
      </c>
      <c r="E234" t="s">
        <v>171</v>
      </c>
      <c r="F234">
        <v>5</v>
      </c>
      <c r="I234" t="s">
        <v>188</v>
      </c>
      <c r="Q234" t="s">
        <v>192</v>
      </c>
    </row>
    <row r="235" spans="1:20" x14ac:dyDescent="0.2">
      <c r="A235" s="2">
        <v>46058</v>
      </c>
      <c r="B235" s="2">
        <f t="shared" si="3"/>
        <v>46054</v>
      </c>
      <c r="C235" s="9">
        <v>0.58333333333333337</v>
      </c>
      <c r="D235" t="s">
        <v>193</v>
      </c>
      <c r="E235" t="s">
        <v>171</v>
      </c>
      <c r="F235">
        <v>13</v>
      </c>
      <c r="I235" t="s">
        <v>188</v>
      </c>
      <c r="Q235" t="s">
        <v>192</v>
      </c>
      <c r="R235" t="s">
        <v>234</v>
      </c>
    </row>
    <row r="236" spans="1:20" x14ac:dyDescent="0.2">
      <c r="A236" s="2">
        <v>46059</v>
      </c>
      <c r="B236" s="2">
        <f t="shared" si="3"/>
        <v>46054</v>
      </c>
      <c r="C236" s="9">
        <v>0.41666666666666669</v>
      </c>
      <c r="D236" t="s">
        <v>174</v>
      </c>
      <c r="E236" t="s">
        <v>171</v>
      </c>
      <c r="F236">
        <v>8</v>
      </c>
      <c r="G236" t="s">
        <v>67</v>
      </c>
      <c r="I236" t="s">
        <v>203</v>
      </c>
      <c r="L236">
        <v>9</v>
      </c>
      <c r="M236" t="s">
        <v>233</v>
      </c>
      <c r="N236">
        <v>7645</v>
      </c>
      <c r="Q236" t="s">
        <v>186</v>
      </c>
    </row>
    <row r="237" spans="1:20" x14ac:dyDescent="0.2">
      <c r="A237" s="2">
        <v>46059</v>
      </c>
      <c r="B237" s="2">
        <f t="shared" si="3"/>
        <v>46054</v>
      </c>
      <c r="C237" s="9">
        <v>0.58333333333333337</v>
      </c>
      <c r="D237" t="s">
        <v>172</v>
      </c>
      <c r="E237" t="s">
        <v>171</v>
      </c>
      <c r="F237">
        <v>10</v>
      </c>
      <c r="I237" t="s">
        <v>169</v>
      </c>
      <c r="Q237" t="s">
        <v>192</v>
      </c>
    </row>
    <row r="238" spans="1:20" x14ac:dyDescent="0.2">
      <c r="A238" s="2">
        <v>46064</v>
      </c>
      <c r="B238" s="2">
        <f t="shared" si="3"/>
        <v>46054</v>
      </c>
      <c r="C238" s="9">
        <v>0.58333333333333337</v>
      </c>
      <c r="D238" t="s">
        <v>197</v>
      </c>
      <c r="E238" t="s">
        <v>171</v>
      </c>
      <c r="F238">
        <v>15</v>
      </c>
      <c r="I238" t="s">
        <v>203</v>
      </c>
      <c r="Q238" t="s">
        <v>232</v>
      </c>
      <c r="R238" t="s">
        <v>231</v>
      </c>
    </row>
    <row r="239" spans="1:20" x14ac:dyDescent="0.2">
      <c r="A239" s="2">
        <v>46065</v>
      </c>
      <c r="B239" s="2">
        <f t="shared" si="3"/>
        <v>46054</v>
      </c>
      <c r="C239" s="9">
        <v>0.5</v>
      </c>
      <c r="D239" t="s">
        <v>178</v>
      </c>
      <c r="E239" t="s">
        <v>171</v>
      </c>
      <c r="F239">
        <v>5</v>
      </c>
      <c r="I239" t="s">
        <v>173</v>
      </c>
      <c r="K239" t="s">
        <v>226</v>
      </c>
      <c r="Q239" t="s">
        <v>192</v>
      </c>
    </row>
    <row r="240" spans="1:20" ht="153" x14ac:dyDescent="0.2">
      <c r="A240" s="2">
        <v>46065</v>
      </c>
      <c r="B240" s="2">
        <f t="shared" si="3"/>
        <v>46054</v>
      </c>
      <c r="C240" s="9">
        <v>0.58333333333333337</v>
      </c>
      <c r="D240" t="s">
        <v>197</v>
      </c>
      <c r="E240" t="s">
        <v>171</v>
      </c>
      <c r="F240">
        <v>15</v>
      </c>
      <c r="G240" t="s">
        <v>230</v>
      </c>
      <c r="I240" t="s">
        <v>203</v>
      </c>
      <c r="K240" t="s">
        <v>229</v>
      </c>
      <c r="L240">
        <v>10</v>
      </c>
      <c r="M240" s="10" t="s">
        <v>228</v>
      </c>
      <c r="N240">
        <v>7702</v>
      </c>
      <c r="Q240" t="s">
        <v>186</v>
      </c>
    </row>
    <row r="241" spans="1:18" x14ac:dyDescent="0.2">
      <c r="A241" s="2">
        <v>46066</v>
      </c>
      <c r="B241" s="2">
        <f t="shared" si="3"/>
        <v>46054</v>
      </c>
      <c r="C241" s="9">
        <v>0.41666666666666669</v>
      </c>
      <c r="D241" t="s">
        <v>174</v>
      </c>
      <c r="E241" t="s">
        <v>171</v>
      </c>
      <c r="F241">
        <v>8</v>
      </c>
      <c r="G241" t="s">
        <v>227</v>
      </c>
      <c r="H241" t="s">
        <v>176</v>
      </c>
      <c r="I241" t="s">
        <v>183</v>
      </c>
      <c r="K241" t="s">
        <v>226</v>
      </c>
      <c r="L241">
        <v>10</v>
      </c>
      <c r="M241" t="s">
        <v>225</v>
      </c>
      <c r="N241">
        <v>7718</v>
      </c>
      <c r="Q241" t="s">
        <v>186</v>
      </c>
    </row>
    <row r="242" spans="1:18" x14ac:dyDescent="0.2">
      <c r="A242" s="2">
        <v>46066</v>
      </c>
      <c r="B242" s="2">
        <f t="shared" si="3"/>
        <v>46054</v>
      </c>
      <c r="C242" s="9">
        <v>0.5</v>
      </c>
      <c r="D242" t="s">
        <v>189</v>
      </c>
      <c r="E242" t="s">
        <v>171</v>
      </c>
      <c r="F242">
        <v>13</v>
      </c>
      <c r="G242" t="s">
        <v>170</v>
      </c>
      <c r="I242" t="s">
        <v>173</v>
      </c>
      <c r="K242" t="s">
        <v>224</v>
      </c>
      <c r="L242">
        <v>10</v>
      </c>
      <c r="M242" t="s">
        <v>223</v>
      </c>
      <c r="N242">
        <v>7721</v>
      </c>
      <c r="Q242" t="s">
        <v>186</v>
      </c>
    </row>
    <row r="243" spans="1:18" x14ac:dyDescent="0.2">
      <c r="A243" s="2">
        <v>46066</v>
      </c>
      <c r="B243" s="2">
        <f t="shared" si="3"/>
        <v>46054</v>
      </c>
      <c r="C243" s="9">
        <v>0.58333333333333337</v>
      </c>
      <c r="D243" t="s">
        <v>193</v>
      </c>
      <c r="E243" t="s">
        <v>171</v>
      </c>
      <c r="F243">
        <v>13</v>
      </c>
      <c r="G243" t="s">
        <v>181</v>
      </c>
      <c r="I243" t="s">
        <v>169</v>
      </c>
      <c r="L243">
        <v>8</v>
      </c>
      <c r="M243" t="s">
        <v>222</v>
      </c>
      <c r="N243">
        <v>7722</v>
      </c>
      <c r="Q243" t="s">
        <v>186</v>
      </c>
    </row>
    <row r="244" spans="1:18" x14ac:dyDescent="0.2">
      <c r="A244" s="2">
        <v>46069</v>
      </c>
      <c r="B244" s="2">
        <f t="shared" si="3"/>
        <v>46054</v>
      </c>
      <c r="C244" s="9">
        <v>0.54166666666666663</v>
      </c>
      <c r="D244" t="s">
        <v>195</v>
      </c>
      <c r="E244" t="s">
        <v>171</v>
      </c>
      <c r="F244">
        <v>17</v>
      </c>
      <c r="Q244" t="s">
        <v>191</v>
      </c>
      <c r="R244" t="s">
        <v>221</v>
      </c>
    </row>
    <row r="245" spans="1:18" x14ac:dyDescent="0.2">
      <c r="A245" s="2">
        <v>46071</v>
      </c>
      <c r="B245" s="2">
        <f t="shared" si="3"/>
        <v>46054</v>
      </c>
      <c r="C245" s="9">
        <v>0.45833333333333331</v>
      </c>
      <c r="D245" t="s">
        <v>185</v>
      </c>
      <c r="E245" t="s">
        <v>171</v>
      </c>
      <c r="F245">
        <v>14</v>
      </c>
      <c r="G245" t="s">
        <v>218</v>
      </c>
      <c r="I245" t="s">
        <v>173</v>
      </c>
      <c r="L245">
        <v>10</v>
      </c>
      <c r="M245" t="s">
        <v>220</v>
      </c>
      <c r="Q245" t="s">
        <v>186</v>
      </c>
    </row>
    <row r="246" spans="1:18" x14ac:dyDescent="0.2">
      <c r="A246" s="2">
        <v>46071</v>
      </c>
      <c r="B246" s="2">
        <f t="shared" si="3"/>
        <v>46054</v>
      </c>
      <c r="C246" s="9">
        <v>0.54166666666666663</v>
      </c>
      <c r="D246" t="s">
        <v>198</v>
      </c>
      <c r="E246" t="s">
        <v>171</v>
      </c>
      <c r="F246">
        <v>16</v>
      </c>
      <c r="Q246" t="s">
        <v>200</v>
      </c>
      <c r="R246" t="s">
        <v>219</v>
      </c>
    </row>
    <row r="247" spans="1:18" x14ac:dyDescent="0.2">
      <c r="A247" s="2">
        <v>46072</v>
      </c>
      <c r="B247" s="2">
        <f t="shared" si="3"/>
        <v>46054</v>
      </c>
      <c r="C247" s="9">
        <v>0.41666666666666669</v>
      </c>
      <c r="D247" t="s">
        <v>182</v>
      </c>
      <c r="E247" t="s">
        <v>171</v>
      </c>
      <c r="F247">
        <v>12</v>
      </c>
      <c r="G247" t="s">
        <v>218</v>
      </c>
      <c r="I247" t="s">
        <v>173</v>
      </c>
      <c r="L247">
        <v>10</v>
      </c>
      <c r="M247" t="s">
        <v>217</v>
      </c>
      <c r="Q247" t="s">
        <v>186</v>
      </c>
    </row>
    <row r="248" spans="1:18" x14ac:dyDescent="0.2">
      <c r="A248" s="2">
        <v>46072</v>
      </c>
      <c r="B248" s="2">
        <f t="shared" si="3"/>
        <v>46054</v>
      </c>
      <c r="C248" s="9">
        <v>0.45833333333333331</v>
      </c>
      <c r="D248" t="s">
        <v>180</v>
      </c>
      <c r="E248" t="s">
        <v>171</v>
      </c>
      <c r="F248">
        <v>11</v>
      </c>
      <c r="I248" t="s">
        <v>216</v>
      </c>
      <c r="Q248" t="s">
        <v>192</v>
      </c>
    </row>
    <row r="249" spans="1:18" x14ac:dyDescent="0.2">
      <c r="A249" s="2">
        <v>46072</v>
      </c>
      <c r="B249" s="2">
        <f t="shared" si="3"/>
        <v>46054</v>
      </c>
      <c r="C249" s="9">
        <v>0.5</v>
      </c>
      <c r="D249" t="s">
        <v>178</v>
      </c>
      <c r="E249" t="s">
        <v>171</v>
      </c>
      <c r="F249">
        <v>5</v>
      </c>
      <c r="I249" t="s">
        <v>173</v>
      </c>
      <c r="Q249" t="s">
        <v>192</v>
      </c>
    </row>
    <row r="250" spans="1:18" x14ac:dyDescent="0.2">
      <c r="A250" s="2">
        <v>46072</v>
      </c>
      <c r="B250" s="2">
        <f t="shared" si="3"/>
        <v>46054</v>
      </c>
      <c r="C250" s="9">
        <v>0.58333333333333337</v>
      </c>
      <c r="D250" t="s">
        <v>198</v>
      </c>
      <c r="E250" t="s">
        <v>171</v>
      </c>
      <c r="F250">
        <v>16</v>
      </c>
      <c r="G250" t="s">
        <v>170</v>
      </c>
      <c r="I250" t="s">
        <v>188</v>
      </c>
      <c r="L250">
        <v>8</v>
      </c>
      <c r="M250" t="s">
        <v>215</v>
      </c>
      <c r="N250">
        <v>7774</v>
      </c>
      <c r="Q250" t="s">
        <v>186</v>
      </c>
    </row>
    <row r="251" spans="1:18" x14ac:dyDescent="0.2">
      <c r="A251" s="2">
        <v>46073</v>
      </c>
      <c r="B251" s="2">
        <f t="shared" si="3"/>
        <v>46054</v>
      </c>
      <c r="C251" s="9">
        <v>0.58333333333333337</v>
      </c>
      <c r="D251" t="s">
        <v>172</v>
      </c>
      <c r="E251" t="s">
        <v>171</v>
      </c>
      <c r="F251">
        <v>10</v>
      </c>
      <c r="G251" t="s">
        <v>181</v>
      </c>
      <c r="I251" t="s">
        <v>169</v>
      </c>
      <c r="L251">
        <v>10</v>
      </c>
      <c r="M251" t="s">
        <v>214</v>
      </c>
      <c r="N251">
        <v>7786</v>
      </c>
      <c r="Q251" t="s">
        <v>186</v>
      </c>
    </row>
    <row r="252" spans="1:18" ht="170" x14ac:dyDescent="0.2">
      <c r="A252" s="2">
        <v>46076</v>
      </c>
      <c r="B252" s="2">
        <f t="shared" si="3"/>
        <v>46054</v>
      </c>
      <c r="C252" s="9">
        <v>0.54166666666666663</v>
      </c>
      <c r="D252" t="s">
        <v>195</v>
      </c>
      <c r="E252" t="s">
        <v>171</v>
      </c>
      <c r="F252">
        <v>17</v>
      </c>
      <c r="G252" t="s">
        <v>170</v>
      </c>
      <c r="I252" t="s">
        <v>169</v>
      </c>
      <c r="L252">
        <v>10</v>
      </c>
      <c r="M252" s="10" t="s">
        <v>213</v>
      </c>
      <c r="N252">
        <v>7796</v>
      </c>
      <c r="Q252" t="s">
        <v>186</v>
      </c>
    </row>
    <row r="253" spans="1:18" x14ac:dyDescent="0.2">
      <c r="A253" s="2">
        <v>46078</v>
      </c>
      <c r="B253" s="2">
        <f t="shared" si="3"/>
        <v>46054</v>
      </c>
      <c r="C253" s="9">
        <v>0.58333333333333337</v>
      </c>
      <c r="D253" t="s">
        <v>197</v>
      </c>
      <c r="E253" t="s">
        <v>171</v>
      </c>
      <c r="F253">
        <v>15</v>
      </c>
      <c r="Q253" t="s">
        <v>200</v>
      </c>
      <c r="R253" t="s">
        <v>212</v>
      </c>
    </row>
    <row r="254" spans="1:18" x14ac:dyDescent="0.2">
      <c r="A254" s="2">
        <v>46079</v>
      </c>
      <c r="B254" s="2">
        <f t="shared" si="3"/>
        <v>46054</v>
      </c>
      <c r="C254" s="9">
        <v>0.5</v>
      </c>
      <c r="D254" t="s">
        <v>178</v>
      </c>
      <c r="E254" t="s">
        <v>171</v>
      </c>
      <c r="F254">
        <v>5</v>
      </c>
      <c r="I254" t="s">
        <v>173</v>
      </c>
      <c r="Q254" t="s">
        <v>192</v>
      </c>
    </row>
    <row r="255" spans="1:18" x14ac:dyDescent="0.2">
      <c r="A255" s="2">
        <v>46079</v>
      </c>
      <c r="B255" s="2">
        <f t="shared" si="3"/>
        <v>46054</v>
      </c>
      <c r="C255" s="9">
        <v>0.58333333333333337</v>
      </c>
      <c r="D255" t="s">
        <v>193</v>
      </c>
      <c r="E255" t="s">
        <v>171</v>
      </c>
      <c r="F255">
        <v>13</v>
      </c>
      <c r="G255" t="s">
        <v>122</v>
      </c>
      <c r="I255" t="s">
        <v>173</v>
      </c>
      <c r="K255" t="s">
        <v>211</v>
      </c>
      <c r="L255">
        <v>9</v>
      </c>
      <c r="M255" t="s">
        <v>210</v>
      </c>
      <c r="N255">
        <v>7826</v>
      </c>
      <c r="Q255" t="s">
        <v>186</v>
      </c>
    </row>
    <row r="256" spans="1:18" x14ac:dyDescent="0.2">
      <c r="A256" s="2">
        <v>46079</v>
      </c>
      <c r="B256" s="2">
        <f t="shared" si="3"/>
        <v>46054</v>
      </c>
      <c r="C256" s="9">
        <v>0.58333333333333337</v>
      </c>
      <c r="D256" t="s">
        <v>197</v>
      </c>
      <c r="E256" t="s">
        <v>171</v>
      </c>
      <c r="F256">
        <v>15</v>
      </c>
      <c r="G256" t="s">
        <v>209</v>
      </c>
      <c r="I256" t="s">
        <v>203</v>
      </c>
      <c r="L256">
        <v>10</v>
      </c>
      <c r="M256" t="s">
        <v>208</v>
      </c>
      <c r="Q256" t="s">
        <v>186</v>
      </c>
    </row>
    <row r="257" spans="1:18" x14ac:dyDescent="0.2">
      <c r="A257" s="2">
        <v>46080</v>
      </c>
      <c r="B257" s="2">
        <f t="shared" si="3"/>
        <v>46054</v>
      </c>
      <c r="C257" s="9">
        <v>0.41666666666666669</v>
      </c>
      <c r="D257" t="s">
        <v>174</v>
      </c>
      <c r="E257" t="s">
        <v>171</v>
      </c>
      <c r="F257">
        <v>8</v>
      </c>
      <c r="G257" t="s">
        <v>80</v>
      </c>
      <c r="I257" t="s">
        <v>173</v>
      </c>
      <c r="K257" t="s">
        <v>207</v>
      </c>
      <c r="L257">
        <v>9</v>
      </c>
      <c r="M257" t="s">
        <v>206</v>
      </c>
      <c r="N257">
        <v>7839</v>
      </c>
      <c r="Q257" t="s">
        <v>186</v>
      </c>
    </row>
    <row r="258" spans="1:18" x14ac:dyDescent="0.2">
      <c r="A258" s="2">
        <v>46080</v>
      </c>
      <c r="B258" s="2">
        <f t="shared" si="3"/>
        <v>46054</v>
      </c>
      <c r="C258" s="9">
        <v>0.5</v>
      </c>
      <c r="D258" t="s">
        <v>189</v>
      </c>
      <c r="E258" t="s">
        <v>171</v>
      </c>
      <c r="F258">
        <v>13</v>
      </c>
      <c r="Q258" t="s">
        <v>191</v>
      </c>
      <c r="R258" t="s">
        <v>205</v>
      </c>
    </row>
    <row r="259" spans="1:18" x14ac:dyDescent="0.2">
      <c r="A259" s="2">
        <v>46085</v>
      </c>
      <c r="B259" s="2">
        <f t="shared" ref="B259:B277" si="4">DATE(YEAR(A259), MONTH(A259), 1)</f>
        <v>46082</v>
      </c>
      <c r="C259" s="9">
        <v>0.45833333333333331</v>
      </c>
      <c r="D259" t="s">
        <v>185</v>
      </c>
      <c r="E259" t="s">
        <v>171</v>
      </c>
      <c r="F259">
        <v>14</v>
      </c>
      <c r="G259" t="s">
        <v>170</v>
      </c>
      <c r="I259" t="s">
        <v>183</v>
      </c>
      <c r="L259">
        <v>9</v>
      </c>
      <c r="M259" t="s">
        <v>204</v>
      </c>
      <c r="N259">
        <v>7881</v>
      </c>
      <c r="Q259" t="s">
        <v>186</v>
      </c>
    </row>
    <row r="260" spans="1:18" x14ac:dyDescent="0.2">
      <c r="A260" s="2">
        <v>46085</v>
      </c>
      <c r="B260" s="2">
        <f t="shared" si="4"/>
        <v>46082</v>
      </c>
      <c r="C260" s="9">
        <v>0.54166666666666663</v>
      </c>
      <c r="D260" t="s">
        <v>198</v>
      </c>
      <c r="E260" t="s">
        <v>171</v>
      </c>
      <c r="F260">
        <v>16</v>
      </c>
      <c r="I260" t="s">
        <v>188</v>
      </c>
      <c r="Q260" t="s">
        <v>192</v>
      </c>
    </row>
    <row r="261" spans="1:18" x14ac:dyDescent="0.2">
      <c r="A261" s="2">
        <v>46086</v>
      </c>
      <c r="B261" s="2">
        <f t="shared" si="4"/>
        <v>46082</v>
      </c>
      <c r="C261" s="9">
        <v>0.45833333333333331</v>
      </c>
      <c r="D261" t="s">
        <v>180</v>
      </c>
      <c r="E261" t="s">
        <v>171</v>
      </c>
      <c r="F261">
        <v>11</v>
      </c>
      <c r="I261" t="s">
        <v>183</v>
      </c>
      <c r="Q261" t="s">
        <v>192</v>
      </c>
    </row>
    <row r="262" spans="1:18" x14ac:dyDescent="0.2">
      <c r="A262" s="2">
        <v>46086</v>
      </c>
      <c r="B262" s="2">
        <f t="shared" si="4"/>
        <v>46082</v>
      </c>
      <c r="C262" s="9">
        <v>0.5</v>
      </c>
      <c r="D262" t="s">
        <v>178</v>
      </c>
      <c r="E262" t="s">
        <v>171</v>
      </c>
      <c r="F262">
        <v>5</v>
      </c>
      <c r="I262" t="s">
        <v>203</v>
      </c>
      <c r="Q262" t="s">
        <v>192</v>
      </c>
    </row>
    <row r="263" spans="1:18" x14ac:dyDescent="0.2">
      <c r="A263" s="2">
        <v>46087</v>
      </c>
      <c r="B263" s="2">
        <f t="shared" si="4"/>
        <v>46082</v>
      </c>
      <c r="C263" s="9">
        <v>0.58333333333333337</v>
      </c>
      <c r="D263" t="s">
        <v>172</v>
      </c>
      <c r="E263" t="s">
        <v>171</v>
      </c>
      <c r="F263">
        <v>10</v>
      </c>
      <c r="I263" t="s">
        <v>169</v>
      </c>
      <c r="K263" t="s">
        <v>202</v>
      </c>
      <c r="Q263" t="s">
        <v>192</v>
      </c>
    </row>
    <row r="264" spans="1:18" x14ac:dyDescent="0.2">
      <c r="A264" s="2">
        <v>46090</v>
      </c>
      <c r="B264" s="2">
        <f t="shared" si="4"/>
        <v>46082</v>
      </c>
      <c r="C264" s="9">
        <v>0.54166666666666663</v>
      </c>
      <c r="D264" t="s">
        <v>195</v>
      </c>
      <c r="E264" t="s">
        <v>171</v>
      </c>
      <c r="F264">
        <v>17</v>
      </c>
      <c r="K264" t="s">
        <v>201</v>
      </c>
      <c r="Q264" t="s">
        <v>200</v>
      </c>
      <c r="R264" t="s">
        <v>199</v>
      </c>
    </row>
    <row r="265" spans="1:18" x14ac:dyDescent="0.2">
      <c r="A265" s="2">
        <v>46092</v>
      </c>
      <c r="B265" s="2">
        <f t="shared" si="4"/>
        <v>46082</v>
      </c>
      <c r="C265" s="9">
        <v>0.54166666666666663</v>
      </c>
      <c r="D265" t="s">
        <v>198</v>
      </c>
      <c r="E265" t="s">
        <v>171</v>
      </c>
      <c r="F265">
        <v>16</v>
      </c>
      <c r="I265" t="s">
        <v>188</v>
      </c>
      <c r="Q265" t="s">
        <v>192</v>
      </c>
    </row>
    <row r="266" spans="1:18" x14ac:dyDescent="0.2">
      <c r="A266" s="2">
        <v>46092</v>
      </c>
      <c r="B266" s="2">
        <f t="shared" si="4"/>
        <v>46082</v>
      </c>
      <c r="C266" s="9">
        <v>0.58333333333333337</v>
      </c>
      <c r="D266" t="s">
        <v>197</v>
      </c>
      <c r="E266" t="s">
        <v>171</v>
      </c>
      <c r="F266">
        <v>15</v>
      </c>
      <c r="Q266" t="s">
        <v>191</v>
      </c>
      <c r="R266" t="s">
        <v>196</v>
      </c>
    </row>
    <row r="267" spans="1:18" x14ac:dyDescent="0.2">
      <c r="A267" s="2">
        <v>46093</v>
      </c>
      <c r="B267" s="2">
        <f t="shared" si="4"/>
        <v>46082</v>
      </c>
      <c r="C267" s="9">
        <v>0.45833333333333331</v>
      </c>
      <c r="D267" t="s">
        <v>195</v>
      </c>
      <c r="E267" t="s">
        <v>171</v>
      </c>
      <c r="F267">
        <v>17</v>
      </c>
      <c r="G267" t="s">
        <v>184</v>
      </c>
      <c r="I267" t="s">
        <v>183</v>
      </c>
      <c r="L267">
        <v>10</v>
      </c>
      <c r="M267" t="s">
        <v>194</v>
      </c>
      <c r="N267">
        <v>7975</v>
      </c>
      <c r="Q267" t="s">
        <v>186</v>
      </c>
    </row>
    <row r="268" spans="1:18" x14ac:dyDescent="0.2">
      <c r="A268" s="2">
        <v>46093</v>
      </c>
      <c r="B268" s="2">
        <f t="shared" si="4"/>
        <v>46082</v>
      </c>
      <c r="C268" s="9">
        <v>0.5</v>
      </c>
      <c r="D268" t="s">
        <v>178</v>
      </c>
      <c r="E268" t="s">
        <v>171</v>
      </c>
      <c r="F268">
        <v>5</v>
      </c>
      <c r="I268" t="s">
        <v>183</v>
      </c>
      <c r="Q268" t="s">
        <v>192</v>
      </c>
    </row>
    <row r="269" spans="1:18" x14ac:dyDescent="0.2">
      <c r="A269" s="2">
        <v>46093</v>
      </c>
      <c r="B269" s="2">
        <f t="shared" si="4"/>
        <v>46082</v>
      </c>
      <c r="C269" s="9">
        <v>0.58333333333333337</v>
      </c>
      <c r="D269" t="s">
        <v>193</v>
      </c>
      <c r="E269" t="s">
        <v>171</v>
      </c>
      <c r="F269">
        <v>13</v>
      </c>
      <c r="I269" t="s">
        <v>188</v>
      </c>
      <c r="Q269" t="s">
        <v>192</v>
      </c>
    </row>
    <row r="270" spans="1:18" x14ac:dyDescent="0.2">
      <c r="A270" s="2">
        <v>46094</v>
      </c>
      <c r="B270" s="2">
        <f t="shared" si="4"/>
        <v>46082</v>
      </c>
      <c r="C270" s="9">
        <v>0.5</v>
      </c>
      <c r="D270" t="s">
        <v>189</v>
      </c>
      <c r="E270" t="s">
        <v>171</v>
      </c>
      <c r="F270">
        <v>13</v>
      </c>
      <c r="Q270" t="s">
        <v>191</v>
      </c>
      <c r="R270" t="s">
        <v>190</v>
      </c>
    </row>
    <row r="271" spans="1:18" x14ac:dyDescent="0.2">
      <c r="A271" s="2">
        <v>46097</v>
      </c>
      <c r="B271" s="2">
        <f t="shared" si="4"/>
        <v>46082</v>
      </c>
      <c r="C271" s="9">
        <v>0.5</v>
      </c>
      <c r="D271" t="s">
        <v>189</v>
      </c>
      <c r="E271" t="s">
        <v>171</v>
      </c>
      <c r="F271">
        <v>13</v>
      </c>
      <c r="G271" t="s">
        <v>184</v>
      </c>
      <c r="I271" t="s">
        <v>188</v>
      </c>
      <c r="K271" t="s">
        <v>187</v>
      </c>
      <c r="L271">
        <v>10</v>
      </c>
      <c r="Q271" t="s">
        <v>186</v>
      </c>
    </row>
    <row r="272" spans="1:18" x14ac:dyDescent="0.2">
      <c r="A272" s="2">
        <v>46099</v>
      </c>
      <c r="B272" s="2">
        <f t="shared" si="4"/>
        <v>46082</v>
      </c>
      <c r="C272" s="9">
        <v>0.45833333333333331</v>
      </c>
      <c r="D272" t="s">
        <v>185</v>
      </c>
      <c r="E272" t="s">
        <v>171</v>
      </c>
      <c r="F272">
        <v>14</v>
      </c>
      <c r="G272" t="s">
        <v>184</v>
      </c>
      <c r="I272" t="s">
        <v>183</v>
      </c>
    </row>
    <row r="273" spans="1:11" x14ac:dyDescent="0.2">
      <c r="A273" s="2">
        <v>46100</v>
      </c>
      <c r="B273" s="2">
        <f t="shared" si="4"/>
        <v>46082</v>
      </c>
      <c r="C273" s="9">
        <v>0.41666666666666669</v>
      </c>
      <c r="D273" t="s">
        <v>182</v>
      </c>
      <c r="E273" t="s">
        <v>171</v>
      </c>
      <c r="F273">
        <v>12</v>
      </c>
      <c r="G273" t="s">
        <v>181</v>
      </c>
      <c r="I273" t="s">
        <v>173</v>
      </c>
    </row>
    <row r="274" spans="1:11" x14ac:dyDescent="0.2">
      <c r="A274" s="2">
        <v>46100</v>
      </c>
      <c r="B274" s="2">
        <f t="shared" si="4"/>
        <v>46082</v>
      </c>
      <c r="C274" s="9">
        <v>0.45833333333333331</v>
      </c>
      <c r="D274" t="s">
        <v>180</v>
      </c>
      <c r="E274" t="s">
        <v>171</v>
      </c>
      <c r="F274">
        <v>11</v>
      </c>
      <c r="G274" t="s">
        <v>170</v>
      </c>
      <c r="K274" t="s">
        <v>179</v>
      </c>
    </row>
    <row r="275" spans="1:11" x14ac:dyDescent="0.2">
      <c r="A275" s="2">
        <v>46100</v>
      </c>
      <c r="B275" s="2">
        <f t="shared" si="4"/>
        <v>46082</v>
      </c>
      <c r="C275" s="9">
        <v>0.5</v>
      </c>
      <c r="D275" t="s">
        <v>178</v>
      </c>
      <c r="E275" t="s">
        <v>171</v>
      </c>
      <c r="F275">
        <v>5</v>
      </c>
      <c r="G275" t="s">
        <v>177</v>
      </c>
      <c r="H275" t="s">
        <v>176</v>
      </c>
      <c r="K275" t="s">
        <v>175</v>
      </c>
    </row>
    <row r="276" spans="1:11" x14ac:dyDescent="0.2">
      <c r="A276" s="2">
        <v>46101</v>
      </c>
      <c r="B276" s="2">
        <f t="shared" si="4"/>
        <v>46082</v>
      </c>
      <c r="C276" s="9">
        <v>0.41666666666666669</v>
      </c>
      <c r="D276" t="s">
        <v>174</v>
      </c>
      <c r="E276" t="s">
        <v>171</v>
      </c>
      <c r="F276">
        <v>8</v>
      </c>
      <c r="G276" t="s">
        <v>91</v>
      </c>
      <c r="I276" t="s">
        <v>173</v>
      </c>
    </row>
    <row r="277" spans="1:11" x14ac:dyDescent="0.2">
      <c r="A277" s="2">
        <v>46101</v>
      </c>
      <c r="B277" s="2">
        <f t="shared" si="4"/>
        <v>46082</v>
      </c>
      <c r="C277" s="9">
        <v>0.58333333333333337</v>
      </c>
      <c r="D277" t="s">
        <v>172</v>
      </c>
      <c r="E277" t="s">
        <v>171</v>
      </c>
      <c r="F277">
        <v>10</v>
      </c>
      <c r="G277" t="s">
        <v>170</v>
      </c>
      <c r="I277" t="s">
        <v>169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4658F-1F40-6F48-8D12-9763CEB85E48}">
  <dimension ref="A1:G57"/>
  <sheetViews>
    <sheetView topLeftCell="A37" zoomScale="97" workbookViewId="0">
      <selection activeCell="B73" sqref="B73"/>
    </sheetView>
  </sheetViews>
  <sheetFormatPr baseColWidth="10" defaultRowHeight="16" x14ac:dyDescent="0.2"/>
  <cols>
    <col min="1" max="1" width="15.5" bestFit="1" customWidth="1"/>
    <col min="2" max="2" width="23.5" bestFit="1" customWidth="1"/>
    <col min="3" max="3" width="15" bestFit="1" customWidth="1"/>
    <col min="4" max="4" width="13" bestFit="1" customWidth="1"/>
    <col min="5" max="5" width="15.33203125" bestFit="1" customWidth="1"/>
    <col min="6" max="6" width="17.83203125" bestFit="1" customWidth="1"/>
    <col min="7" max="7" width="15" bestFit="1" customWidth="1"/>
  </cols>
  <sheetData>
    <row r="1" spans="1:2" x14ac:dyDescent="0.2">
      <c r="A1" s="3" t="s">
        <v>158</v>
      </c>
      <c r="B1" t="s">
        <v>162</v>
      </c>
    </row>
    <row r="3" spans="1:2" x14ac:dyDescent="0.2">
      <c r="A3" s="3" t="s">
        <v>159</v>
      </c>
      <c r="B3" t="s">
        <v>161</v>
      </c>
    </row>
    <row r="4" spans="1:2" x14ac:dyDescent="0.2">
      <c r="A4" s="4" t="s">
        <v>61</v>
      </c>
      <c r="B4" s="5">
        <v>12</v>
      </c>
    </row>
    <row r="5" spans="1:2" x14ac:dyDescent="0.2">
      <c r="A5" s="4" t="s">
        <v>82</v>
      </c>
      <c r="B5" s="5">
        <v>11</v>
      </c>
    </row>
    <row r="6" spans="1:2" x14ac:dyDescent="0.2">
      <c r="A6" s="4" t="s">
        <v>94</v>
      </c>
      <c r="B6" s="5">
        <v>11</v>
      </c>
    </row>
    <row r="7" spans="1:2" x14ac:dyDescent="0.2">
      <c r="A7" s="4" t="s">
        <v>55</v>
      </c>
      <c r="B7" s="5">
        <v>11</v>
      </c>
    </row>
    <row r="8" spans="1:2" x14ac:dyDescent="0.2">
      <c r="A8" s="4" t="s">
        <v>47</v>
      </c>
      <c r="B8" s="5">
        <v>11</v>
      </c>
    </row>
    <row r="9" spans="1:2" x14ac:dyDescent="0.2">
      <c r="A9" s="4" t="s">
        <v>52</v>
      </c>
      <c r="B9" s="5">
        <v>10</v>
      </c>
    </row>
    <row r="10" spans="1:2" x14ac:dyDescent="0.2">
      <c r="A10" s="4" t="s">
        <v>71</v>
      </c>
      <c r="B10" s="5">
        <v>10</v>
      </c>
    </row>
    <row r="11" spans="1:2" x14ac:dyDescent="0.2">
      <c r="A11" s="4" t="s">
        <v>87</v>
      </c>
      <c r="B11" s="5">
        <v>9</v>
      </c>
    </row>
    <row r="12" spans="1:2" x14ac:dyDescent="0.2">
      <c r="A12" s="4" t="s">
        <v>85</v>
      </c>
      <c r="B12" s="5">
        <v>8</v>
      </c>
    </row>
    <row r="13" spans="1:2" x14ac:dyDescent="0.2">
      <c r="A13" s="4" t="s">
        <v>130</v>
      </c>
      <c r="B13" s="5">
        <v>7</v>
      </c>
    </row>
    <row r="14" spans="1:2" x14ac:dyDescent="0.2">
      <c r="A14" s="4" t="s">
        <v>75</v>
      </c>
      <c r="B14" s="5">
        <v>4</v>
      </c>
    </row>
    <row r="15" spans="1:2" x14ac:dyDescent="0.2">
      <c r="A15" s="4" t="s">
        <v>127</v>
      </c>
      <c r="B15" s="5">
        <v>3</v>
      </c>
    </row>
    <row r="16" spans="1:2" x14ac:dyDescent="0.2">
      <c r="A16" s="4" t="s">
        <v>104</v>
      </c>
      <c r="B16" s="5">
        <v>2</v>
      </c>
    </row>
    <row r="17" spans="1:7" x14ac:dyDescent="0.2">
      <c r="A17" s="4" t="s">
        <v>160</v>
      </c>
      <c r="B17" s="5">
        <v>109</v>
      </c>
    </row>
    <row r="22" spans="1:7" x14ac:dyDescent="0.2">
      <c r="A22" s="3" t="s">
        <v>158</v>
      </c>
      <c r="B22" t="s">
        <v>162</v>
      </c>
    </row>
    <row r="24" spans="1:7" x14ac:dyDescent="0.2">
      <c r="A24" s="3" t="s">
        <v>159</v>
      </c>
      <c r="B24" t="s">
        <v>163</v>
      </c>
      <c r="C24" t="s">
        <v>164</v>
      </c>
      <c r="D24" t="s">
        <v>165</v>
      </c>
      <c r="E24" t="s">
        <v>166</v>
      </c>
      <c r="F24" t="s">
        <v>167</v>
      </c>
      <c r="G24" t="s">
        <v>168</v>
      </c>
    </row>
    <row r="25" spans="1:7" x14ac:dyDescent="0.2">
      <c r="A25" s="4" t="s">
        <v>61</v>
      </c>
      <c r="B25" s="6">
        <v>0.22727272727272682</v>
      </c>
      <c r="C25" s="6">
        <v>0.31111111111111067</v>
      </c>
      <c r="D25" s="6">
        <v>0.38888888888888845</v>
      </c>
      <c r="E25" s="6">
        <v>0.49999999999999983</v>
      </c>
      <c r="F25" s="6">
        <v>0.95833333333333337</v>
      </c>
      <c r="G25" s="5">
        <v>12</v>
      </c>
    </row>
    <row r="26" spans="1:7" x14ac:dyDescent="0.2">
      <c r="A26" s="4" t="s">
        <v>82</v>
      </c>
      <c r="B26" s="6">
        <v>0.23140495867768551</v>
      </c>
      <c r="C26" s="6">
        <v>0.42424242424242392</v>
      </c>
      <c r="D26" s="6">
        <v>0.51515151515151458</v>
      </c>
      <c r="E26" s="6">
        <v>0.63636363636363591</v>
      </c>
      <c r="F26" s="6">
        <v>0.90909090909090906</v>
      </c>
      <c r="G26" s="5">
        <v>11</v>
      </c>
    </row>
    <row r="27" spans="1:7" x14ac:dyDescent="0.2">
      <c r="A27" s="4" t="s">
        <v>94</v>
      </c>
      <c r="B27" s="6">
        <v>0.24793388429752025</v>
      </c>
      <c r="C27" s="6">
        <v>0.42424242424242409</v>
      </c>
      <c r="D27" s="6">
        <v>0.5858585858585853</v>
      </c>
      <c r="E27" s="6">
        <v>0.56060606060606033</v>
      </c>
      <c r="F27" s="6">
        <v>0.86363636363636365</v>
      </c>
      <c r="G27" s="5">
        <v>11</v>
      </c>
    </row>
    <row r="28" spans="1:7" x14ac:dyDescent="0.2">
      <c r="A28" s="4" t="s">
        <v>55</v>
      </c>
      <c r="B28" s="6">
        <v>0.23966942148760276</v>
      </c>
      <c r="C28" s="6">
        <v>0.35757575757575721</v>
      </c>
      <c r="D28" s="6">
        <v>0.5353535353535348</v>
      </c>
      <c r="E28" s="6">
        <v>0.60606060606060574</v>
      </c>
      <c r="F28" s="6">
        <v>0.77272727272727271</v>
      </c>
      <c r="G28" s="5">
        <v>11</v>
      </c>
    </row>
    <row r="29" spans="1:7" x14ac:dyDescent="0.2">
      <c r="A29" s="4" t="s">
        <v>47</v>
      </c>
      <c r="B29" s="6">
        <v>0.31404958677685912</v>
      </c>
      <c r="C29" s="6">
        <v>0.46060606060606024</v>
      </c>
      <c r="D29" s="6">
        <v>0.56565656565656497</v>
      </c>
      <c r="E29" s="6">
        <v>0.63636363636363591</v>
      </c>
      <c r="F29" s="6">
        <v>0.86363636363636365</v>
      </c>
      <c r="G29" s="5">
        <v>11</v>
      </c>
    </row>
    <row r="30" spans="1:7" x14ac:dyDescent="0.2">
      <c r="A30" s="4" t="s">
        <v>52</v>
      </c>
      <c r="B30" s="6">
        <v>0.28181818181818125</v>
      </c>
      <c r="C30" s="6">
        <v>0.41333333333333294</v>
      </c>
      <c r="D30" s="6">
        <v>0.5222222222222217</v>
      </c>
      <c r="E30" s="6">
        <v>0.56666666666666621</v>
      </c>
      <c r="F30" s="6">
        <v>0.85</v>
      </c>
      <c r="G30" s="5">
        <v>10</v>
      </c>
    </row>
    <row r="31" spans="1:7" x14ac:dyDescent="0.2">
      <c r="A31" s="4" t="s">
        <v>71</v>
      </c>
      <c r="B31" s="6">
        <v>0.16363636363636327</v>
      </c>
      <c r="C31" s="6">
        <v>0.33999999999999964</v>
      </c>
      <c r="D31" s="6">
        <v>0.46666666666666623</v>
      </c>
      <c r="E31" s="6">
        <v>0.53333333333333288</v>
      </c>
      <c r="F31" s="6">
        <v>0.85</v>
      </c>
      <c r="G31" s="5">
        <v>10</v>
      </c>
    </row>
    <row r="32" spans="1:7" x14ac:dyDescent="0.2">
      <c r="A32" s="4" t="s">
        <v>87</v>
      </c>
      <c r="B32" s="6">
        <v>0.18181818181818121</v>
      </c>
      <c r="C32" s="6">
        <v>0.36296296296296271</v>
      </c>
      <c r="D32" s="6">
        <v>0.54320987654320929</v>
      </c>
      <c r="E32" s="6">
        <v>0.57407407407407374</v>
      </c>
      <c r="F32" s="6">
        <v>0.88888888888888884</v>
      </c>
      <c r="G32" s="5">
        <v>9</v>
      </c>
    </row>
    <row r="33" spans="1:7" x14ac:dyDescent="0.2">
      <c r="A33" s="4" t="s">
        <v>85</v>
      </c>
      <c r="B33" s="6">
        <v>0.34090909090909038</v>
      </c>
      <c r="C33" s="6">
        <v>0.52499999999999936</v>
      </c>
      <c r="D33" s="6">
        <v>0.52777777777777724</v>
      </c>
      <c r="E33" s="6">
        <v>0.43749999999999961</v>
      </c>
      <c r="F33" s="6">
        <v>0.6875</v>
      </c>
      <c r="G33" s="5">
        <v>8</v>
      </c>
    </row>
    <row r="34" spans="1:7" x14ac:dyDescent="0.2">
      <c r="A34" s="4" t="s">
        <v>130</v>
      </c>
      <c r="B34" s="6">
        <v>0.20779220779220725</v>
      </c>
      <c r="C34" s="6">
        <v>0.40952380952380912</v>
      </c>
      <c r="D34" s="6">
        <v>0.50793650793650735</v>
      </c>
      <c r="E34" s="6">
        <v>0.49999999999999967</v>
      </c>
      <c r="F34" s="6">
        <v>0.8571428571428571</v>
      </c>
      <c r="G34" s="5">
        <v>7</v>
      </c>
    </row>
    <row r="35" spans="1:7" x14ac:dyDescent="0.2">
      <c r="A35" s="4" t="s">
        <v>75</v>
      </c>
      <c r="B35" s="6">
        <v>0.29545454545454475</v>
      </c>
      <c r="C35" s="6">
        <v>0.483333333333333</v>
      </c>
      <c r="D35" s="6">
        <v>0.4999999999999995</v>
      </c>
      <c r="E35" s="6">
        <v>0.45833333333333304</v>
      </c>
      <c r="F35" s="6">
        <v>0.75</v>
      </c>
      <c r="G35" s="5">
        <v>4</v>
      </c>
    </row>
    <row r="36" spans="1:7" x14ac:dyDescent="0.2">
      <c r="A36" s="4" t="s">
        <v>127</v>
      </c>
      <c r="B36" s="6">
        <v>0.12121212121212066</v>
      </c>
      <c r="C36" s="6">
        <v>0.26666666666666633</v>
      </c>
      <c r="D36" s="6">
        <v>0.48148148148148096</v>
      </c>
      <c r="E36" s="6">
        <v>0.33333333333333298</v>
      </c>
      <c r="F36" s="6">
        <v>0.5</v>
      </c>
      <c r="G36" s="5">
        <v>3</v>
      </c>
    </row>
    <row r="37" spans="1:7" x14ac:dyDescent="0.2">
      <c r="A37" s="4" t="s">
        <v>104</v>
      </c>
      <c r="B37" s="6">
        <v>0.27272727272727243</v>
      </c>
      <c r="C37" s="6">
        <v>0.66666666666666652</v>
      </c>
      <c r="D37" s="6">
        <v>0.61111111111111049</v>
      </c>
      <c r="E37" s="6">
        <v>0.58333333333333304</v>
      </c>
      <c r="F37" s="6">
        <v>0.5</v>
      </c>
      <c r="G37" s="5">
        <v>2</v>
      </c>
    </row>
    <row r="44" spans="1:7" x14ac:dyDescent="0.2">
      <c r="A44" s="7" t="str">
        <f>A24</f>
        <v>Row Labels</v>
      </c>
      <c r="B44" s="7" t="str">
        <f t="shared" ref="B44:G44" si="0">B24</f>
        <v>Commanding The Incident</v>
      </c>
      <c r="C44" s="7" t="str">
        <f t="shared" si="0"/>
        <v>Internal Comms</v>
      </c>
      <c r="D44" s="7" t="str">
        <f t="shared" si="0"/>
        <v>Identify Scope</v>
      </c>
      <c r="E44" s="7" t="str">
        <f t="shared" si="0"/>
        <v>External Comms</v>
      </c>
      <c r="F44" s="7" t="str">
        <f t="shared" si="0"/>
        <v>Incident Mechanics</v>
      </c>
      <c r="G44" s="7" t="str">
        <f t="shared" si="0"/>
        <v>Sessions Played</v>
      </c>
    </row>
    <row r="45" spans="1:7" x14ac:dyDescent="0.2">
      <c r="A45" t="str">
        <f t="shared" ref="A45:G45" si="1">A25</f>
        <v>ramesh.matta</v>
      </c>
      <c r="B45" s="8">
        <f t="shared" si="1"/>
        <v>0.22727272727272682</v>
      </c>
      <c r="C45" s="8">
        <f t="shared" si="1"/>
        <v>0.31111111111111067</v>
      </c>
      <c r="D45" s="8">
        <f t="shared" si="1"/>
        <v>0.38888888888888845</v>
      </c>
      <c r="E45" s="8">
        <f t="shared" si="1"/>
        <v>0.49999999999999983</v>
      </c>
      <c r="F45" s="8">
        <f t="shared" si="1"/>
        <v>0.95833333333333337</v>
      </c>
      <c r="G45">
        <f t="shared" si="1"/>
        <v>12</v>
      </c>
    </row>
    <row r="46" spans="1:7" x14ac:dyDescent="0.2">
      <c r="A46" t="str">
        <f t="shared" ref="A46:G46" si="2">A26</f>
        <v>vallabh.vyas</v>
      </c>
      <c r="B46" s="8">
        <f t="shared" si="2"/>
        <v>0.23140495867768551</v>
      </c>
      <c r="C46" s="8">
        <f t="shared" si="2"/>
        <v>0.42424242424242392</v>
      </c>
      <c r="D46" s="8">
        <f t="shared" si="2"/>
        <v>0.51515151515151458</v>
      </c>
      <c r="E46" s="8">
        <f t="shared" si="2"/>
        <v>0.63636363636363591</v>
      </c>
      <c r="F46" s="8">
        <f t="shared" si="2"/>
        <v>0.90909090909090906</v>
      </c>
      <c r="G46">
        <f t="shared" si="2"/>
        <v>11</v>
      </c>
    </row>
    <row r="47" spans="1:7" x14ac:dyDescent="0.2">
      <c r="A47" t="str">
        <f t="shared" ref="A47:G47" si="3">A27</f>
        <v>vaishnavi.b</v>
      </c>
      <c r="B47" s="8">
        <f t="shared" si="3"/>
        <v>0.24793388429752025</v>
      </c>
      <c r="C47" s="8">
        <f t="shared" si="3"/>
        <v>0.42424242424242409</v>
      </c>
      <c r="D47" s="8">
        <f t="shared" si="3"/>
        <v>0.5858585858585853</v>
      </c>
      <c r="E47" s="8">
        <f t="shared" si="3"/>
        <v>0.56060606060606033</v>
      </c>
      <c r="F47" s="8">
        <f t="shared" si="3"/>
        <v>0.86363636363636365</v>
      </c>
      <c r="G47">
        <f t="shared" si="3"/>
        <v>11</v>
      </c>
    </row>
    <row r="48" spans="1:7" x14ac:dyDescent="0.2">
      <c r="A48" t="str">
        <f t="shared" ref="A48:G48" si="4">A28</f>
        <v>pradeep.c</v>
      </c>
      <c r="B48" s="8">
        <f t="shared" si="4"/>
        <v>0.23966942148760276</v>
      </c>
      <c r="C48" s="8">
        <f t="shared" si="4"/>
        <v>0.35757575757575721</v>
      </c>
      <c r="D48" s="8">
        <f t="shared" si="4"/>
        <v>0.5353535353535348</v>
      </c>
      <c r="E48" s="8">
        <f t="shared" si="4"/>
        <v>0.60606060606060574</v>
      </c>
      <c r="F48" s="8">
        <f t="shared" si="4"/>
        <v>0.77272727272727271</v>
      </c>
      <c r="G48">
        <f t="shared" si="4"/>
        <v>11</v>
      </c>
    </row>
    <row r="49" spans="1:7" x14ac:dyDescent="0.2">
      <c r="A49" t="str">
        <f t="shared" ref="A49:G49" si="5">A29</f>
        <v>swetha.nayudu</v>
      </c>
      <c r="B49" s="8">
        <f t="shared" si="5"/>
        <v>0.31404958677685912</v>
      </c>
      <c r="C49" s="8">
        <f t="shared" si="5"/>
        <v>0.46060606060606024</v>
      </c>
      <c r="D49" s="8">
        <f t="shared" si="5"/>
        <v>0.56565656565656497</v>
      </c>
      <c r="E49" s="8">
        <f t="shared" si="5"/>
        <v>0.63636363636363591</v>
      </c>
      <c r="F49" s="8">
        <f t="shared" si="5"/>
        <v>0.86363636363636365</v>
      </c>
      <c r="G49">
        <f t="shared" si="5"/>
        <v>11</v>
      </c>
    </row>
    <row r="50" spans="1:7" x14ac:dyDescent="0.2">
      <c r="A50" t="str">
        <f t="shared" ref="A50:G50" si="6">A30</f>
        <v>yeshwanth.tp</v>
      </c>
      <c r="B50" s="8">
        <f t="shared" si="6"/>
        <v>0.28181818181818125</v>
      </c>
      <c r="C50" s="8">
        <f t="shared" si="6"/>
        <v>0.41333333333333294</v>
      </c>
      <c r="D50" s="8">
        <f t="shared" si="6"/>
        <v>0.5222222222222217</v>
      </c>
      <c r="E50" s="8">
        <f t="shared" si="6"/>
        <v>0.56666666666666621</v>
      </c>
      <c r="F50" s="8">
        <f t="shared" si="6"/>
        <v>0.85</v>
      </c>
      <c r="G50">
        <f t="shared" si="6"/>
        <v>10</v>
      </c>
    </row>
    <row r="51" spans="1:7" x14ac:dyDescent="0.2">
      <c r="A51" t="str">
        <f t="shared" ref="A51:G51" si="7">A31</f>
        <v>praveen.sadul</v>
      </c>
      <c r="B51" s="8">
        <f t="shared" si="7"/>
        <v>0.16363636363636327</v>
      </c>
      <c r="C51" s="8">
        <f t="shared" si="7"/>
        <v>0.33999999999999964</v>
      </c>
      <c r="D51" s="8">
        <f t="shared" si="7"/>
        <v>0.46666666666666623</v>
      </c>
      <c r="E51" s="8">
        <f t="shared" si="7"/>
        <v>0.53333333333333288</v>
      </c>
      <c r="F51" s="8">
        <f t="shared" si="7"/>
        <v>0.85</v>
      </c>
      <c r="G51">
        <f t="shared" si="7"/>
        <v>10</v>
      </c>
    </row>
    <row r="52" spans="1:7" x14ac:dyDescent="0.2">
      <c r="A52" t="str">
        <f t="shared" ref="A52:G52" si="8">A32</f>
        <v>gowthamkumar.b</v>
      </c>
      <c r="B52" s="8">
        <f t="shared" si="8"/>
        <v>0.18181818181818121</v>
      </c>
      <c r="C52" s="8">
        <f t="shared" si="8"/>
        <v>0.36296296296296271</v>
      </c>
      <c r="D52" s="8">
        <f t="shared" si="8"/>
        <v>0.54320987654320929</v>
      </c>
      <c r="E52" s="8">
        <f t="shared" si="8"/>
        <v>0.57407407407407374</v>
      </c>
      <c r="F52" s="8">
        <f t="shared" si="8"/>
        <v>0.88888888888888884</v>
      </c>
      <c r="G52">
        <f t="shared" si="8"/>
        <v>9</v>
      </c>
    </row>
    <row r="53" spans="1:7" x14ac:dyDescent="0.2">
      <c r="A53" t="str">
        <f t="shared" ref="A53:G53" si="9">A33</f>
        <v>latif.khan</v>
      </c>
      <c r="B53" s="8">
        <f t="shared" si="9"/>
        <v>0.34090909090909038</v>
      </c>
      <c r="C53" s="8">
        <f t="shared" si="9"/>
        <v>0.52499999999999936</v>
      </c>
      <c r="D53" s="8">
        <f t="shared" si="9"/>
        <v>0.52777777777777724</v>
      </c>
      <c r="E53" s="8">
        <f t="shared" si="9"/>
        <v>0.43749999999999961</v>
      </c>
      <c r="F53" s="8">
        <f t="shared" si="9"/>
        <v>0.6875</v>
      </c>
      <c r="G53">
        <f t="shared" si="9"/>
        <v>8</v>
      </c>
    </row>
    <row r="54" spans="1:7" x14ac:dyDescent="0.2">
      <c r="A54" t="str">
        <f t="shared" ref="A54:G54" si="10">A34</f>
        <v>chris.watts</v>
      </c>
      <c r="B54" s="8">
        <f t="shared" si="10"/>
        <v>0.20779220779220725</v>
      </c>
      <c r="C54" s="8">
        <f t="shared" si="10"/>
        <v>0.40952380952380912</v>
      </c>
      <c r="D54" s="8">
        <f t="shared" si="10"/>
        <v>0.50793650793650735</v>
      </c>
      <c r="E54" s="8">
        <f t="shared" si="10"/>
        <v>0.49999999999999967</v>
      </c>
      <c r="F54" s="8">
        <f t="shared" si="10"/>
        <v>0.8571428571428571</v>
      </c>
      <c r="G54">
        <f t="shared" si="10"/>
        <v>7</v>
      </c>
    </row>
    <row r="55" spans="1:7" x14ac:dyDescent="0.2">
      <c r="A55" t="str">
        <f t="shared" ref="A55:G55" si="11">A35</f>
        <v>anandaraj.mani</v>
      </c>
      <c r="B55" s="8">
        <f t="shared" si="11"/>
        <v>0.29545454545454475</v>
      </c>
      <c r="C55" s="8">
        <f t="shared" si="11"/>
        <v>0.483333333333333</v>
      </c>
      <c r="D55" s="8">
        <f t="shared" si="11"/>
        <v>0.4999999999999995</v>
      </c>
      <c r="E55" s="8">
        <f t="shared" si="11"/>
        <v>0.45833333333333304</v>
      </c>
      <c r="F55" s="8">
        <f t="shared" si="11"/>
        <v>0.75</v>
      </c>
      <c r="G55">
        <f t="shared" si="11"/>
        <v>4</v>
      </c>
    </row>
    <row r="56" spans="1:7" x14ac:dyDescent="0.2">
      <c r="A56" t="str">
        <f t="shared" ref="A56:G56" si="12">A36</f>
        <v>ranjan.padhi</v>
      </c>
      <c r="B56" s="8">
        <f t="shared" si="12"/>
        <v>0.12121212121212066</v>
      </c>
      <c r="C56" s="8">
        <f t="shared" si="12"/>
        <v>0.26666666666666633</v>
      </c>
      <c r="D56" s="8">
        <f t="shared" si="12"/>
        <v>0.48148148148148096</v>
      </c>
      <c r="E56" s="8">
        <f t="shared" si="12"/>
        <v>0.33333333333333298</v>
      </c>
      <c r="F56" s="8">
        <f t="shared" si="12"/>
        <v>0.5</v>
      </c>
      <c r="G56">
        <f t="shared" si="12"/>
        <v>3</v>
      </c>
    </row>
    <row r="57" spans="1:7" x14ac:dyDescent="0.2">
      <c r="A57" t="str">
        <f t="shared" ref="A57:G57" si="13">A37</f>
        <v>gregg.winkel</v>
      </c>
      <c r="B57" s="8">
        <f t="shared" si="13"/>
        <v>0.27272727272727243</v>
      </c>
      <c r="C57" s="8">
        <f t="shared" si="13"/>
        <v>0.66666666666666652</v>
      </c>
      <c r="D57" s="8">
        <f t="shared" si="13"/>
        <v>0.61111111111111049</v>
      </c>
      <c r="E57" s="8">
        <f t="shared" si="13"/>
        <v>0.58333333333333304</v>
      </c>
      <c r="F57" s="8">
        <f t="shared" si="13"/>
        <v>0.5</v>
      </c>
      <c r="G57">
        <f t="shared" si="13"/>
        <v>2</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B3024-0A37-F647-BDCF-96302043A5FE}">
  <dimension ref="A1:AS110"/>
  <sheetViews>
    <sheetView tabSelected="1" workbookViewId="0">
      <selection activeCell="B2" sqref="B2"/>
    </sheetView>
  </sheetViews>
  <sheetFormatPr baseColWidth="10" defaultRowHeight="16" x14ac:dyDescent="0.2"/>
  <sheetData>
    <row r="1" spans="1:45" x14ac:dyDescent="0.2">
      <c r="A1" t="s">
        <v>0</v>
      </c>
      <c r="B1" t="s">
        <v>158</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row>
    <row r="2" spans="1:45" x14ac:dyDescent="0.2">
      <c r="A2" t="s">
        <v>44</v>
      </c>
      <c r="B2" s="2">
        <f>DATE(YEAR(DATEVALUE(LEFT(A2,10))), MONTH(DATEVALUE(LEFT(A2,10))), 1)</f>
        <v>45839</v>
      </c>
      <c r="C2" t="s">
        <v>45</v>
      </c>
      <c r="D2" s="1">
        <v>9.3634259259259261E-3</v>
      </c>
      <c r="E2">
        <v>3</v>
      </c>
      <c r="F2" t="s">
        <v>46</v>
      </c>
      <c r="G2" t="s">
        <v>47</v>
      </c>
      <c r="H2" t="s">
        <v>48</v>
      </c>
      <c r="I2">
        <v>0.33333333333333298</v>
      </c>
      <c r="J2">
        <v>1</v>
      </c>
      <c r="K2">
        <v>0.83333333333333304</v>
      </c>
      <c r="L2">
        <v>0.4</v>
      </c>
      <c r="M2">
        <v>9.0909090909090898E-2</v>
      </c>
      <c r="N2">
        <v>0</v>
      </c>
      <c r="O2">
        <v>0</v>
      </c>
      <c r="P2">
        <v>1</v>
      </c>
      <c r="Q2">
        <v>0</v>
      </c>
      <c r="R2">
        <v>0</v>
      </c>
      <c r="S2">
        <v>0</v>
      </c>
      <c r="T2">
        <v>0</v>
      </c>
      <c r="U2">
        <v>0</v>
      </c>
      <c r="V2">
        <v>0</v>
      </c>
      <c r="W2">
        <v>0</v>
      </c>
      <c r="X2">
        <v>0</v>
      </c>
      <c r="Y2">
        <v>0</v>
      </c>
      <c r="Z2">
        <v>0</v>
      </c>
      <c r="AA2">
        <v>0</v>
      </c>
      <c r="AB2">
        <v>0</v>
      </c>
      <c r="AC2">
        <v>0</v>
      </c>
      <c r="AD2">
        <v>0</v>
      </c>
      <c r="AE2">
        <v>0</v>
      </c>
      <c r="AF2">
        <v>0</v>
      </c>
      <c r="AG2">
        <v>0</v>
      </c>
      <c r="AH2">
        <v>0</v>
      </c>
      <c r="AI2">
        <v>0</v>
      </c>
      <c r="AJ2">
        <v>1</v>
      </c>
      <c r="AK2">
        <v>0</v>
      </c>
      <c r="AL2">
        <v>0</v>
      </c>
      <c r="AM2" t="s">
        <v>49</v>
      </c>
      <c r="AN2">
        <v>0</v>
      </c>
      <c r="AO2">
        <v>1</v>
      </c>
      <c r="AP2">
        <v>2</v>
      </c>
      <c r="AQ2">
        <v>0</v>
      </c>
      <c r="AR2">
        <v>0</v>
      </c>
      <c r="AS2">
        <v>0</v>
      </c>
    </row>
    <row r="3" spans="1:45" x14ac:dyDescent="0.2">
      <c r="A3" t="s">
        <v>50</v>
      </c>
      <c r="B3" s="2">
        <f t="shared" ref="B3:B66" si="0">DATE(YEAR(DATEVALUE(LEFT(A3,10))), MONTH(DATEVALUE(LEFT(A3,10))), 1)</f>
        <v>45839</v>
      </c>
      <c r="C3" t="s">
        <v>51</v>
      </c>
      <c r="D3" s="1">
        <v>9.7337962962962959E-3</v>
      </c>
      <c r="E3">
        <v>3</v>
      </c>
      <c r="F3" t="s">
        <v>46</v>
      </c>
      <c r="G3" t="s">
        <v>52</v>
      </c>
      <c r="H3" t="s">
        <v>48</v>
      </c>
      <c r="I3">
        <v>0.44444444444444398</v>
      </c>
      <c r="J3">
        <v>0.5</v>
      </c>
      <c r="K3">
        <v>0.66666666666666596</v>
      </c>
      <c r="L3">
        <v>0.4</v>
      </c>
      <c r="M3">
        <v>0.27272727272727199</v>
      </c>
      <c r="N3">
        <v>0</v>
      </c>
      <c r="O3">
        <v>0</v>
      </c>
      <c r="P3">
        <v>1</v>
      </c>
      <c r="Q3">
        <v>0</v>
      </c>
      <c r="R3">
        <v>0</v>
      </c>
      <c r="S3">
        <v>0</v>
      </c>
      <c r="T3">
        <v>0</v>
      </c>
      <c r="U3">
        <v>0</v>
      </c>
      <c r="V3">
        <v>0</v>
      </c>
      <c r="W3">
        <v>0</v>
      </c>
      <c r="X3">
        <v>0</v>
      </c>
      <c r="Y3">
        <v>0</v>
      </c>
      <c r="Z3">
        <v>0</v>
      </c>
      <c r="AA3">
        <v>0</v>
      </c>
      <c r="AB3">
        <v>0</v>
      </c>
      <c r="AC3">
        <v>0</v>
      </c>
      <c r="AD3">
        <v>0</v>
      </c>
      <c r="AE3">
        <v>0</v>
      </c>
      <c r="AF3">
        <v>0</v>
      </c>
      <c r="AG3">
        <v>0</v>
      </c>
      <c r="AH3">
        <v>0</v>
      </c>
      <c r="AI3">
        <v>0</v>
      </c>
      <c r="AJ3">
        <v>1</v>
      </c>
      <c r="AK3">
        <v>0</v>
      </c>
      <c r="AL3">
        <v>0</v>
      </c>
      <c r="AM3" t="s">
        <v>49</v>
      </c>
      <c r="AN3">
        <v>0</v>
      </c>
      <c r="AO3">
        <v>1</v>
      </c>
      <c r="AP3">
        <v>2</v>
      </c>
      <c r="AQ3">
        <v>0</v>
      </c>
      <c r="AR3">
        <v>0</v>
      </c>
      <c r="AS3">
        <v>0</v>
      </c>
    </row>
    <row r="4" spans="1:45" x14ac:dyDescent="0.2">
      <c r="A4" t="s">
        <v>53</v>
      </c>
      <c r="B4" s="2">
        <f t="shared" si="0"/>
        <v>45839</v>
      </c>
      <c r="C4" t="s">
        <v>54</v>
      </c>
      <c r="D4" s="1">
        <v>1.1793981481481482E-2</v>
      </c>
      <c r="E4">
        <v>3</v>
      </c>
      <c r="F4" t="s">
        <v>46</v>
      </c>
      <c r="G4" t="s">
        <v>55</v>
      </c>
      <c r="H4" t="s">
        <v>48</v>
      </c>
      <c r="I4">
        <v>0.77777777777777701</v>
      </c>
      <c r="J4">
        <v>1</v>
      </c>
      <c r="K4">
        <v>0.66666666666666596</v>
      </c>
      <c r="L4">
        <v>0.53333333333333299</v>
      </c>
      <c r="M4">
        <v>0.36363636363636298</v>
      </c>
      <c r="N4">
        <v>0</v>
      </c>
      <c r="O4">
        <v>0</v>
      </c>
      <c r="P4">
        <v>1</v>
      </c>
      <c r="Q4">
        <v>0</v>
      </c>
      <c r="R4">
        <v>0</v>
      </c>
      <c r="S4">
        <v>0</v>
      </c>
      <c r="T4">
        <v>0</v>
      </c>
      <c r="U4">
        <v>0</v>
      </c>
      <c r="V4">
        <v>0</v>
      </c>
      <c r="W4">
        <v>0</v>
      </c>
      <c r="X4">
        <v>0</v>
      </c>
      <c r="Y4">
        <v>0</v>
      </c>
      <c r="Z4">
        <v>0</v>
      </c>
      <c r="AA4">
        <v>0</v>
      </c>
      <c r="AB4">
        <v>0</v>
      </c>
      <c r="AC4">
        <v>0</v>
      </c>
      <c r="AD4">
        <v>0</v>
      </c>
      <c r="AE4">
        <v>0</v>
      </c>
      <c r="AF4">
        <v>0</v>
      </c>
      <c r="AG4">
        <v>0</v>
      </c>
      <c r="AH4">
        <v>0</v>
      </c>
      <c r="AI4">
        <v>0</v>
      </c>
      <c r="AJ4">
        <v>1</v>
      </c>
      <c r="AK4">
        <v>0</v>
      </c>
      <c r="AL4">
        <v>0</v>
      </c>
      <c r="AM4" t="s">
        <v>49</v>
      </c>
      <c r="AN4">
        <v>0</v>
      </c>
      <c r="AO4">
        <v>1</v>
      </c>
      <c r="AP4">
        <v>2</v>
      </c>
      <c r="AQ4">
        <v>0</v>
      </c>
      <c r="AR4">
        <v>0</v>
      </c>
      <c r="AS4">
        <v>0</v>
      </c>
    </row>
    <row r="5" spans="1:45" x14ac:dyDescent="0.2">
      <c r="A5" t="s">
        <v>56</v>
      </c>
      <c r="B5" s="2">
        <f t="shared" si="0"/>
        <v>45839</v>
      </c>
      <c r="C5" t="s">
        <v>51</v>
      </c>
      <c r="D5" s="1">
        <v>1.3912037037037037E-2</v>
      </c>
      <c r="E5">
        <v>5</v>
      </c>
      <c r="F5" t="s">
        <v>57</v>
      </c>
      <c r="G5" t="s">
        <v>52</v>
      </c>
      <c r="H5" t="s">
        <v>58</v>
      </c>
      <c r="I5">
        <v>0.22222222222222199</v>
      </c>
      <c r="J5">
        <v>1</v>
      </c>
      <c r="K5">
        <v>0.66666666666666596</v>
      </c>
      <c r="L5">
        <v>0.2</v>
      </c>
      <c r="M5">
        <v>9.0909090909090898E-2</v>
      </c>
      <c r="N5">
        <v>0</v>
      </c>
      <c r="O5">
        <v>0</v>
      </c>
      <c r="P5">
        <v>1</v>
      </c>
      <c r="Q5">
        <v>0</v>
      </c>
      <c r="R5">
        <v>0</v>
      </c>
      <c r="S5">
        <v>0</v>
      </c>
      <c r="T5">
        <v>0</v>
      </c>
      <c r="U5">
        <v>0</v>
      </c>
      <c r="V5">
        <v>0</v>
      </c>
      <c r="W5">
        <v>0</v>
      </c>
      <c r="X5">
        <v>0</v>
      </c>
      <c r="Y5">
        <v>1</v>
      </c>
      <c r="Z5">
        <v>0</v>
      </c>
      <c r="AA5">
        <v>0</v>
      </c>
      <c r="AB5">
        <v>0</v>
      </c>
      <c r="AC5">
        <v>0</v>
      </c>
      <c r="AD5">
        <v>0</v>
      </c>
      <c r="AE5">
        <v>0</v>
      </c>
      <c r="AF5">
        <v>0</v>
      </c>
      <c r="AG5">
        <v>0</v>
      </c>
      <c r="AH5">
        <v>0</v>
      </c>
      <c r="AI5">
        <v>0</v>
      </c>
      <c r="AJ5">
        <v>0</v>
      </c>
      <c r="AK5">
        <v>0</v>
      </c>
      <c r="AL5">
        <v>0</v>
      </c>
      <c r="AM5" t="s">
        <v>49</v>
      </c>
      <c r="AN5">
        <v>0</v>
      </c>
      <c r="AO5">
        <v>1</v>
      </c>
      <c r="AP5">
        <v>1</v>
      </c>
      <c r="AQ5">
        <v>0</v>
      </c>
      <c r="AR5">
        <v>0</v>
      </c>
      <c r="AS5">
        <v>0</v>
      </c>
    </row>
    <row r="6" spans="1:45" x14ac:dyDescent="0.2">
      <c r="A6" t="s">
        <v>59</v>
      </c>
      <c r="B6" s="2">
        <f t="shared" si="0"/>
        <v>45839</v>
      </c>
      <c r="C6" t="s">
        <v>45</v>
      </c>
      <c r="D6" s="1">
        <v>1.087962962962963E-2</v>
      </c>
      <c r="E6">
        <v>5</v>
      </c>
      <c r="F6" t="s">
        <v>57</v>
      </c>
      <c r="G6" t="s">
        <v>47</v>
      </c>
      <c r="H6" t="s">
        <v>48</v>
      </c>
      <c r="I6">
        <v>0.44444444444444398</v>
      </c>
      <c r="J6">
        <v>1</v>
      </c>
      <c r="K6">
        <v>0.83333333333333304</v>
      </c>
      <c r="L6">
        <v>0.33333333333333298</v>
      </c>
      <c r="M6">
        <v>9.0909090909090898E-2</v>
      </c>
      <c r="N6">
        <v>0</v>
      </c>
      <c r="O6">
        <v>0</v>
      </c>
      <c r="P6">
        <v>1</v>
      </c>
      <c r="Q6">
        <v>0</v>
      </c>
      <c r="R6">
        <v>0</v>
      </c>
      <c r="S6">
        <v>0</v>
      </c>
      <c r="T6">
        <v>0</v>
      </c>
      <c r="U6">
        <v>0</v>
      </c>
      <c r="V6">
        <v>0</v>
      </c>
      <c r="W6">
        <v>0</v>
      </c>
      <c r="X6">
        <v>0</v>
      </c>
      <c r="Y6">
        <v>1</v>
      </c>
      <c r="Z6">
        <v>0</v>
      </c>
      <c r="AA6">
        <v>0</v>
      </c>
      <c r="AB6">
        <v>0</v>
      </c>
      <c r="AC6">
        <v>0</v>
      </c>
      <c r="AD6">
        <v>0</v>
      </c>
      <c r="AE6">
        <v>0</v>
      </c>
      <c r="AF6">
        <v>0</v>
      </c>
      <c r="AG6">
        <v>0</v>
      </c>
      <c r="AH6">
        <v>0</v>
      </c>
      <c r="AI6">
        <v>0</v>
      </c>
      <c r="AJ6">
        <v>0</v>
      </c>
      <c r="AK6">
        <v>0</v>
      </c>
      <c r="AL6">
        <v>0</v>
      </c>
      <c r="AM6" t="s">
        <v>49</v>
      </c>
      <c r="AN6">
        <v>0</v>
      </c>
      <c r="AO6">
        <v>1</v>
      </c>
      <c r="AP6">
        <v>1</v>
      </c>
      <c r="AQ6">
        <v>0</v>
      </c>
      <c r="AR6">
        <v>0</v>
      </c>
      <c r="AS6">
        <v>0</v>
      </c>
    </row>
    <row r="7" spans="1:45" x14ac:dyDescent="0.2">
      <c r="A7" t="s">
        <v>59</v>
      </c>
      <c r="B7" s="2">
        <f t="shared" si="0"/>
        <v>45839</v>
      </c>
      <c r="C7" t="s">
        <v>45</v>
      </c>
      <c r="D7" s="1">
        <v>1.2511574074074074E-2</v>
      </c>
      <c r="E7">
        <v>29</v>
      </c>
      <c r="F7" t="s">
        <v>60</v>
      </c>
      <c r="G7" t="s">
        <v>61</v>
      </c>
      <c r="H7" t="s">
        <v>48</v>
      </c>
      <c r="I7">
        <v>0.33333333333333298</v>
      </c>
      <c r="J7">
        <v>0.5</v>
      </c>
      <c r="K7">
        <v>0.5</v>
      </c>
      <c r="L7">
        <v>0.266666666666666</v>
      </c>
      <c r="M7">
        <v>9.0909090909090898E-2</v>
      </c>
      <c r="N7">
        <v>0</v>
      </c>
      <c r="O7">
        <v>0</v>
      </c>
      <c r="P7">
        <v>1</v>
      </c>
      <c r="Q7">
        <v>0</v>
      </c>
      <c r="R7">
        <v>0</v>
      </c>
      <c r="S7">
        <v>0</v>
      </c>
      <c r="T7">
        <v>0</v>
      </c>
      <c r="U7">
        <v>0</v>
      </c>
      <c r="V7">
        <v>0</v>
      </c>
      <c r="W7">
        <v>0</v>
      </c>
      <c r="X7">
        <v>0</v>
      </c>
      <c r="Y7">
        <v>0</v>
      </c>
      <c r="Z7">
        <v>0</v>
      </c>
      <c r="AA7">
        <v>0</v>
      </c>
      <c r="AB7">
        <v>0</v>
      </c>
      <c r="AC7">
        <v>0</v>
      </c>
      <c r="AD7">
        <v>0</v>
      </c>
      <c r="AE7">
        <v>0</v>
      </c>
      <c r="AF7">
        <v>0</v>
      </c>
      <c r="AG7">
        <v>0</v>
      </c>
      <c r="AH7">
        <v>0</v>
      </c>
      <c r="AI7">
        <v>0</v>
      </c>
      <c r="AJ7">
        <v>1</v>
      </c>
      <c r="AK7">
        <v>0</v>
      </c>
      <c r="AL7">
        <v>0</v>
      </c>
      <c r="AM7" t="s">
        <v>49</v>
      </c>
      <c r="AN7">
        <v>0</v>
      </c>
      <c r="AO7">
        <v>1</v>
      </c>
      <c r="AP7">
        <v>2</v>
      </c>
      <c r="AQ7">
        <v>0</v>
      </c>
      <c r="AR7">
        <v>0</v>
      </c>
      <c r="AS7">
        <v>0</v>
      </c>
    </row>
    <row r="8" spans="1:45" x14ac:dyDescent="0.2">
      <c r="A8" t="s">
        <v>62</v>
      </c>
      <c r="B8" s="2">
        <f t="shared" si="0"/>
        <v>45839</v>
      </c>
      <c r="C8" t="s">
        <v>51</v>
      </c>
      <c r="D8" s="1">
        <v>1.3912037037037037E-2</v>
      </c>
      <c r="E8">
        <v>5</v>
      </c>
      <c r="F8" t="s">
        <v>57</v>
      </c>
      <c r="G8" t="s">
        <v>55</v>
      </c>
      <c r="H8" t="s">
        <v>58</v>
      </c>
      <c r="I8">
        <v>0.55555555555555503</v>
      </c>
      <c r="J8">
        <v>1</v>
      </c>
      <c r="K8">
        <v>0.83333333333333304</v>
      </c>
      <c r="L8">
        <v>0.4</v>
      </c>
      <c r="M8">
        <v>0.36363636363636298</v>
      </c>
      <c r="N8">
        <v>0</v>
      </c>
      <c r="O8">
        <v>0</v>
      </c>
      <c r="P8">
        <v>1</v>
      </c>
      <c r="Q8">
        <v>0</v>
      </c>
      <c r="R8">
        <v>0</v>
      </c>
      <c r="S8">
        <v>0</v>
      </c>
      <c r="T8">
        <v>0</v>
      </c>
      <c r="U8">
        <v>0</v>
      </c>
      <c r="V8">
        <v>0</v>
      </c>
      <c r="W8">
        <v>0</v>
      </c>
      <c r="X8">
        <v>0</v>
      </c>
      <c r="Y8">
        <v>1</v>
      </c>
      <c r="Z8">
        <v>0</v>
      </c>
      <c r="AA8">
        <v>0</v>
      </c>
      <c r="AB8">
        <v>0</v>
      </c>
      <c r="AC8">
        <v>0</v>
      </c>
      <c r="AD8">
        <v>0</v>
      </c>
      <c r="AE8">
        <v>0</v>
      </c>
      <c r="AF8">
        <v>0</v>
      </c>
      <c r="AG8">
        <v>0</v>
      </c>
      <c r="AH8">
        <v>0</v>
      </c>
      <c r="AI8">
        <v>0</v>
      </c>
      <c r="AJ8">
        <v>0</v>
      </c>
      <c r="AK8">
        <v>0</v>
      </c>
      <c r="AL8">
        <v>0</v>
      </c>
      <c r="AM8" t="s">
        <v>49</v>
      </c>
      <c r="AN8">
        <v>0</v>
      </c>
      <c r="AO8">
        <v>1</v>
      </c>
      <c r="AP8">
        <v>1</v>
      </c>
      <c r="AQ8">
        <v>0</v>
      </c>
      <c r="AR8">
        <v>0</v>
      </c>
      <c r="AS8">
        <v>0</v>
      </c>
    </row>
    <row r="9" spans="1:45" x14ac:dyDescent="0.2">
      <c r="A9" t="s">
        <v>63</v>
      </c>
      <c r="B9" s="2">
        <f t="shared" si="0"/>
        <v>45839</v>
      </c>
      <c r="C9" t="s">
        <v>54</v>
      </c>
      <c r="D9" s="1">
        <v>1.4421296296296297E-2</v>
      </c>
      <c r="E9">
        <v>6</v>
      </c>
      <c r="F9" t="s">
        <v>64</v>
      </c>
      <c r="G9" t="s">
        <v>55</v>
      </c>
      <c r="H9" t="s">
        <v>48</v>
      </c>
      <c r="I9">
        <v>0.44444444444444398</v>
      </c>
      <c r="J9">
        <v>0.5</v>
      </c>
      <c r="K9">
        <v>0.83333333333333304</v>
      </c>
      <c r="L9">
        <v>0.46666666666666601</v>
      </c>
      <c r="M9">
        <v>0.27272727272727199</v>
      </c>
      <c r="N9">
        <v>0</v>
      </c>
      <c r="O9">
        <v>0</v>
      </c>
      <c r="P9">
        <v>0</v>
      </c>
      <c r="Q9">
        <v>0</v>
      </c>
      <c r="R9">
        <v>0</v>
      </c>
      <c r="S9">
        <v>0</v>
      </c>
      <c r="T9">
        <v>0</v>
      </c>
      <c r="U9">
        <v>0</v>
      </c>
      <c r="V9">
        <v>1</v>
      </c>
      <c r="W9">
        <v>0</v>
      </c>
      <c r="X9">
        <v>0</v>
      </c>
      <c r="Y9">
        <v>0</v>
      </c>
      <c r="Z9">
        <v>0</v>
      </c>
      <c r="AA9">
        <v>0</v>
      </c>
      <c r="AB9">
        <v>0</v>
      </c>
      <c r="AC9">
        <v>0</v>
      </c>
      <c r="AD9">
        <v>0</v>
      </c>
      <c r="AE9">
        <v>0</v>
      </c>
      <c r="AF9">
        <v>0</v>
      </c>
      <c r="AG9">
        <v>1</v>
      </c>
      <c r="AH9">
        <v>1</v>
      </c>
      <c r="AI9">
        <v>1</v>
      </c>
      <c r="AJ9">
        <v>0</v>
      </c>
      <c r="AK9">
        <v>0</v>
      </c>
      <c r="AL9">
        <v>0</v>
      </c>
      <c r="AM9" t="s">
        <v>49</v>
      </c>
      <c r="AN9">
        <v>0</v>
      </c>
      <c r="AO9">
        <v>2</v>
      </c>
      <c r="AP9">
        <v>0</v>
      </c>
      <c r="AQ9">
        <v>2</v>
      </c>
      <c r="AR9">
        <v>0</v>
      </c>
      <c r="AS9">
        <v>0</v>
      </c>
    </row>
    <row r="10" spans="1:45" x14ac:dyDescent="0.2">
      <c r="A10" t="s">
        <v>65</v>
      </c>
      <c r="B10" s="2">
        <f t="shared" si="0"/>
        <v>45839</v>
      </c>
      <c r="C10" t="s">
        <v>45</v>
      </c>
      <c r="D10" s="1">
        <v>1.3912037037037037E-2</v>
      </c>
      <c r="E10">
        <v>5</v>
      </c>
      <c r="F10" t="s">
        <v>57</v>
      </c>
      <c r="G10" t="s">
        <v>61</v>
      </c>
      <c r="H10" t="s">
        <v>58</v>
      </c>
      <c r="I10">
        <v>0.33333333333333298</v>
      </c>
      <c r="J10">
        <v>1</v>
      </c>
      <c r="K10">
        <v>0.5</v>
      </c>
      <c r="L10">
        <v>0.33333333333333298</v>
      </c>
      <c r="M10">
        <v>0.27272727272727199</v>
      </c>
      <c r="N10">
        <v>0</v>
      </c>
      <c r="O10">
        <v>0</v>
      </c>
      <c r="P10">
        <v>1</v>
      </c>
      <c r="Q10">
        <v>0</v>
      </c>
      <c r="R10">
        <v>0</v>
      </c>
      <c r="S10">
        <v>0</v>
      </c>
      <c r="T10">
        <v>0</v>
      </c>
      <c r="U10">
        <v>0</v>
      </c>
      <c r="V10">
        <v>0</v>
      </c>
      <c r="W10">
        <v>0</v>
      </c>
      <c r="X10">
        <v>0</v>
      </c>
      <c r="Y10">
        <v>1</v>
      </c>
      <c r="Z10">
        <v>0</v>
      </c>
      <c r="AA10">
        <v>0</v>
      </c>
      <c r="AB10">
        <v>0</v>
      </c>
      <c r="AC10">
        <v>0</v>
      </c>
      <c r="AD10">
        <v>0</v>
      </c>
      <c r="AE10">
        <v>0</v>
      </c>
      <c r="AF10">
        <v>0</v>
      </c>
      <c r="AG10">
        <v>0</v>
      </c>
      <c r="AH10">
        <v>0</v>
      </c>
      <c r="AI10">
        <v>0</v>
      </c>
      <c r="AJ10">
        <v>0</v>
      </c>
      <c r="AK10">
        <v>0</v>
      </c>
      <c r="AL10">
        <v>0</v>
      </c>
      <c r="AM10" t="s">
        <v>49</v>
      </c>
      <c r="AN10">
        <v>0</v>
      </c>
      <c r="AO10">
        <v>1</v>
      </c>
      <c r="AP10">
        <v>1</v>
      </c>
      <c r="AQ10">
        <v>0</v>
      </c>
      <c r="AR10">
        <v>0</v>
      </c>
      <c r="AS10">
        <v>0</v>
      </c>
    </row>
    <row r="11" spans="1:45" x14ac:dyDescent="0.2">
      <c r="A11" t="s">
        <v>65</v>
      </c>
      <c r="B11" s="2">
        <f t="shared" si="0"/>
        <v>45839</v>
      </c>
      <c r="C11" t="s">
        <v>45</v>
      </c>
      <c r="D11" s="1">
        <v>1.1979166666666667E-2</v>
      </c>
      <c r="E11">
        <v>6</v>
      </c>
      <c r="F11" t="s">
        <v>64</v>
      </c>
      <c r="G11" t="s">
        <v>47</v>
      </c>
      <c r="H11" t="s">
        <v>48</v>
      </c>
      <c r="I11">
        <v>0.55555555555555503</v>
      </c>
      <c r="J11">
        <v>1</v>
      </c>
      <c r="K11">
        <v>0.66666666666666596</v>
      </c>
      <c r="L11">
        <v>0.33333333333333298</v>
      </c>
      <c r="M11">
        <v>0.36363636363636298</v>
      </c>
      <c r="N11">
        <v>0</v>
      </c>
      <c r="O11">
        <v>0</v>
      </c>
      <c r="P11">
        <v>0</v>
      </c>
      <c r="Q11">
        <v>0</v>
      </c>
      <c r="R11">
        <v>0</v>
      </c>
      <c r="S11">
        <v>0</v>
      </c>
      <c r="T11">
        <v>0</v>
      </c>
      <c r="U11">
        <v>0</v>
      </c>
      <c r="V11">
        <v>1</v>
      </c>
      <c r="W11">
        <v>0</v>
      </c>
      <c r="X11">
        <v>0</v>
      </c>
      <c r="Y11">
        <v>0</v>
      </c>
      <c r="Z11">
        <v>0</v>
      </c>
      <c r="AA11">
        <v>0</v>
      </c>
      <c r="AB11">
        <v>0</v>
      </c>
      <c r="AC11">
        <v>0</v>
      </c>
      <c r="AD11">
        <v>0</v>
      </c>
      <c r="AE11">
        <v>0</v>
      </c>
      <c r="AF11">
        <v>0</v>
      </c>
      <c r="AG11">
        <v>1</v>
      </c>
      <c r="AH11">
        <v>1</v>
      </c>
      <c r="AI11">
        <v>1</v>
      </c>
      <c r="AJ11">
        <v>0</v>
      </c>
      <c r="AK11">
        <v>0</v>
      </c>
      <c r="AL11">
        <v>0</v>
      </c>
      <c r="AM11" t="s">
        <v>49</v>
      </c>
      <c r="AN11">
        <v>0</v>
      </c>
      <c r="AO11">
        <v>2</v>
      </c>
      <c r="AP11">
        <v>0</v>
      </c>
      <c r="AQ11">
        <v>2</v>
      </c>
      <c r="AR11">
        <v>0</v>
      </c>
      <c r="AS11">
        <v>0</v>
      </c>
    </row>
    <row r="12" spans="1:45" x14ac:dyDescent="0.2">
      <c r="A12" t="s">
        <v>66</v>
      </c>
      <c r="B12" s="2">
        <f t="shared" si="0"/>
        <v>45870</v>
      </c>
      <c r="C12" t="s">
        <v>54</v>
      </c>
      <c r="D12" s="1">
        <v>1.3553240740740741E-2</v>
      </c>
      <c r="E12">
        <v>7</v>
      </c>
      <c r="F12" t="s">
        <v>67</v>
      </c>
      <c r="G12" t="s">
        <v>55</v>
      </c>
      <c r="H12" t="s">
        <v>48</v>
      </c>
      <c r="I12">
        <v>0.55555555555555503</v>
      </c>
      <c r="J12">
        <v>1</v>
      </c>
      <c r="K12">
        <v>0.5</v>
      </c>
      <c r="L12">
        <v>0.2</v>
      </c>
      <c r="M12">
        <v>9.0909090909090898E-2</v>
      </c>
      <c r="N12">
        <v>0</v>
      </c>
      <c r="O12">
        <v>0</v>
      </c>
      <c r="P12">
        <v>0</v>
      </c>
      <c r="Q12">
        <v>0</v>
      </c>
      <c r="R12">
        <v>0</v>
      </c>
      <c r="S12">
        <v>0</v>
      </c>
      <c r="T12">
        <v>1</v>
      </c>
      <c r="U12">
        <v>0</v>
      </c>
      <c r="V12">
        <v>1</v>
      </c>
      <c r="W12">
        <v>0</v>
      </c>
      <c r="X12">
        <v>0</v>
      </c>
      <c r="Y12">
        <v>0</v>
      </c>
      <c r="Z12">
        <v>0</v>
      </c>
      <c r="AA12">
        <v>0</v>
      </c>
      <c r="AB12">
        <v>0</v>
      </c>
      <c r="AC12">
        <v>0</v>
      </c>
      <c r="AD12">
        <v>0</v>
      </c>
      <c r="AE12">
        <v>0</v>
      </c>
      <c r="AF12">
        <v>0</v>
      </c>
      <c r="AG12">
        <v>0</v>
      </c>
      <c r="AH12">
        <v>0</v>
      </c>
      <c r="AI12">
        <v>1</v>
      </c>
      <c r="AJ12">
        <v>0</v>
      </c>
      <c r="AK12">
        <v>0</v>
      </c>
      <c r="AL12">
        <v>0</v>
      </c>
      <c r="AM12" t="s">
        <v>49</v>
      </c>
      <c r="AN12">
        <v>0</v>
      </c>
      <c r="AO12">
        <v>2</v>
      </c>
      <c r="AP12">
        <v>0</v>
      </c>
      <c r="AQ12">
        <v>1</v>
      </c>
      <c r="AR12">
        <v>0</v>
      </c>
      <c r="AS12">
        <v>0</v>
      </c>
    </row>
    <row r="13" spans="1:45" x14ac:dyDescent="0.2">
      <c r="A13" t="s">
        <v>68</v>
      </c>
      <c r="B13" s="2">
        <f t="shared" si="0"/>
        <v>45870</v>
      </c>
      <c r="C13" t="s">
        <v>51</v>
      </c>
      <c r="D13" s="1">
        <v>1.3900462962962963E-2</v>
      </c>
      <c r="E13">
        <v>6</v>
      </c>
      <c r="F13" t="s">
        <v>64</v>
      </c>
      <c r="G13" t="s">
        <v>52</v>
      </c>
      <c r="H13" t="s">
        <v>58</v>
      </c>
      <c r="I13">
        <v>0.22222222222222199</v>
      </c>
      <c r="J13">
        <v>1</v>
      </c>
      <c r="K13">
        <v>0.5</v>
      </c>
      <c r="L13">
        <v>0.266666666666666</v>
      </c>
      <c r="M13">
        <v>9.0909090909090898E-2</v>
      </c>
      <c r="N13">
        <v>0</v>
      </c>
      <c r="O13">
        <v>0</v>
      </c>
      <c r="P13">
        <v>0</v>
      </c>
      <c r="Q13">
        <v>0</v>
      </c>
      <c r="R13">
        <v>0</v>
      </c>
      <c r="S13">
        <v>0</v>
      </c>
      <c r="T13">
        <v>0</v>
      </c>
      <c r="U13">
        <v>0</v>
      </c>
      <c r="V13">
        <v>1</v>
      </c>
      <c r="W13">
        <v>0</v>
      </c>
      <c r="X13">
        <v>0</v>
      </c>
      <c r="Y13">
        <v>0</v>
      </c>
      <c r="Z13">
        <v>0</v>
      </c>
      <c r="AA13">
        <v>0</v>
      </c>
      <c r="AB13">
        <v>0</v>
      </c>
      <c r="AC13">
        <v>0</v>
      </c>
      <c r="AD13">
        <v>0</v>
      </c>
      <c r="AE13">
        <v>0</v>
      </c>
      <c r="AF13">
        <v>0</v>
      </c>
      <c r="AG13">
        <v>1</v>
      </c>
      <c r="AH13">
        <v>1</v>
      </c>
      <c r="AI13">
        <v>1</v>
      </c>
      <c r="AJ13">
        <v>0</v>
      </c>
      <c r="AK13">
        <v>0</v>
      </c>
      <c r="AL13">
        <v>0</v>
      </c>
      <c r="AM13" t="s">
        <v>49</v>
      </c>
      <c r="AN13">
        <v>0</v>
      </c>
      <c r="AO13">
        <v>2</v>
      </c>
      <c r="AP13">
        <v>0</v>
      </c>
      <c r="AQ13">
        <v>2</v>
      </c>
      <c r="AR13">
        <v>0</v>
      </c>
      <c r="AS13">
        <v>0</v>
      </c>
    </row>
    <row r="14" spans="1:45" x14ac:dyDescent="0.2">
      <c r="A14" t="s">
        <v>68</v>
      </c>
      <c r="B14" s="2">
        <f t="shared" si="0"/>
        <v>45870</v>
      </c>
      <c r="C14" t="s">
        <v>51</v>
      </c>
      <c r="D14" s="1">
        <v>1.3900462962962963E-2</v>
      </c>
      <c r="E14">
        <v>6</v>
      </c>
      <c r="F14" t="s">
        <v>64</v>
      </c>
      <c r="G14" t="s">
        <v>61</v>
      </c>
      <c r="H14" t="s">
        <v>58</v>
      </c>
      <c r="I14">
        <v>0.33333333333333298</v>
      </c>
      <c r="J14">
        <v>1</v>
      </c>
      <c r="K14">
        <v>0.33333333333333298</v>
      </c>
      <c r="L14">
        <v>0.266666666666666</v>
      </c>
      <c r="M14">
        <v>9.0909090909090898E-2</v>
      </c>
      <c r="N14">
        <v>0</v>
      </c>
      <c r="O14">
        <v>0</v>
      </c>
      <c r="P14">
        <v>0</v>
      </c>
      <c r="Q14">
        <v>0</v>
      </c>
      <c r="R14">
        <v>0</v>
      </c>
      <c r="S14">
        <v>0</v>
      </c>
      <c r="T14">
        <v>0</v>
      </c>
      <c r="U14">
        <v>0</v>
      </c>
      <c r="V14">
        <v>1</v>
      </c>
      <c r="W14">
        <v>0</v>
      </c>
      <c r="X14">
        <v>0</v>
      </c>
      <c r="Y14">
        <v>0</v>
      </c>
      <c r="Z14">
        <v>0</v>
      </c>
      <c r="AA14">
        <v>0</v>
      </c>
      <c r="AB14">
        <v>0</v>
      </c>
      <c r="AC14">
        <v>0</v>
      </c>
      <c r="AD14">
        <v>0</v>
      </c>
      <c r="AE14">
        <v>0</v>
      </c>
      <c r="AF14">
        <v>0</v>
      </c>
      <c r="AG14">
        <v>1</v>
      </c>
      <c r="AH14">
        <v>1</v>
      </c>
      <c r="AI14">
        <v>1</v>
      </c>
      <c r="AJ14">
        <v>0</v>
      </c>
      <c r="AK14">
        <v>0</v>
      </c>
      <c r="AL14">
        <v>0</v>
      </c>
      <c r="AM14" t="s">
        <v>49</v>
      </c>
      <c r="AN14">
        <v>0</v>
      </c>
      <c r="AO14">
        <v>2</v>
      </c>
      <c r="AP14">
        <v>0</v>
      </c>
      <c r="AQ14">
        <v>2</v>
      </c>
      <c r="AR14">
        <v>0</v>
      </c>
      <c r="AS14">
        <v>0</v>
      </c>
    </row>
    <row r="15" spans="1:45" x14ac:dyDescent="0.2">
      <c r="A15" t="s">
        <v>69</v>
      </c>
      <c r="B15" s="2">
        <f t="shared" si="0"/>
        <v>45870</v>
      </c>
      <c r="C15" t="s">
        <v>45</v>
      </c>
      <c r="D15" s="1">
        <v>5.2430555555555555E-3</v>
      </c>
      <c r="E15">
        <v>7</v>
      </c>
      <c r="F15" t="s">
        <v>67</v>
      </c>
      <c r="G15" t="s">
        <v>61</v>
      </c>
      <c r="H15" t="s">
        <v>48</v>
      </c>
      <c r="I15">
        <v>0.55555555555555503</v>
      </c>
      <c r="J15">
        <v>1</v>
      </c>
      <c r="K15">
        <v>0.5</v>
      </c>
      <c r="L15">
        <v>0.133333333333333</v>
      </c>
      <c r="M15">
        <v>0.27272727272727199</v>
      </c>
      <c r="N15">
        <v>0</v>
      </c>
      <c r="O15">
        <v>0</v>
      </c>
      <c r="P15">
        <v>0</v>
      </c>
      <c r="Q15">
        <v>0</v>
      </c>
      <c r="R15">
        <v>0</v>
      </c>
      <c r="S15">
        <v>0</v>
      </c>
      <c r="T15">
        <v>1</v>
      </c>
      <c r="U15">
        <v>0</v>
      </c>
      <c r="V15">
        <v>1</v>
      </c>
      <c r="W15">
        <v>0</v>
      </c>
      <c r="X15">
        <v>0</v>
      </c>
      <c r="Y15">
        <v>0</v>
      </c>
      <c r="Z15">
        <v>0</v>
      </c>
      <c r="AA15">
        <v>0</v>
      </c>
      <c r="AB15">
        <v>0</v>
      </c>
      <c r="AC15">
        <v>0</v>
      </c>
      <c r="AD15">
        <v>0</v>
      </c>
      <c r="AE15">
        <v>0</v>
      </c>
      <c r="AF15">
        <v>0</v>
      </c>
      <c r="AG15">
        <v>0</v>
      </c>
      <c r="AH15">
        <v>0</v>
      </c>
      <c r="AI15">
        <v>1</v>
      </c>
      <c r="AJ15">
        <v>0</v>
      </c>
      <c r="AK15">
        <v>0</v>
      </c>
      <c r="AL15">
        <v>0</v>
      </c>
      <c r="AM15" t="s">
        <v>49</v>
      </c>
      <c r="AN15">
        <v>0</v>
      </c>
      <c r="AO15">
        <v>2</v>
      </c>
      <c r="AP15">
        <v>0</v>
      </c>
      <c r="AQ15">
        <v>1</v>
      </c>
      <c r="AR15">
        <v>0</v>
      </c>
      <c r="AS15">
        <v>0</v>
      </c>
    </row>
    <row r="16" spans="1:45" x14ac:dyDescent="0.2">
      <c r="A16" t="s">
        <v>69</v>
      </c>
      <c r="B16" s="2">
        <f t="shared" si="0"/>
        <v>45870</v>
      </c>
      <c r="C16" t="s">
        <v>45</v>
      </c>
      <c r="D16" s="1">
        <v>8.6458333333333335E-3</v>
      </c>
      <c r="E16">
        <v>7</v>
      </c>
      <c r="F16" t="s">
        <v>67</v>
      </c>
      <c r="G16" t="s">
        <v>47</v>
      </c>
      <c r="H16" t="s">
        <v>48</v>
      </c>
      <c r="I16">
        <v>0.66666666666666596</v>
      </c>
      <c r="J16">
        <v>1</v>
      </c>
      <c r="K16">
        <v>0.83333333333333304</v>
      </c>
      <c r="L16">
        <v>0.33333333333333298</v>
      </c>
      <c r="M16">
        <v>0.54545454545454497</v>
      </c>
      <c r="N16">
        <v>0</v>
      </c>
      <c r="O16">
        <v>0</v>
      </c>
      <c r="P16">
        <v>0</v>
      </c>
      <c r="Q16">
        <v>0</v>
      </c>
      <c r="R16">
        <v>0</v>
      </c>
      <c r="S16">
        <v>0</v>
      </c>
      <c r="T16">
        <v>1</v>
      </c>
      <c r="U16">
        <v>0</v>
      </c>
      <c r="V16">
        <v>1</v>
      </c>
      <c r="W16">
        <v>0</v>
      </c>
      <c r="X16">
        <v>0</v>
      </c>
      <c r="Y16">
        <v>0</v>
      </c>
      <c r="Z16">
        <v>0</v>
      </c>
      <c r="AA16">
        <v>0</v>
      </c>
      <c r="AB16">
        <v>0</v>
      </c>
      <c r="AC16">
        <v>0</v>
      </c>
      <c r="AD16">
        <v>0</v>
      </c>
      <c r="AE16">
        <v>0</v>
      </c>
      <c r="AF16">
        <v>0</v>
      </c>
      <c r="AG16">
        <v>0</v>
      </c>
      <c r="AH16">
        <v>0</v>
      </c>
      <c r="AI16">
        <v>1</v>
      </c>
      <c r="AJ16">
        <v>0</v>
      </c>
      <c r="AK16">
        <v>0</v>
      </c>
      <c r="AL16">
        <v>0</v>
      </c>
      <c r="AM16" t="s">
        <v>49</v>
      </c>
      <c r="AN16">
        <v>0</v>
      </c>
      <c r="AO16">
        <v>2</v>
      </c>
      <c r="AP16">
        <v>0</v>
      </c>
      <c r="AQ16">
        <v>1</v>
      </c>
      <c r="AR16">
        <v>0</v>
      </c>
      <c r="AS16">
        <v>0</v>
      </c>
    </row>
    <row r="17" spans="1:45" x14ac:dyDescent="0.2">
      <c r="A17" t="s">
        <v>70</v>
      </c>
      <c r="B17" s="2">
        <f t="shared" si="0"/>
        <v>45870</v>
      </c>
      <c r="C17" t="s">
        <v>51</v>
      </c>
      <c r="D17" s="1">
        <v>1.3263888888888889E-2</v>
      </c>
      <c r="E17">
        <v>7</v>
      </c>
      <c r="F17" t="s">
        <v>67</v>
      </c>
      <c r="G17" t="s">
        <v>52</v>
      </c>
      <c r="H17" t="s">
        <v>48</v>
      </c>
      <c r="I17">
        <v>0.44444444444444398</v>
      </c>
      <c r="J17">
        <v>0.5</v>
      </c>
      <c r="K17">
        <v>0.33333333333333298</v>
      </c>
      <c r="L17">
        <v>0.266666666666666</v>
      </c>
      <c r="M17">
        <v>0.18181818181818099</v>
      </c>
      <c r="N17">
        <v>0</v>
      </c>
      <c r="O17">
        <v>0</v>
      </c>
      <c r="P17">
        <v>0</v>
      </c>
      <c r="Q17">
        <v>0</v>
      </c>
      <c r="R17">
        <v>0</v>
      </c>
      <c r="S17">
        <v>0</v>
      </c>
      <c r="T17">
        <v>1</v>
      </c>
      <c r="U17">
        <v>0</v>
      </c>
      <c r="V17">
        <v>1</v>
      </c>
      <c r="W17">
        <v>0</v>
      </c>
      <c r="X17">
        <v>0</v>
      </c>
      <c r="Y17">
        <v>0</v>
      </c>
      <c r="Z17">
        <v>0</v>
      </c>
      <c r="AA17">
        <v>0</v>
      </c>
      <c r="AB17">
        <v>0</v>
      </c>
      <c r="AC17">
        <v>0</v>
      </c>
      <c r="AD17">
        <v>0</v>
      </c>
      <c r="AE17">
        <v>0</v>
      </c>
      <c r="AF17">
        <v>0</v>
      </c>
      <c r="AG17">
        <v>0</v>
      </c>
      <c r="AH17">
        <v>0</v>
      </c>
      <c r="AI17">
        <v>1</v>
      </c>
      <c r="AJ17">
        <v>0</v>
      </c>
      <c r="AK17">
        <v>0</v>
      </c>
      <c r="AL17">
        <v>0</v>
      </c>
      <c r="AM17" t="s">
        <v>49</v>
      </c>
      <c r="AN17">
        <v>0</v>
      </c>
      <c r="AO17">
        <v>2</v>
      </c>
      <c r="AP17">
        <v>0</v>
      </c>
      <c r="AQ17">
        <v>1</v>
      </c>
      <c r="AR17">
        <v>0</v>
      </c>
      <c r="AS17">
        <v>0</v>
      </c>
    </row>
    <row r="18" spans="1:45" x14ac:dyDescent="0.2">
      <c r="A18" t="s">
        <v>70</v>
      </c>
      <c r="B18" s="2">
        <f t="shared" si="0"/>
        <v>45870</v>
      </c>
      <c r="C18" t="s">
        <v>51</v>
      </c>
      <c r="D18" s="1">
        <v>1.4270833333333333E-2</v>
      </c>
      <c r="E18">
        <v>29</v>
      </c>
      <c r="F18" t="s">
        <v>60</v>
      </c>
      <c r="G18" t="s">
        <v>71</v>
      </c>
      <c r="H18" t="s">
        <v>48</v>
      </c>
      <c r="I18">
        <v>0.55555555555555503</v>
      </c>
      <c r="J18">
        <v>1</v>
      </c>
      <c r="K18">
        <v>0.66666666666666596</v>
      </c>
      <c r="L18">
        <v>0.46666666666666601</v>
      </c>
      <c r="M18">
        <v>0.18181818181818099</v>
      </c>
      <c r="N18">
        <v>0</v>
      </c>
      <c r="O18">
        <v>0</v>
      </c>
      <c r="P18">
        <v>1</v>
      </c>
      <c r="Q18">
        <v>0</v>
      </c>
      <c r="R18">
        <v>0</v>
      </c>
      <c r="S18">
        <v>0</v>
      </c>
      <c r="T18">
        <v>0</v>
      </c>
      <c r="U18">
        <v>0</v>
      </c>
      <c r="V18">
        <v>0</v>
      </c>
      <c r="W18">
        <v>0</v>
      </c>
      <c r="X18">
        <v>0</v>
      </c>
      <c r="Y18">
        <v>0</v>
      </c>
      <c r="Z18">
        <v>0</v>
      </c>
      <c r="AA18">
        <v>0</v>
      </c>
      <c r="AB18">
        <v>0</v>
      </c>
      <c r="AC18">
        <v>0</v>
      </c>
      <c r="AD18">
        <v>0</v>
      </c>
      <c r="AE18">
        <v>0</v>
      </c>
      <c r="AF18">
        <v>0</v>
      </c>
      <c r="AG18">
        <v>0</v>
      </c>
      <c r="AH18">
        <v>0</v>
      </c>
      <c r="AI18">
        <v>0</v>
      </c>
      <c r="AJ18">
        <v>1</v>
      </c>
      <c r="AK18">
        <v>0</v>
      </c>
      <c r="AL18">
        <v>0</v>
      </c>
      <c r="AM18" t="s">
        <v>49</v>
      </c>
      <c r="AN18">
        <v>0</v>
      </c>
      <c r="AO18">
        <v>1</v>
      </c>
      <c r="AP18">
        <v>2</v>
      </c>
      <c r="AQ18">
        <v>0</v>
      </c>
      <c r="AR18">
        <v>0</v>
      </c>
      <c r="AS18">
        <v>0</v>
      </c>
    </row>
    <row r="19" spans="1:45" x14ac:dyDescent="0.2">
      <c r="A19" t="s">
        <v>72</v>
      </c>
      <c r="B19" s="2">
        <f t="shared" si="0"/>
        <v>45870</v>
      </c>
      <c r="C19" t="s">
        <v>73</v>
      </c>
      <c r="D19" s="1">
        <v>1.0428240740740741E-2</v>
      </c>
      <c r="E19">
        <v>27</v>
      </c>
      <c r="F19" t="s">
        <v>74</v>
      </c>
      <c r="G19" t="s">
        <v>75</v>
      </c>
      <c r="H19" t="s">
        <v>58</v>
      </c>
      <c r="I19">
        <v>0.11111111111111099</v>
      </c>
      <c r="J19">
        <v>0.5</v>
      </c>
      <c r="K19">
        <v>0.33333333333333298</v>
      </c>
      <c r="L19">
        <v>0.266666666666666</v>
      </c>
      <c r="M19">
        <v>0.18181818181818099</v>
      </c>
      <c r="N19">
        <v>0</v>
      </c>
      <c r="O19">
        <v>0</v>
      </c>
      <c r="P19">
        <v>1</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t="s">
        <v>49</v>
      </c>
      <c r="AN19">
        <v>0</v>
      </c>
      <c r="AO19">
        <v>0</v>
      </c>
      <c r="AP19">
        <v>1</v>
      </c>
      <c r="AQ19">
        <v>0</v>
      </c>
      <c r="AR19">
        <v>0</v>
      </c>
      <c r="AS19">
        <v>0</v>
      </c>
    </row>
    <row r="20" spans="1:45" x14ac:dyDescent="0.2">
      <c r="A20" t="s">
        <v>76</v>
      </c>
      <c r="B20" s="2">
        <f t="shared" si="0"/>
        <v>45870</v>
      </c>
      <c r="C20" t="s">
        <v>73</v>
      </c>
      <c r="D20" s="1">
        <v>1.087962962962963E-2</v>
      </c>
      <c r="E20">
        <v>14</v>
      </c>
      <c r="F20" t="s">
        <v>77</v>
      </c>
      <c r="G20" t="s">
        <v>61</v>
      </c>
      <c r="H20" t="s">
        <v>48</v>
      </c>
      <c r="I20">
        <v>0.44444444444444398</v>
      </c>
      <c r="J20">
        <v>1</v>
      </c>
      <c r="K20">
        <v>0.5</v>
      </c>
      <c r="L20">
        <v>0.2</v>
      </c>
      <c r="M20">
        <v>0.27272727272727199</v>
      </c>
      <c r="N20">
        <v>0</v>
      </c>
      <c r="O20">
        <v>0</v>
      </c>
      <c r="P20">
        <v>0</v>
      </c>
      <c r="Q20">
        <v>0</v>
      </c>
      <c r="R20">
        <v>0</v>
      </c>
      <c r="S20">
        <v>0</v>
      </c>
      <c r="T20">
        <v>0</v>
      </c>
      <c r="U20">
        <v>0</v>
      </c>
      <c r="V20">
        <v>1</v>
      </c>
      <c r="W20">
        <v>1</v>
      </c>
      <c r="X20">
        <v>0</v>
      </c>
      <c r="Y20">
        <v>0</v>
      </c>
      <c r="Z20">
        <v>0</v>
      </c>
      <c r="AA20">
        <v>0</v>
      </c>
      <c r="AB20">
        <v>1</v>
      </c>
      <c r="AC20">
        <v>0</v>
      </c>
      <c r="AD20">
        <v>0</v>
      </c>
      <c r="AE20">
        <v>0</v>
      </c>
      <c r="AF20">
        <v>0</v>
      </c>
      <c r="AG20">
        <v>0</v>
      </c>
      <c r="AH20">
        <v>0</v>
      </c>
      <c r="AI20">
        <v>0</v>
      </c>
      <c r="AJ20">
        <v>0</v>
      </c>
      <c r="AK20">
        <v>0</v>
      </c>
      <c r="AL20">
        <v>0</v>
      </c>
      <c r="AM20" t="s">
        <v>49</v>
      </c>
      <c r="AN20">
        <v>1</v>
      </c>
      <c r="AO20">
        <v>2</v>
      </c>
      <c r="AP20">
        <v>1</v>
      </c>
      <c r="AQ20">
        <v>1</v>
      </c>
      <c r="AR20">
        <v>2</v>
      </c>
      <c r="AS20">
        <v>1</v>
      </c>
    </row>
    <row r="21" spans="1:45" x14ac:dyDescent="0.2">
      <c r="A21" t="s">
        <v>78</v>
      </c>
      <c r="B21" s="2">
        <f t="shared" si="0"/>
        <v>45901</v>
      </c>
      <c r="C21" t="s">
        <v>79</v>
      </c>
      <c r="D21" s="1">
        <v>1.3113425925925926E-2</v>
      </c>
      <c r="E21">
        <v>16</v>
      </c>
      <c r="F21" t="s">
        <v>80</v>
      </c>
      <c r="G21" t="s">
        <v>55</v>
      </c>
      <c r="H21" t="s">
        <v>48</v>
      </c>
      <c r="I21">
        <v>0.66666666666666596</v>
      </c>
      <c r="J21">
        <v>1</v>
      </c>
      <c r="K21">
        <v>0.66666666666666596</v>
      </c>
      <c r="L21">
        <v>0.33333333333333298</v>
      </c>
      <c r="M21">
        <v>0.18181818181818099</v>
      </c>
      <c r="N21">
        <v>0</v>
      </c>
      <c r="O21">
        <v>0</v>
      </c>
      <c r="P21">
        <v>0</v>
      </c>
      <c r="Q21">
        <v>1</v>
      </c>
      <c r="R21">
        <v>0</v>
      </c>
      <c r="S21">
        <v>0</v>
      </c>
      <c r="T21">
        <v>0</v>
      </c>
      <c r="U21">
        <v>0</v>
      </c>
      <c r="V21">
        <v>0</v>
      </c>
      <c r="W21">
        <v>0</v>
      </c>
      <c r="X21">
        <v>0</v>
      </c>
      <c r="Y21">
        <v>0</v>
      </c>
      <c r="Z21">
        <v>0</v>
      </c>
      <c r="AA21">
        <v>1</v>
      </c>
      <c r="AB21">
        <v>0</v>
      </c>
      <c r="AC21">
        <v>0</v>
      </c>
      <c r="AD21">
        <v>0</v>
      </c>
      <c r="AE21">
        <v>0</v>
      </c>
      <c r="AF21">
        <v>0</v>
      </c>
      <c r="AG21">
        <v>0</v>
      </c>
      <c r="AH21">
        <v>0</v>
      </c>
      <c r="AI21">
        <v>0</v>
      </c>
      <c r="AJ21">
        <v>0</v>
      </c>
      <c r="AK21">
        <v>0</v>
      </c>
      <c r="AL21">
        <v>0</v>
      </c>
      <c r="AM21" t="s">
        <v>49</v>
      </c>
      <c r="AN21">
        <v>0</v>
      </c>
      <c r="AO21">
        <v>1</v>
      </c>
      <c r="AP21">
        <v>0</v>
      </c>
      <c r="AQ21">
        <v>0</v>
      </c>
      <c r="AR21">
        <v>1</v>
      </c>
      <c r="AS21">
        <v>0</v>
      </c>
    </row>
    <row r="22" spans="1:45" x14ac:dyDescent="0.2">
      <c r="A22" t="s">
        <v>81</v>
      </c>
      <c r="B22" s="2">
        <f t="shared" si="0"/>
        <v>45901</v>
      </c>
      <c r="C22" t="s">
        <v>45</v>
      </c>
      <c r="D22" s="1">
        <v>7.4884259259259262E-3</v>
      </c>
      <c r="E22">
        <v>29</v>
      </c>
      <c r="F22" t="s">
        <v>60</v>
      </c>
      <c r="G22" t="s">
        <v>82</v>
      </c>
      <c r="H22" t="s">
        <v>48</v>
      </c>
      <c r="I22">
        <v>0.44444444444444398</v>
      </c>
      <c r="J22">
        <v>1</v>
      </c>
      <c r="K22">
        <v>0.5</v>
      </c>
      <c r="L22">
        <v>0.33333333333333298</v>
      </c>
      <c r="M22">
        <v>0.18181818181818099</v>
      </c>
      <c r="N22">
        <v>0</v>
      </c>
      <c r="O22">
        <v>0</v>
      </c>
      <c r="P22">
        <v>1</v>
      </c>
      <c r="Q22">
        <v>0</v>
      </c>
      <c r="R22">
        <v>0</v>
      </c>
      <c r="S22">
        <v>0</v>
      </c>
      <c r="T22">
        <v>0</v>
      </c>
      <c r="U22">
        <v>0</v>
      </c>
      <c r="V22">
        <v>0</v>
      </c>
      <c r="W22">
        <v>0</v>
      </c>
      <c r="X22">
        <v>0</v>
      </c>
      <c r="Y22">
        <v>0</v>
      </c>
      <c r="Z22">
        <v>0</v>
      </c>
      <c r="AA22">
        <v>0</v>
      </c>
      <c r="AB22">
        <v>0</v>
      </c>
      <c r="AC22">
        <v>0</v>
      </c>
      <c r="AD22">
        <v>0</v>
      </c>
      <c r="AE22">
        <v>0</v>
      </c>
      <c r="AF22">
        <v>0</v>
      </c>
      <c r="AG22">
        <v>0</v>
      </c>
      <c r="AH22">
        <v>0</v>
      </c>
      <c r="AI22">
        <v>0</v>
      </c>
      <c r="AJ22">
        <v>1</v>
      </c>
      <c r="AK22">
        <v>0</v>
      </c>
      <c r="AL22">
        <v>0</v>
      </c>
      <c r="AM22" t="s">
        <v>49</v>
      </c>
      <c r="AN22">
        <v>0</v>
      </c>
      <c r="AO22">
        <v>1</v>
      </c>
      <c r="AP22">
        <v>2</v>
      </c>
      <c r="AQ22">
        <v>0</v>
      </c>
      <c r="AR22">
        <v>0</v>
      </c>
      <c r="AS22">
        <v>0</v>
      </c>
    </row>
    <row r="23" spans="1:45" x14ac:dyDescent="0.2">
      <c r="A23" t="s">
        <v>83</v>
      </c>
      <c r="B23" s="2">
        <f t="shared" si="0"/>
        <v>45901</v>
      </c>
      <c r="C23" t="s">
        <v>51</v>
      </c>
      <c r="D23" s="1">
        <v>8.9930555555555562E-3</v>
      </c>
      <c r="E23">
        <v>31</v>
      </c>
      <c r="F23" t="s">
        <v>84</v>
      </c>
      <c r="G23" t="s">
        <v>85</v>
      </c>
      <c r="H23" t="s">
        <v>48</v>
      </c>
      <c r="I23">
        <v>0.22222222222222199</v>
      </c>
      <c r="J23">
        <v>1</v>
      </c>
      <c r="K23">
        <v>0.66666666666666596</v>
      </c>
      <c r="L23">
        <v>0.266666666666666</v>
      </c>
      <c r="M23">
        <v>9.0909090909090898E-2</v>
      </c>
      <c r="N23">
        <v>0</v>
      </c>
      <c r="O23">
        <v>0</v>
      </c>
      <c r="P23">
        <v>1</v>
      </c>
      <c r="Q23">
        <v>0</v>
      </c>
      <c r="R23">
        <v>0</v>
      </c>
      <c r="S23">
        <v>0</v>
      </c>
      <c r="T23">
        <v>0</v>
      </c>
      <c r="U23">
        <v>0</v>
      </c>
      <c r="V23">
        <v>0</v>
      </c>
      <c r="W23">
        <v>0</v>
      </c>
      <c r="X23">
        <v>0</v>
      </c>
      <c r="Y23">
        <v>1</v>
      </c>
      <c r="Z23">
        <v>0</v>
      </c>
      <c r="AA23">
        <v>0</v>
      </c>
      <c r="AB23">
        <v>0</v>
      </c>
      <c r="AC23">
        <v>0</v>
      </c>
      <c r="AD23">
        <v>0</v>
      </c>
      <c r="AE23">
        <v>0</v>
      </c>
      <c r="AF23">
        <v>0</v>
      </c>
      <c r="AG23">
        <v>0</v>
      </c>
      <c r="AH23">
        <v>0</v>
      </c>
      <c r="AI23">
        <v>0</v>
      </c>
      <c r="AJ23">
        <v>0</v>
      </c>
      <c r="AK23">
        <v>0</v>
      </c>
      <c r="AL23">
        <v>0</v>
      </c>
      <c r="AM23" t="s">
        <v>49</v>
      </c>
      <c r="AN23">
        <v>0</v>
      </c>
      <c r="AO23">
        <v>1</v>
      </c>
      <c r="AP23">
        <v>1</v>
      </c>
      <c r="AQ23">
        <v>0</v>
      </c>
      <c r="AR23">
        <v>0</v>
      </c>
      <c r="AS23">
        <v>0</v>
      </c>
    </row>
    <row r="24" spans="1:45" x14ac:dyDescent="0.2">
      <c r="A24" t="s">
        <v>83</v>
      </c>
      <c r="B24" s="2">
        <f t="shared" si="0"/>
        <v>45901</v>
      </c>
      <c r="C24" t="s">
        <v>51</v>
      </c>
      <c r="D24" s="1">
        <v>1.3912037037037037E-2</v>
      </c>
      <c r="E24">
        <v>31</v>
      </c>
      <c r="F24" t="s">
        <v>84</v>
      </c>
      <c r="G24" t="s">
        <v>71</v>
      </c>
      <c r="H24" t="s">
        <v>58</v>
      </c>
      <c r="I24">
        <v>0.66666666666666596</v>
      </c>
      <c r="J24">
        <v>1</v>
      </c>
      <c r="K24">
        <v>0.66666666666666596</v>
      </c>
      <c r="L24">
        <v>0.266666666666666</v>
      </c>
      <c r="M24">
        <v>0</v>
      </c>
      <c r="N24">
        <v>0</v>
      </c>
      <c r="O24">
        <v>0</v>
      </c>
      <c r="P24">
        <v>1</v>
      </c>
      <c r="Q24">
        <v>0</v>
      </c>
      <c r="R24">
        <v>0</v>
      </c>
      <c r="S24">
        <v>0</v>
      </c>
      <c r="T24">
        <v>0</v>
      </c>
      <c r="U24">
        <v>0</v>
      </c>
      <c r="V24">
        <v>0</v>
      </c>
      <c r="W24">
        <v>0</v>
      </c>
      <c r="X24">
        <v>0</v>
      </c>
      <c r="Y24">
        <v>1</v>
      </c>
      <c r="Z24">
        <v>0</v>
      </c>
      <c r="AA24">
        <v>0</v>
      </c>
      <c r="AB24">
        <v>0</v>
      </c>
      <c r="AC24">
        <v>0</v>
      </c>
      <c r="AD24">
        <v>0</v>
      </c>
      <c r="AE24">
        <v>0</v>
      </c>
      <c r="AF24">
        <v>0</v>
      </c>
      <c r="AG24">
        <v>0</v>
      </c>
      <c r="AH24">
        <v>0</v>
      </c>
      <c r="AI24">
        <v>0</v>
      </c>
      <c r="AJ24">
        <v>0</v>
      </c>
      <c r="AK24">
        <v>0</v>
      </c>
      <c r="AL24">
        <v>0</v>
      </c>
      <c r="AM24" t="s">
        <v>49</v>
      </c>
      <c r="AN24">
        <v>0</v>
      </c>
      <c r="AO24">
        <v>1</v>
      </c>
      <c r="AP24">
        <v>1</v>
      </c>
      <c r="AQ24">
        <v>0</v>
      </c>
      <c r="AR24">
        <v>0</v>
      </c>
      <c r="AS24">
        <v>0</v>
      </c>
    </row>
    <row r="25" spans="1:45" x14ac:dyDescent="0.2">
      <c r="A25" t="s">
        <v>86</v>
      </c>
      <c r="B25" s="2">
        <f t="shared" si="0"/>
        <v>45901</v>
      </c>
      <c r="C25" t="s">
        <v>73</v>
      </c>
      <c r="D25" s="1">
        <v>1.3900462962962963E-2</v>
      </c>
      <c r="E25">
        <v>31</v>
      </c>
      <c r="F25" t="s">
        <v>84</v>
      </c>
      <c r="G25" t="s">
        <v>75</v>
      </c>
      <c r="H25" t="s">
        <v>58</v>
      </c>
      <c r="I25">
        <v>0.44444444444444398</v>
      </c>
      <c r="J25">
        <v>0.5</v>
      </c>
      <c r="K25">
        <v>0.5</v>
      </c>
      <c r="L25">
        <v>0.6</v>
      </c>
      <c r="M25">
        <v>0.27272727272727199</v>
      </c>
      <c r="N25">
        <v>0</v>
      </c>
      <c r="O25">
        <v>0</v>
      </c>
      <c r="P25">
        <v>1</v>
      </c>
      <c r="Q25">
        <v>0</v>
      </c>
      <c r="R25">
        <v>0</v>
      </c>
      <c r="S25">
        <v>0</v>
      </c>
      <c r="T25">
        <v>0</v>
      </c>
      <c r="U25">
        <v>0</v>
      </c>
      <c r="V25">
        <v>0</v>
      </c>
      <c r="W25">
        <v>0</v>
      </c>
      <c r="X25">
        <v>0</v>
      </c>
      <c r="Y25">
        <v>1</v>
      </c>
      <c r="Z25">
        <v>0</v>
      </c>
      <c r="AA25">
        <v>0</v>
      </c>
      <c r="AB25">
        <v>0</v>
      </c>
      <c r="AC25">
        <v>0</v>
      </c>
      <c r="AD25">
        <v>0</v>
      </c>
      <c r="AE25">
        <v>0</v>
      </c>
      <c r="AF25">
        <v>0</v>
      </c>
      <c r="AG25">
        <v>0</v>
      </c>
      <c r="AH25">
        <v>0</v>
      </c>
      <c r="AI25">
        <v>0</v>
      </c>
      <c r="AJ25">
        <v>0</v>
      </c>
      <c r="AK25">
        <v>0</v>
      </c>
      <c r="AL25">
        <v>0</v>
      </c>
      <c r="AM25" t="s">
        <v>49</v>
      </c>
      <c r="AN25">
        <v>0</v>
      </c>
      <c r="AO25">
        <v>1</v>
      </c>
      <c r="AP25">
        <v>1</v>
      </c>
      <c r="AQ25">
        <v>0</v>
      </c>
      <c r="AR25">
        <v>0</v>
      </c>
      <c r="AS25">
        <v>0</v>
      </c>
    </row>
    <row r="26" spans="1:45" x14ac:dyDescent="0.2">
      <c r="A26" t="s">
        <v>86</v>
      </c>
      <c r="B26" s="2">
        <f t="shared" si="0"/>
        <v>45901</v>
      </c>
      <c r="C26" t="s">
        <v>73</v>
      </c>
      <c r="D26" s="1">
        <v>1.3900462962962963E-2</v>
      </c>
      <c r="E26">
        <v>16</v>
      </c>
      <c r="F26" t="s">
        <v>80</v>
      </c>
      <c r="G26" t="s">
        <v>61</v>
      </c>
      <c r="H26" t="s">
        <v>58</v>
      </c>
      <c r="I26">
        <v>0.22222222222222199</v>
      </c>
      <c r="J26">
        <v>1</v>
      </c>
      <c r="K26">
        <v>0.5</v>
      </c>
      <c r="L26">
        <v>0.33333333333333298</v>
      </c>
      <c r="M26">
        <v>0.27272727272727199</v>
      </c>
      <c r="N26">
        <v>0</v>
      </c>
      <c r="O26">
        <v>0</v>
      </c>
      <c r="P26">
        <v>0</v>
      </c>
      <c r="Q26">
        <v>1</v>
      </c>
      <c r="R26">
        <v>0</v>
      </c>
      <c r="S26">
        <v>0</v>
      </c>
      <c r="T26">
        <v>0</v>
      </c>
      <c r="U26">
        <v>0</v>
      </c>
      <c r="V26">
        <v>0</v>
      </c>
      <c r="W26">
        <v>0</v>
      </c>
      <c r="X26">
        <v>0</v>
      </c>
      <c r="Y26">
        <v>0</v>
      </c>
      <c r="Z26">
        <v>0</v>
      </c>
      <c r="AA26">
        <v>1</v>
      </c>
      <c r="AB26">
        <v>0</v>
      </c>
      <c r="AC26">
        <v>0</v>
      </c>
      <c r="AD26">
        <v>0</v>
      </c>
      <c r="AE26">
        <v>0</v>
      </c>
      <c r="AF26">
        <v>0</v>
      </c>
      <c r="AG26">
        <v>0</v>
      </c>
      <c r="AH26">
        <v>0</v>
      </c>
      <c r="AI26">
        <v>0</v>
      </c>
      <c r="AJ26">
        <v>0</v>
      </c>
      <c r="AK26">
        <v>0</v>
      </c>
      <c r="AL26">
        <v>0</v>
      </c>
      <c r="AM26" t="s">
        <v>49</v>
      </c>
      <c r="AN26">
        <v>0</v>
      </c>
      <c r="AO26">
        <v>1</v>
      </c>
      <c r="AP26">
        <v>0</v>
      </c>
      <c r="AQ26">
        <v>0</v>
      </c>
      <c r="AR26">
        <v>1</v>
      </c>
      <c r="AS26">
        <v>0</v>
      </c>
    </row>
    <row r="27" spans="1:45" x14ac:dyDescent="0.2">
      <c r="A27" t="s">
        <v>86</v>
      </c>
      <c r="B27" s="2">
        <f t="shared" si="0"/>
        <v>45901</v>
      </c>
      <c r="C27" t="s">
        <v>73</v>
      </c>
      <c r="D27" s="1">
        <v>1.3182870370370371E-2</v>
      </c>
      <c r="E27">
        <v>29</v>
      </c>
      <c r="F27" t="s">
        <v>60</v>
      </c>
      <c r="G27" t="s">
        <v>87</v>
      </c>
      <c r="H27" t="s">
        <v>48</v>
      </c>
      <c r="I27">
        <v>0.44444444444444398</v>
      </c>
      <c r="J27">
        <v>1</v>
      </c>
      <c r="K27">
        <v>0.5</v>
      </c>
      <c r="L27">
        <v>0.266666666666666</v>
      </c>
      <c r="M27">
        <v>0.27272727272727199</v>
      </c>
      <c r="N27">
        <v>0</v>
      </c>
      <c r="O27">
        <v>0</v>
      </c>
      <c r="P27">
        <v>1</v>
      </c>
      <c r="Q27">
        <v>0</v>
      </c>
      <c r="R27">
        <v>0</v>
      </c>
      <c r="S27">
        <v>0</v>
      </c>
      <c r="T27">
        <v>0</v>
      </c>
      <c r="U27">
        <v>0</v>
      </c>
      <c r="V27">
        <v>0</v>
      </c>
      <c r="W27">
        <v>0</v>
      </c>
      <c r="X27">
        <v>0</v>
      </c>
      <c r="Y27">
        <v>0</v>
      </c>
      <c r="Z27">
        <v>0</v>
      </c>
      <c r="AA27">
        <v>0</v>
      </c>
      <c r="AB27">
        <v>0</v>
      </c>
      <c r="AC27">
        <v>0</v>
      </c>
      <c r="AD27">
        <v>0</v>
      </c>
      <c r="AE27">
        <v>0</v>
      </c>
      <c r="AF27">
        <v>0</v>
      </c>
      <c r="AG27">
        <v>0</v>
      </c>
      <c r="AH27">
        <v>0</v>
      </c>
      <c r="AI27">
        <v>0</v>
      </c>
      <c r="AJ27">
        <v>1</v>
      </c>
      <c r="AK27">
        <v>0</v>
      </c>
      <c r="AL27">
        <v>0</v>
      </c>
      <c r="AM27" t="s">
        <v>49</v>
      </c>
      <c r="AN27">
        <v>0</v>
      </c>
      <c r="AO27">
        <v>1</v>
      </c>
      <c r="AP27">
        <v>2</v>
      </c>
      <c r="AQ27">
        <v>0</v>
      </c>
      <c r="AR27">
        <v>0</v>
      </c>
      <c r="AS27">
        <v>0</v>
      </c>
    </row>
    <row r="28" spans="1:45" x14ac:dyDescent="0.2">
      <c r="A28" t="s">
        <v>88</v>
      </c>
      <c r="B28" s="2">
        <f t="shared" si="0"/>
        <v>45901</v>
      </c>
      <c r="C28" t="s">
        <v>45</v>
      </c>
      <c r="D28" s="1">
        <v>1.306712962962963E-2</v>
      </c>
      <c r="E28">
        <v>31</v>
      </c>
      <c r="F28" t="s">
        <v>84</v>
      </c>
      <c r="G28" t="s">
        <v>82</v>
      </c>
      <c r="H28" t="s">
        <v>48</v>
      </c>
      <c r="I28">
        <v>0.44444444444444398</v>
      </c>
      <c r="J28">
        <v>1</v>
      </c>
      <c r="K28">
        <v>0.66666666666666596</v>
      </c>
      <c r="L28">
        <v>0.33333333333333298</v>
      </c>
      <c r="M28">
        <v>9.0909090909090898E-2</v>
      </c>
      <c r="N28">
        <v>0</v>
      </c>
      <c r="O28">
        <v>0</v>
      </c>
      <c r="P28">
        <v>1</v>
      </c>
      <c r="Q28">
        <v>0</v>
      </c>
      <c r="R28">
        <v>0</v>
      </c>
      <c r="S28">
        <v>0</v>
      </c>
      <c r="T28">
        <v>0</v>
      </c>
      <c r="U28">
        <v>0</v>
      </c>
      <c r="V28">
        <v>0</v>
      </c>
      <c r="W28">
        <v>0</v>
      </c>
      <c r="X28">
        <v>0</v>
      </c>
      <c r="Y28">
        <v>1</v>
      </c>
      <c r="Z28">
        <v>0</v>
      </c>
      <c r="AA28">
        <v>0</v>
      </c>
      <c r="AB28">
        <v>0</v>
      </c>
      <c r="AC28">
        <v>0</v>
      </c>
      <c r="AD28">
        <v>0</v>
      </c>
      <c r="AE28">
        <v>0</v>
      </c>
      <c r="AF28">
        <v>0</v>
      </c>
      <c r="AG28">
        <v>0</v>
      </c>
      <c r="AH28">
        <v>0</v>
      </c>
      <c r="AI28">
        <v>0</v>
      </c>
      <c r="AJ28">
        <v>0</v>
      </c>
      <c r="AK28">
        <v>0</v>
      </c>
      <c r="AL28">
        <v>0</v>
      </c>
      <c r="AM28" t="s">
        <v>49</v>
      </c>
      <c r="AN28">
        <v>0</v>
      </c>
      <c r="AO28">
        <v>1</v>
      </c>
      <c r="AP28">
        <v>1</v>
      </c>
      <c r="AQ28">
        <v>0</v>
      </c>
      <c r="AR28">
        <v>0</v>
      </c>
      <c r="AS28">
        <v>0</v>
      </c>
    </row>
    <row r="29" spans="1:45" x14ac:dyDescent="0.2">
      <c r="A29" t="s">
        <v>88</v>
      </c>
      <c r="B29" s="2">
        <f t="shared" si="0"/>
        <v>45901</v>
      </c>
      <c r="C29" t="s">
        <v>45</v>
      </c>
      <c r="D29" s="1">
        <v>1.1041666666666667E-2</v>
      </c>
      <c r="E29">
        <v>14</v>
      </c>
      <c r="F29" t="s">
        <v>77</v>
      </c>
      <c r="G29" t="s">
        <v>47</v>
      </c>
      <c r="H29" t="s">
        <v>48</v>
      </c>
      <c r="I29">
        <v>0.77777777777777701</v>
      </c>
      <c r="J29">
        <v>1</v>
      </c>
      <c r="K29">
        <v>0.66666666666666596</v>
      </c>
      <c r="L29">
        <v>0.8</v>
      </c>
      <c r="M29">
        <v>0.63636363636363602</v>
      </c>
      <c r="N29">
        <v>0</v>
      </c>
      <c r="O29">
        <v>0</v>
      </c>
      <c r="P29">
        <v>0</v>
      </c>
      <c r="Q29">
        <v>0</v>
      </c>
      <c r="R29">
        <v>0</v>
      </c>
      <c r="S29">
        <v>0</v>
      </c>
      <c r="T29">
        <v>0</v>
      </c>
      <c r="U29">
        <v>0</v>
      </c>
      <c r="V29">
        <v>1</v>
      </c>
      <c r="W29">
        <v>1</v>
      </c>
      <c r="X29">
        <v>0</v>
      </c>
      <c r="Y29">
        <v>0</v>
      </c>
      <c r="Z29">
        <v>0</v>
      </c>
      <c r="AA29">
        <v>0</v>
      </c>
      <c r="AB29">
        <v>1</v>
      </c>
      <c r="AC29">
        <v>0</v>
      </c>
      <c r="AD29">
        <v>0</v>
      </c>
      <c r="AE29">
        <v>0</v>
      </c>
      <c r="AF29">
        <v>0</v>
      </c>
      <c r="AG29">
        <v>0</v>
      </c>
      <c r="AH29">
        <v>0</v>
      </c>
      <c r="AI29">
        <v>0</v>
      </c>
      <c r="AJ29">
        <v>0</v>
      </c>
      <c r="AK29">
        <v>0</v>
      </c>
      <c r="AL29">
        <v>0</v>
      </c>
      <c r="AM29" t="s">
        <v>49</v>
      </c>
      <c r="AN29">
        <v>1</v>
      </c>
      <c r="AO29">
        <v>2</v>
      </c>
      <c r="AP29">
        <v>1</v>
      </c>
      <c r="AQ29">
        <v>1</v>
      </c>
      <c r="AR29">
        <v>2</v>
      </c>
      <c r="AS29">
        <v>1</v>
      </c>
    </row>
    <row r="30" spans="1:45" x14ac:dyDescent="0.2">
      <c r="A30" t="s">
        <v>89</v>
      </c>
      <c r="B30" s="2">
        <f t="shared" si="0"/>
        <v>45901</v>
      </c>
      <c r="C30" t="s">
        <v>51</v>
      </c>
      <c r="D30" s="1">
        <v>1.3333333333333334E-2</v>
      </c>
      <c r="E30">
        <v>6</v>
      </c>
      <c r="F30" t="s">
        <v>64</v>
      </c>
      <c r="G30" t="s">
        <v>85</v>
      </c>
      <c r="H30" t="s">
        <v>48</v>
      </c>
      <c r="I30">
        <v>0.33333333333333298</v>
      </c>
      <c r="J30">
        <v>1</v>
      </c>
      <c r="K30">
        <v>0.33333333333333298</v>
      </c>
      <c r="L30">
        <v>0.46666666666666601</v>
      </c>
      <c r="M30">
        <v>0.27272727272727199</v>
      </c>
      <c r="N30">
        <v>0</v>
      </c>
      <c r="O30">
        <v>0</v>
      </c>
      <c r="P30">
        <v>0</v>
      </c>
      <c r="Q30">
        <v>0</v>
      </c>
      <c r="R30">
        <v>0</v>
      </c>
      <c r="S30">
        <v>0</v>
      </c>
      <c r="T30">
        <v>0</v>
      </c>
      <c r="U30">
        <v>0</v>
      </c>
      <c r="V30">
        <v>1</v>
      </c>
      <c r="W30">
        <v>0</v>
      </c>
      <c r="X30">
        <v>0</v>
      </c>
      <c r="Y30">
        <v>0</v>
      </c>
      <c r="Z30">
        <v>0</v>
      </c>
      <c r="AA30">
        <v>0</v>
      </c>
      <c r="AB30">
        <v>0</v>
      </c>
      <c r="AC30">
        <v>0</v>
      </c>
      <c r="AD30">
        <v>0</v>
      </c>
      <c r="AE30">
        <v>0</v>
      </c>
      <c r="AF30">
        <v>0</v>
      </c>
      <c r="AG30">
        <v>1</v>
      </c>
      <c r="AH30">
        <v>1</v>
      </c>
      <c r="AI30">
        <v>1</v>
      </c>
      <c r="AJ30">
        <v>0</v>
      </c>
      <c r="AK30">
        <v>0</v>
      </c>
      <c r="AL30">
        <v>0</v>
      </c>
      <c r="AM30" t="s">
        <v>49</v>
      </c>
      <c r="AN30">
        <v>0</v>
      </c>
      <c r="AO30">
        <v>2</v>
      </c>
      <c r="AP30">
        <v>0</v>
      </c>
      <c r="AQ30">
        <v>2</v>
      </c>
      <c r="AR30">
        <v>0</v>
      </c>
      <c r="AS30">
        <v>0</v>
      </c>
    </row>
    <row r="31" spans="1:45" x14ac:dyDescent="0.2">
      <c r="A31" t="s">
        <v>90</v>
      </c>
      <c r="B31" s="2">
        <f t="shared" si="0"/>
        <v>45901</v>
      </c>
      <c r="C31" t="s">
        <v>73</v>
      </c>
      <c r="D31" s="1">
        <v>1.3900462962962963E-2</v>
      </c>
      <c r="E31">
        <v>4</v>
      </c>
      <c r="F31" t="s">
        <v>91</v>
      </c>
      <c r="G31" t="s">
        <v>61</v>
      </c>
      <c r="H31" t="s">
        <v>58</v>
      </c>
      <c r="I31">
        <v>0.22222222222222199</v>
      </c>
      <c r="J31">
        <v>1</v>
      </c>
      <c r="K31">
        <v>0.33333333333333298</v>
      </c>
      <c r="L31">
        <v>0.266666666666666</v>
      </c>
      <c r="M31">
        <v>0.18181818181818099</v>
      </c>
      <c r="N31">
        <v>1</v>
      </c>
      <c r="O31">
        <v>0</v>
      </c>
      <c r="P31">
        <v>0</v>
      </c>
      <c r="Q31">
        <v>0</v>
      </c>
      <c r="R31">
        <v>0</v>
      </c>
      <c r="S31">
        <v>0</v>
      </c>
      <c r="T31">
        <v>0</v>
      </c>
      <c r="U31">
        <v>0</v>
      </c>
      <c r="V31">
        <v>0</v>
      </c>
      <c r="W31">
        <v>0</v>
      </c>
      <c r="X31">
        <v>0</v>
      </c>
      <c r="Y31">
        <v>0</v>
      </c>
      <c r="Z31">
        <v>0</v>
      </c>
      <c r="AA31">
        <v>0</v>
      </c>
      <c r="AB31">
        <v>1</v>
      </c>
      <c r="AC31">
        <v>0</v>
      </c>
      <c r="AD31">
        <v>1</v>
      </c>
      <c r="AE31">
        <v>0</v>
      </c>
      <c r="AF31">
        <v>1</v>
      </c>
      <c r="AG31">
        <v>0</v>
      </c>
      <c r="AH31">
        <v>0</v>
      </c>
      <c r="AI31">
        <v>0</v>
      </c>
      <c r="AJ31">
        <v>0</v>
      </c>
      <c r="AK31">
        <v>0</v>
      </c>
      <c r="AL31">
        <v>0</v>
      </c>
      <c r="AM31" t="s">
        <v>49</v>
      </c>
      <c r="AN31">
        <v>1</v>
      </c>
      <c r="AO31">
        <v>4</v>
      </c>
      <c r="AP31">
        <v>1</v>
      </c>
      <c r="AQ31">
        <v>1</v>
      </c>
      <c r="AR31">
        <v>1</v>
      </c>
      <c r="AS31">
        <v>1</v>
      </c>
    </row>
    <row r="32" spans="1:45" x14ac:dyDescent="0.2">
      <c r="A32" t="s">
        <v>90</v>
      </c>
      <c r="B32" s="2">
        <f t="shared" si="0"/>
        <v>45901</v>
      </c>
      <c r="C32" t="s">
        <v>73</v>
      </c>
      <c r="D32" s="1">
        <v>1.2847222222222222E-2</v>
      </c>
      <c r="E32">
        <v>31</v>
      </c>
      <c r="F32" t="s">
        <v>84</v>
      </c>
      <c r="G32" t="s">
        <v>87</v>
      </c>
      <c r="H32" t="s">
        <v>48</v>
      </c>
      <c r="I32">
        <v>0.55555555555555503</v>
      </c>
      <c r="J32">
        <v>1</v>
      </c>
      <c r="K32">
        <v>0.33333333333333298</v>
      </c>
      <c r="L32">
        <v>0.266666666666666</v>
      </c>
      <c r="M32">
        <v>9.0909090909090898E-2</v>
      </c>
      <c r="N32">
        <v>0</v>
      </c>
      <c r="O32">
        <v>0</v>
      </c>
      <c r="P32">
        <v>1</v>
      </c>
      <c r="Q32">
        <v>0</v>
      </c>
      <c r="R32">
        <v>0</v>
      </c>
      <c r="S32">
        <v>0</v>
      </c>
      <c r="T32">
        <v>0</v>
      </c>
      <c r="U32">
        <v>0</v>
      </c>
      <c r="V32">
        <v>0</v>
      </c>
      <c r="W32">
        <v>0</v>
      </c>
      <c r="X32">
        <v>0</v>
      </c>
      <c r="Y32">
        <v>1</v>
      </c>
      <c r="Z32">
        <v>0</v>
      </c>
      <c r="AA32">
        <v>0</v>
      </c>
      <c r="AB32">
        <v>0</v>
      </c>
      <c r="AC32">
        <v>0</v>
      </c>
      <c r="AD32">
        <v>0</v>
      </c>
      <c r="AE32">
        <v>0</v>
      </c>
      <c r="AF32">
        <v>0</v>
      </c>
      <c r="AG32">
        <v>0</v>
      </c>
      <c r="AH32">
        <v>0</v>
      </c>
      <c r="AI32">
        <v>0</v>
      </c>
      <c r="AJ32">
        <v>0</v>
      </c>
      <c r="AK32">
        <v>0</v>
      </c>
      <c r="AL32">
        <v>0</v>
      </c>
      <c r="AM32" t="s">
        <v>49</v>
      </c>
      <c r="AN32">
        <v>0</v>
      </c>
      <c r="AO32">
        <v>1</v>
      </c>
      <c r="AP32">
        <v>1</v>
      </c>
      <c r="AQ32">
        <v>0</v>
      </c>
      <c r="AR32">
        <v>0</v>
      </c>
      <c r="AS32">
        <v>0</v>
      </c>
    </row>
    <row r="33" spans="1:45" x14ac:dyDescent="0.2">
      <c r="A33" t="s">
        <v>92</v>
      </c>
      <c r="B33" s="2">
        <f t="shared" si="0"/>
        <v>45901</v>
      </c>
      <c r="C33" t="s">
        <v>51</v>
      </c>
      <c r="D33" s="1">
        <v>9.1435185185185178E-3</v>
      </c>
      <c r="E33">
        <v>7</v>
      </c>
      <c r="F33" t="s">
        <v>67</v>
      </c>
      <c r="G33" t="s">
        <v>85</v>
      </c>
      <c r="H33" t="s">
        <v>48</v>
      </c>
      <c r="I33">
        <v>0.44444444444444398</v>
      </c>
      <c r="J33">
        <v>0.5</v>
      </c>
      <c r="K33">
        <v>0.16666666666666599</v>
      </c>
      <c r="L33">
        <v>0.46666666666666601</v>
      </c>
      <c r="M33">
        <v>0.27272727272727199</v>
      </c>
      <c r="N33">
        <v>0</v>
      </c>
      <c r="O33">
        <v>0</v>
      </c>
      <c r="P33">
        <v>0</v>
      </c>
      <c r="Q33">
        <v>0</v>
      </c>
      <c r="R33">
        <v>0</v>
      </c>
      <c r="S33">
        <v>0</v>
      </c>
      <c r="T33">
        <v>1</v>
      </c>
      <c r="U33">
        <v>0</v>
      </c>
      <c r="V33">
        <v>1</v>
      </c>
      <c r="W33">
        <v>0</v>
      </c>
      <c r="X33">
        <v>0</v>
      </c>
      <c r="Y33">
        <v>0</v>
      </c>
      <c r="Z33">
        <v>0</v>
      </c>
      <c r="AA33">
        <v>0</v>
      </c>
      <c r="AB33">
        <v>0</v>
      </c>
      <c r="AC33">
        <v>0</v>
      </c>
      <c r="AD33">
        <v>0</v>
      </c>
      <c r="AE33">
        <v>0</v>
      </c>
      <c r="AF33">
        <v>0</v>
      </c>
      <c r="AG33">
        <v>0</v>
      </c>
      <c r="AH33">
        <v>0</v>
      </c>
      <c r="AI33">
        <v>1</v>
      </c>
      <c r="AJ33">
        <v>0</v>
      </c>
      <c r="AK33">
        <v>0</v>
      </c>
      <c r="AL33">
        <v>0</v>
      </c>
      <c r="AM33" t="s">
        <v>49</v>
      </c>
      <c r="AN33">
        <v>0</v>
      </c>
      <c r="AO33">
        <v>2</v>
      </c>
      <c r="AP33">
        <v>0</v>
      </c>
      <c r="AQ33">
        <v>1</v>
      </c>
      <c r="AR33">
        <v>0</v>
      </c>
      <c r="AS33">
        <v>0</v>
      </c>
    </row>
    <row r="34" spans="1:45" x14ac:dyDescent="0.2">
      <c r="A34" t="s">
        <v>92</v>
      </c>
      <c r="B34" s="2">
        <f t="shared" si="0"/>
        <v>45901</v>
      </c>
      <c r="C34" t="s">
        <v>51</v>
      </c>
      <c r="D34" s="1">
        <v>1.3900462962962963E-2</v>
      </c>
      <c r="E34">
        <v>6</v>
      </c>
      <c r="F34" t="s">
        <v>64</v>
      </c>
      <c r="G34" t="s">
        <v>71</v>
      </c>
      <c r="H34" t="s">
        <v>58</v>
      </c>
      <c r="I34">
        <v>0.55555555555555503</v>
      </c>
      <c r="J34">
        <v>1</v>
      </c>
      <c r="K34">
        <v>0.83333333333333304</v>
      </c>
      <c r="L34">
        <v>0.46666666666666601</v>
      </c>
      <c r="M34">
        <v>0.27272727272727199</v>
      </c>
      <c r="N34">
        <v>0</v>
      </c>
      <c r="O34">
        <v>0</v>
      </c>
      <c r="P34">
        <v>0</v>
      </c>
      <c r="Q34">
        <v>0</v>
      </c>
      <c r="R34">
        <v>0</v>
      </c>
      <c r="S34">
        <v>0</v>
      </c>
      <c r="T34">
        <v>0</v>
      </c>
      <c r="U34">
        <v>0</v>
      </c>
      <c r="V34">
        <v>1</v>
      </c>
      <c r="W34">
        <v>0</v>
      </c>
      <c r="X34">
        <v>0</v>
      </c>
      <c r="Y34">
        <v>0</v>
      </c>
      <c r="Z34">
        <v>0</v>
      </c>
      <c r="AA34">
        <v>0</v>
      </c>
      <c r="AB34">
        <v>0</v>
      </c>
      <c r="AC34">
        <v>0</v>
      </c>
      <c r="AD34">
        <v>0</v>
      </c>
      <c r="AE34">
        <v>0</v>
      </c>
      <c r="AF34">
        <v>0</v>
      </c>
      <c r="AG34">
        <v>1</v>
      </c>
      <c r="AH34">
        <v>1</v>
      </c>
      <c r="AI34">
        <v>1</v>
      </c>
      <c r="AJ34">
        <v>0</v>
      </c>
      <c r="AK34">
        <v>0</v>
      </c>
      <c r="AL34">
        <v>0</v>
      </c>
      <c r="AM34" t="s">
        <v>49</v>
      </c>
      <c r="AN34">
        <v>0</v>
      </c>
      <c r="AO34">
        <v>2</v>
      </c>
      <c r="AP34">
        <v>0</v>
      </c>
      <c r="AQ34">
        <v>2</v>
      </c>
      <c r="AR34">
        <v>0</v>
      </c>
      <c r="AS34">
        <v>0</v>
      </c>
    </row>
    <row r="35" spans="1:45" x14ac:dyDescent="0.2">
      <c r="A35" t="s">
        <v>93</v>
      </c>
      <c r="B35" s="2">
        <f t="shared" si="0"/>
        <v>45901</v>
      </c>
      <c r="C35" t="s">
        <v>73</v>
      </c>
      <c r="D35" s="1">
        <v>1.7291666666666667E-2</v>
      </c>
      <c r="E35">
        <v>29</v>
      </c>
      <c r="F35" t="s">
        <v>60</v>
      </c>
      <c r="G35" t="s">
        <v>94</v>
      </c>
      <c r="H35" t="s">
        <v>48</v>
      </c>
      <c r="I35">
        <v>0.55555555555555503</v>
      </c>
      <c r="J35">
        <v>1</v>
      </c>
      <c r="K35">
        <v>0.5</v>
      </c>
      <c r="L35">
        <v>0.2</v>
      </c>
      <c r="M35">
        <v>0</v>
      </c>
      <c r="N35">
        <v>0</v>
      </c>
      <c r="O35">
        <v>0</v>
      </c>
      <c r="P35">
        <v>1</v>
      </c>
      <c r="Q35">
        <v>0</v>
      </c>
      <c r="R35">
        <v>0</v>
      </c>
      <c r="S35">
        <v>0</v>
      </c>
      <c r="T35">
        <v>0</v>
      </c>
      <c r="U35">
        <v>0</v>
      </c>
      <c r="V35">
        <v>0</v>
      </c>
      <c r="W35">
        <v>0</v>
      </c>
      <c r="X35">
        <v>0</v>
      </c>
      <c r="Y35">
        <v>0</v>
      </c>
      <c r="Z35">
        <v>0</v>
      </c>
      <c r="AA35">
        <v>0</v>
      </c>
      <c r="AB35">
        <v>0</v>
      </c>
      <c r="AC35">
        <v>0</v>
      </c>
      <c r="AD35">
        <v>0</v>
      </c>
      <c r="AE35">
        <v>0</v>
      </c>
      <c r="AF35">
        <v>0</v>
      </c>
      <c r="AG35">
        <v>0</v>
      </c>
      <c r="AH35">
        <v>0</v>
      </c>
      <c r="AI35">
        <v>0</v>
      </c>
      <c r="AJ35">
        <v>1</v>
      </c>
      <c r="AK35">
        <v>0</v>
      </c>
      <c r="AL35">
        <v>0</v>
      </c>
      <c r="AM35" t="s">
        <v>49</v>
      </c>
      <c r="AN35">
        <v>0</v>
      </c>
      <c r="AO35">
        <v>1</v>
      </c>
      <c r="AP35">
        <v>2</v>
      </c>
      <c r="AQ35">
        <v>0</v>
      </c>
      <c r="AR35">
        <v>0</v>
      </c>
      <c r="AS35">
        <v>0</v>
      </c>
    </row>
    <row r="36" spans="1:45" x14ac:dyDescent="0.2">
      <c r="A36" t="s">
        <v>93</v>
      </c>
      <c r="B36" s="2">
        <f t="shared" si="0"/>
        <v>45901</v>
      </c>
      <c r="C36" t="s">
        <v>73</v>
      </c>
      <c r="D36" s="1">
        <v>1.3912037037037037E-2</v>
      </c>
      <c r="E36">
        <v>6</v>
      </c>
      <c r="F36" t="s">
        <v>64</v>
      </c>
      <c r="G36" t="s">
        <v>75</v>
      </c>
      <c r="H36" t="s">
        <v>58</v>
      </c>
      <c r="I36">
        <v>0.66666666666666596</v>
      </c>
      <c r="J36">
        <v>1</v>
      </c>
      <c r="K36">
        <v>0.33333333333333298</v>
      </c>
      <c r="L36">
        <v>0.33333333333333298</v>
      </c>
      <c r="M36">
        <v>0.18181818181818099</v>
      </c>
      <c r="N36">
        <v>0</v>
      </c>
      <c r="O36">
        <v>0</v>
      </c>
      <c r="P36">
        <v>0</v>
      </c>
      <c r="Q36">
        <v>0</v>
      </c>
      <c r="R36">
        <v>0</v>
      </c>
      <c r="S36">
        <v>0</v>
      </c>
      <c r="T36">
        <v>0</v>
      </c>
      <c r="U36">
        <v>0</v>
      </c>
      <c r="V36">
        <v>1</v>
      </c>
      <c r="W36">
        <v>0</v>
      </c>
      <c r="X36">
        <v>0</v>
      </c>
      <c r="Y36">
        <v>0</v>
      </c>
      <c r="Z36">
        <v>0</v>
      </c>
      <c r="AA36">
        <v>0</v>
      </c>
      <c r="AB36">
        <v>0</v>
      </c>
      <c r="AC36">
        <v>0</v>
      </c>
      <c r="AD36">
        <v>0</v>
      </c>
      <c r="AE36">
        <v>0</v>
      </c>
      <c r="AF36">
        <v>0</v>
      </c>
      <c r="AG36">
        <v>1</v>
      </c>
      <c r="AH36">
        <v>1</v>
      </c>
      <c r="AI36">
        <v>1</v>
      </c>
      <c r="AJ36">
        <v>0</v>
      </c>
      <c r="AK36">
        <v>0</v>
      </c>
      <c r="AL36">
        <v>0</v>
      </c>
      <c r="AM36" t="s">
        <v>49</v>
      </c>
      <c r="AN36">
        <v>0</v>
      </c>
      <c r="AO36">
        <v>2</v>
      </c>
      <c r="AP36">
        <v>0</v>
      </c>
      <c r="AQ36">
        <v>2</v>
      </c>
      <c r="AR36">
        <v>0</v>
      </c>
      <c r="AS36">
        <v>0</v>
      </c>
    </row>
    <row r="37" spans="1:45" x14ac:dyDescent="0.2">
      <c r="A37" t="s">
        <v>95</v>
      </c>
      <c r="B37" s="2">
        <f t="shared" si="0"/>
        <v>45901</v>
      </c>
      <c r="C37" t="s">
        <v>45</v>
      </c>
      <c r="D37" s="1">
        <v>1.292824074074074E-2</v>
      </c>
      <c r="E37">
        <v>6</v>
      </c>
      <c r="F37" t="s">
        <v>64</v>
      </c>
      <c r="G37" t="s">
        <v>82</v>
      </c>
      <c r="H37" t="s">
        <v>48</v>
      </c>
      <c r="I37">
        <v>0.44444444444444398</v>
      </c>
      <c r="J37">
        <v>1</v>
      </c>
      <c r="K37">
        <v>0.66666666666666596</v>
      </c>
      <c r="L37">
        <v>0.33333333333333298</v>
      </c>
      <c r="M37">
        <v>0.18181818181818099</v>
      </c>
      <c r="N37">
        <v>0</v>
      </c>
      <c r="O37">
        <v>0</v>
      </c>
      <c r="P37">
        <v>0</v>
      </c>
      <c r="Q37">
        <v>0</v>
      </c>
      <c r="R37">
        <v>0</v>
      </c>
      <c r="S37">
        <v>0</v>
      </c>
      <c r="T37">
        <v>0</v>
      </c>
      <c r="U37">
        <v>0</v>
      </c>
      <c r="V37">
        <v>1</v>
      </c>
      <c r="W37">
        <v>0</v>
      </c>
      <c r="X37">
        <v>0</v>
      </c>
      <c r="Y37">
        <v>0</v>
      </c>
      <c r="Z37">
        <v>0</v>
      </c>
      <c r="AA37">
        <v>0</v>
      </c>
      <c r="AB37">
        <v>0</v>
      </c>
      <c r="AC37">
        <v>0</v>
      </c>
      <c r="AD37">
        <v>0</v>
      </c>
      <c r="AE37">
        <v>0</v>
      </c>
      <c r="AF37">
        <v>0</v>
      </c>
      <c r="AG37">
        <v>1</v>
      </c>
      <c r="AH37">
        <v>1</v>
      </c>
      <c r="AI37">
        <v>1</v>
      </c>
      <c r="AJ37">
        <v>0</v>
      </c>
      <c r="AK37">
        <v>0</v>
      </c>
      <c r="AL37">
        <v>0</v>
      </c>
      <c r="AM37" t="s">
        <v>49</v>
      </c>
      <c r="AN37">
        <v>0</v>
      </c>
      <c r="AO37">
        <v>2</v>
      </c>
      <c r="AP37">
        <v>0</v>
      </c>
      <c r="AQ37">
        <v>2</v>
      </c>
      <c r="AR37">
        <v>0</v>
      </c>
      <c r="AS37">
        <v>0</v>
      </c>
    </row>
    <row r="38" spans="1:45" x14ac:dyDescent="0.2">
      <c r="A38" t="s">
        <v>96</v>
      </c>
      <c r="B38" s="2">
        <f t="shared" si="0"/>
        <v>45901</v>
      </c>
      <c r="C38" t="s">
        <v>51</v>
      </c>
      <c r="D38" s="1">
        <v>1.2824074074074075E-2</v>
      </c>
      <c r="E38">
        <v>14</v>
      </c>
      <c r="F38" t="s">
        <v>77</v>
      </c>
      <c r="G38" t="s">
        <v>85</v>
      </c>
      <c r="H38" t="s">
        <v>48</v>
      </c>
      <c r="I38">
        <v>0.66666666666666596</v>
      </c>
      <c r="J38">
        <v>1</v>
      </c>
      <c r="K38">
        <v>0.5</v>
      </c>
      <c r="L38">
        <v>0.46666666666666601</v>
      </c>
      <c r="M38">
        <v>0.36363636363636298</v>
      </c>
      <c r="N38">
        <v>0</v>
      </c>
      <c r="O38">
        <v>0</v>
      </c>
      <c r="P38">
        <v>0</v>
      </c>
      <c r="Q38">
        <v>0</v>
      </c>
      <c r="R38">
        <v>0</v>
      </c>
      <c r="S38">
        <v>0</v>
      </c>
      <c r="T38">
        <v>0</v>
      </c>
      <c r="U38">
        <v>0</v>
      </c>
      <c r="V38">
        <v>1</v>
      </c>
      <c r="W38">
        <v>1</v>
      </c>
      <c r="X38">
        <v>0</v>
      </c>
      <c r="Y38">
        <v>0</v>
      </c>
      <c r="Z38">
        <v>0</v>
      </c>
      <c r="AA38">
        <v>0</v>
      </c>
      <c r="AB38">
        <v>1</v>
      </c>
      <c r="AC38">
        <v>0</v>
      </c>
      <c r="AD38">
        <v>0</v>
      </c>
      <c r="AE38">
        <v>0</v>
      </c>
      <c r="AF38">
        <v>0</v>
      </c>
      <c r="AG38">
        <v>0</v>
      </c>
      <c r="AH38">
        <v>0</v>
      </c>
      <c r="AI38">
        <v>0</v>
      </c>
      <c r="AJ38">
        <v>0</v>
      </c>
      <c r="AK38">
        <v>0</v>
      </c>
      <c r="AL38">
        <v>0</v>
      </c>
      <c r="AM38" t="s">
        <v>49</v>
      </c>
      <c r="AN38">
        <v>1</v>
      </c>
      <c r="AO38">
        <v>2</v>
      </c>
      <c r="AP38">
        <v>1</v>
      </c>
      <c r="AQ38">
        <v>1</v>
      </c>
      <c r="AR38">
        <v>2</v>
      </c>
      <c r="AS38">
        <v>1</v>
      </c>
    </row>
    <row r="39" spans="1:45" x14ac:dyDescent="0.2">
      <c r="A39" t="s">
        <v>96</v>
      </c>
      <c r="B39" s="2">
        <f t="shared" si="0"/>
        <v>45901</v>
      </c>
      <c r="C39" t="s">
        <v>51</v>
      </c>
      <c r="D39" s="1">
        <v>1.7384259259259259E-2</v>
      </c>
      <c r="E39">
        <v>14</v>
      </c>
      <c r="F39" t="s">
        <v>77</v>
      </c>
      <c r="G39" t="s">
        <v>52</v>
      </c>
      <c r="H39" t="s">
        <v>58</v>
      </c>
      <c r="I39">
        <v>0.66666666666666596</v>
      </c>
      <c r="J39">
        <v>1</v>
      </c>
      <c r="K39">
        <v>0.83333333333333304</v>
      </c>
      <c r="L39">
        <v>0.66666666666666596</v>
      </c>
      <c r="M39">
        <v>0.45454545454545398</v>
      </c>
      <c r="N39">
        <v>0</v>
      </c>
      <c r="O39">
        <v>0</v>
      </c>
      <c r="P39">
        <v>0</v>
      </c>
      <c r="Q39">
        <v>0</v>
      </c>
      <c r="R39">
        <v>0</v>
      </c>
      <c r="S39">
        <v>0</v>
      </c>
      <c r="T39">
        <v>0</v>
      </c>
      <c r="U39">
        <v>0</v>
      </c>
      <c r="V39">
        <v>1</v>
      </c>
      <c r="W39">
        <v>1</v>
      </c>
      <c r="X39">
        <v>0</v>
      </c>
      <c r="Y39">
        <v>0</v>
      </c>
      <c r="Z39">
        <v>0</v>
      </c>
      <c r="AA39">
        <v>0</v>
      </c>
      <c r="AB39">
        <v>1</v>
      </c>
      <c r="AC39">
        <v>0</v>
      </c>
      <c r="AD39">
        <v>0</v>
      </c>
      <c r="AE39">
        <v>0</v>
      </c>
      <c r="AF39">
        <v>0</v>
      </c>
      <c r="AG39">
        <v>0</v>
      </c>
      <c r="AH39">
        <v>0</v>
      </c>
      <c r="AI39">
        <v>0</v>
      </c>
      <c r="AJ39">
        <v>0</v>
      </c>
      <c r="AK39">
        <v>0</v>
      </c>
      <c r="AL39">
        <v>0</v>
      </c>
      <c r="AM39" t="s">
        <v>49</v>
      </c>
      <c r="AN39">
        <v>1</v>
      </c>
      <c r="AO39">
        <v>2</v>
      </c>
      <c r="AP39">
        <v>1</v>
      </c>
      <c r="AQ39">
        <v>1</v>
      </c>
      <c r="AR39">
        <v>2</v>
      </c>
      <c r="AS39">
        <v>1</v>
      </c>
    </row>
    <row r="40" spans="1:45" x14ac:dyDescent="0.2">
      <c r="A40" t="s">
        <v>96</v>
      </c>
      <c r="B40" s="2">
        <f t="shared" si="0"/>
        <v>45901</v>
      </c>
      <c r="C40" t="s">
        <v>51</v>
      </c>
      <c r="D40" s="1">
        <v>1.7372685185185185E-2</v>
      </c>
      <c r="E40">
        <v>14</v>
      </c>
      <c r="F40" t="s">
        <v>77</v>
      </c>
      <c r="G40" t="s">
        <v>71</v>
      </c>
      <c r="H40" t="s">
        <v>58</v>
      </c>
      <c r="I40">
        <v>0.55555555555555503</v>
      </c>
      <c r="J40">
        <v>1</v>
      </c>
      <c r="K40">
        <v>0.33333333333333298</v>
      </c>
      <c r="L40">
        <v>0.4</v>
      </c>
      <c r="M40">
        <v>0.36363636363636298</v>
      </c>
      <c r="N40">
        <v>0</v>
      </c>
      <c r="O40">
        <v>0</v>
      </c>
      <c r="P40">
        <v>0</v>
      </c>
      <c r="Q40">
        <v>0</v>
      </c>
      <c r="R40">
        <v>0</v>
      </c>
      <c r="S40">
        <v>0</v>
      </c>
      <c r="T40">
        <v>0</v>
      </c>
      <c r="U40">
        <v>0</v>
      </c>
      <c r="V40">
        <v>1</v>
      </c>
      <c r="W40">
        <v>1</v>
      </c>
      <c r="X40">
        <v>0</v>
      </c>
      <c r="Y40">
        <v>0</v>
      </c>
      <c r="Z40">
        <v>0</v>
      </c>
      <c r="AA40">
        <v>0</v>
      </c>
      <c r="AB40">
        <v>1</v>
      </c>
      <c r="AC40">
        <v>0</v>
      </c>
      <c r="AD40">
        <v>0</v>
      </c>
      <c r="AE40">
        <v>0</v>
      </c>
      <c r="AF40">
        <v>0</v>
      </c>
      <c r="AG40">
        <v>0</v>
      </c>
      <c r="AH40">
        <v>0</v>
      </c>
      <c r="AI40">
        <v>0</v>
      </c>
      <c r="AJ40">
        <v>0</v>
      </c>
      <c r="AK40">
        <v>0</v>
      </c>
      <c r="AL40">
        <v>0</v>
      </c>
      <c r="AM40" t="s">
        <v>49</v>
      </c>
      <c r="AN40">
        <v>1</v>
      </c>
      <c r="AO40">
        <v>2</v>
      </c>
      <c r="AP40">
        <v>1</v>
      </c>
      <c r="AQ40">
        <v>1</v>
      </c>
      <c r="AR40">
        <v>2</v>
      </c>
      <c r="AS40">
        <v>1</v>
      </c>
    </row>
    <row r="41" spans="1:45" x14ac:dyDescent="0.2">
      <c r="A41" t="s">
        <v>97</v>
      </c>
      <c r="B41" s="2">
        <f t="shared" si="0"/>
        <v>45901</v>
      </c>
      <c r="C41" t="s">
        <v>73</v>
      </c>
      <c r="D41" s="1">
        <v>1.3206018518518518E-2</v>
      </c>
      <c r="E41">
        <v>31</v>
      </c>
      <c r="F41" t="s">
        <v>84</v>
      </c>
      <c r="G41" t="s">
        <v>94</v>
      </c>
      <c r="H41" t="s">
        <v>48</v>
      </c>
      <c r="I41">
        <v>0.66666666666666596</v>
      </c>
      <c r="J41">
        <v>1</v>
      </c>
      <c r="K41">
        <v>0.66666666666666596</v>
      </c>
      <c r="L41">
        <v>0.53333333333333299</v>
      </c>
      <c r="M41">
        <v>0.18181818181818099</v>
      </c>
      <c r="N41">
        <v>0</v>
      </c>
      <c r="O41">
        <v>0</v>
      </c>
      <c r="P41">
        <v>1</v>
      </c>
      <c r="Q41">
        <v>0</v>
      </c>
      <c r="R41">
        <v>0</v>
      </c>
      <c r="S41">
        <v>0</v>
      </c>
      <c r="T41">
        <v>0</v>
      </c>
      <c r="U41">
        <v>0</v>
      </c>
      <c r="V41">
        <v>0</v>
      </c>
      <c r="W41">
        <v>0</v>
      </c>
      <c r="X41">
        <v>0</v>
      </c>
      <c r="Y41">
        <v>1</v>
      </c>
      <c r="Z41">
        <v>0</v>
      </c>
      <c r="AA41">
        <v>0</v>
      </c>
      <c r="AB41">
        <v>0</v>
      </c>
      <c r="AC41">
        <v>0</v>
      </c>
      <c r="AD41">
        <v>0</v>
      </c>
      <c r="AE41">
        <v>0</v>
      </c>
      <c r="AF41">
        <v>0</v>
      </c>
      <c r="AG41">
        <v>0</v>
      </c>
      <c r="AH41">
        <v>0</v>
      </c>
      <c r="AI41">
        <v>0</v>
      </c>
      <c r="AJ41">
        <v>0</v>
      </c>
      <c r="AK41">
        <v>0</v>
      </c>
      <c r="AL41">
        <v>0</v>
      </c>
      <c r="AM41" t="s">
        <v>49</v>
      </c>
      <c r="AN41">
        <v>0</v>
      </c>
      <c r="AO41">
        <v>1</v>
      </c>
      <c r="AP41">
        <v>1</v>
      </c>
      <c r="AQ41">
        <v>0</v>
      </c>
      <c r="AR41">
        <v>0</v>
      </c>
      <c r="AS41">
        <v>0</v>
      </c>
    </row>
    <row r="42" spans="1:45" x14ac:dyDescent="0.2">
      <c r="A42" t="s">
        <v>97</v>
      </c>
      <c r="B42" s="2">
        <f t="shared" si="0"/>
        <v>45901</v>
      </c>
      <c r="C42" t="s">
        <v>73</v>
      </c>
      <c r="D42" s="1">
        <v>1.6886574074074075E-2</v>
      </c>
      <c r="E42">
        <v>14</v>
      </c>
      <c r="F42" t="s">
        <v>77</v>
      </c>
      <c r="G42" t="s">
        <v>75</v>
      </c>
      <c r="H42" t="s">
        <v>48</v>
      </c>
      <c r="I42">
        <v>0.77777777777777701</v>
      </c>
      <c r="J42">
        <v>1</v>
      </c>
      <c r="K42">
        <v>0.66666666666666596</v>
      </c>
      <c r="L42">
        <v>0.73333333333333295</v>
      </c>
      <c r="M42">
        <v>0.54545454545454497</v>
      </c>
      <c r="N42">
        <v>0</v>
      </c>
      <c r="O42">
        <v>0</v>
      </c>
      <c r="P42">
        <v>0</v>
      </c>
      <c r="Q42">
        <v>0</v>
      </c>
      <c r="R42">
        <v>0</v>
      </c>
      <c r="S42">
        <v>0</v>
      </c>
      <c r="T42">
        <v>0</v>
      </c>
      <c r="U42">
        <v>0</v>
      </c>
      <c r="V42">
        <v>1</v>
      </c>
      <c r="W42">
        <v>1</v>
      </c>
      <c r="X42">
        <v>0</v>
      </c>
      <c r="Y42">
        <v>0</v>
      </c>
      <c r="Z42">
        <v>0</v>
      </c>
      <c r="AA42">
        <v>0</v>
      </c>
      <c r="AB42">
        <v>1</v>
      </c>
      <c r="AC42">
        <v>0</v>
      </c>
      <c r="AD42">
        <v>0</v>
      </c>
      <c r="AE42">
        <v>0</v>
      </c>
      <c r="AF42">
        <v>0</v>
      </c>
      <c r="AG42">
        <v>0</v>
      </c>
      <c r="AH42">
        <v>0</v>
      </c>
      <c r="AI42">
        <v>0</v>
      </c>
      <c r="AJ42">
        <v>0</v>
      </c>
      <c r="AK42">
        <v>0</v>
      </c>
      <c r="AL42">
        <v>0</v>
      </c>
      <c r="AM42" t="s">
        <v>49</v>
      </c>
      <c r="AN42">
        <v>1</v>
      </c>
      <c r="AO42">
        <v>2</v>
      </c>
      <c r="AP42">
        <v>1</v>
      </c>
      <c r="AQ42">
        <v>1</v>
      </c>
      <c r="AR42">
        <v>2</v>
      </c>
      <c r="AS42">
        <v>1</v>
      </c>
    </row>
    <row r="43" spans="1:45" x14ac:dyDescent="0.2">
      <c r="A43" t="s">
        <v>97</v>
      </c>
      <c r="B43" s="2">
        <f t="shared" si="0"/>
        <v>45901</v>
      </c>
      <c r="C43" t="s">
        <v>73</v>
      </c>
      <c r="D43" s="1">
        <v>1.4189814814814815E-2</v>
      </c>
      <c r="E43">
        <v>6</v>
      </c>
      <c r="F43" t="s">
        <v>64</v>
      </c>
      <c r="G43" t="s">
        <v>87</v>
      </c>
      <c r="H43" t="s">
        <v>48</v>
      </c>
      <c r="I43">
        <v>0.55555555555555503</v>
      </c>
      <c r="J43">
        <v>1</v>
      </c>
      <c r="K43">
        <v>0.66666666666666596</v>
      </c>
      <c r="L43">
        <v>0.46666666666666601</v>
      </c>
      <c r="M43">
        <v>0.18181818181818099</v>
      </c>
      <c r="N43">
        <v>0</v>
      </c>
      <c r="O43">
        <v>0</v>
      </c>
      <c r="P43">
        <v>0</v>
      </c>
      <c r="Q43">
        <v>0</v>
      </c>
      <c r="R43">
        <v>0</v>
      </c>
      <c r="S43">
        <v>0</v>
      </c>
      <c r="T43">
        <v>0</v>
      </c>
      <c r="U43">
        <v>0</v>
      </c>
      <c r="V43">
        <v>1</v>
      </c>
      <c r="W43">
        <v>0</v>
      </c>
      <c r="X43">
        <v>0</v>
      </c>
      <c r="Y43">
        <v>0</v>
      </c>
      <c r="Z43">
        <v>0</v>
      </c>
      <c r="AA43">
        <v>0</v>
      </c>
      <c r="AB43">
        <v>0</v>
      </c>
      <c r="AC43">
        <v>0</v>
      </c>
      <c r="AD43">
        <v>0</v>
      </c>
      <c r="AE43">
        <v>0</v>
      </c>
      <c r="AF43">
        <v>0</v>
      </c>
      <c r="AG43">
        <v>1</v>
      </c>
      <c r="AH43">
        <v>1</v>
      </c>
      <c r="AI43">
        <v>1</v>
      </c>
      <c r="AJ43">
        <v>0</v>
      </c>
      <c r="AK43">
        <v>0</v>
      </c>
      <c r="AL43">
        <v>0</v>
      </c>
      <c r="AM43" t="s">
        <v>49</v>
      </c>
      <c r="AN43">
        <v>0</v>
      </c>
      <c r="AO43">
        <v>2</v>
      </c>
      <c r="AP43">
        <v>0</v>
      </c>
      <c r="AQ43">
        <v>2</v>
      </c>
      <c r="AR43">
        <v>0</v>
      </c>
      <c r="AS43">
        <v>0</v>
      </c>
    </row>
    <row r="44" spans="1:45" x14ac:dyDescent="0.2">
      <c r="A44" t="s">
        <v>98</v>
      </c>
      <c r="B44" s="2">
        <f t="shared" si="0"/>
        <v>45901</v>
      </c>
      <c r="C44" t="s">
        <v>54</v>
      </c>
      <c r="D44" s="1">
        <v>2.7800925925925927E-2</v>
      </c>
      <c r="E44">
        <v>30</v>
      </c>
      <c r="F44" t="s">
        <v>99</v>
      </c>
      <c r="G44" t="s">
        <v>55</v>
      </c>
      <c r="H44" t="s">
        <v>58</v>
      </c>
      <c r="I44">
        <v>0.33333333333333298</v>
      </c>
      <c r="J44">
        <v>1</v>
      </c>
      <c r="K44">
        <v>0.5</v>
      </c>
      <c r="L44">
        <v>0.266666666666666</v>
      </c>
      <c r="M44">
        <v>0.27272727272727199</v>
      </c>
      <c r="N44">
        <v>0</v>
      </c>
      <c r="O44">
        <v>1</v>
      </c>
      <c r="P44">
        <v>0</v>
      </c>
      <c r="Q44">
        <v>0</v>
      </c>
      <c r="R44">
        <v>0</v>
      </c>
      <c r="S44">
        <v>1</v>
      </c>
      <c r="T44">
        <v>0</v>
      </c>
      <c r="U44">
        <v>0</v>
      </c>
      <c r="V44">
        <v>0</v>
      </c>
      <c r="W44">
        <v>0</v>
      </c>
      <c r="X44">
        <v>1</v>
      </c>
      <c r="Y44">
        <v>0</v>
      </c>
      <c r="Z44">
        <v>0</v>
      </c>
      <c r="AA44">
        <v>0</v>
      </c>
      <c r="AB44">
        <v>0</v>
      </c>
      <c r="AC44">
        <v>0</v>
      </c>
      <c r="AD44">
        <v>0</v>
      </c>
      <c r="AE44">
        <v>1</v>
      </c>
      <c r="AF44">
        <v>0</v>
      </c>
      <c r="AG44">
        <v>0</v>
      </c>
      <c r="AH44">
        <v>0</v>
      </c>
      <c r="AI44">
        <v>0</v>
      </c>
      <c r="AJ44">
        <v>0</v>
      </c>
      <c r="AK44">
        <v>0</v>
      </c>
      <c r="AL44">
        <v>0</v>
      </c>
      <c r="AM44" t="s">
        <v>49</v>
      </c>
      <c r="AN44">
        <v>1</v>
      </c>
      <c r="AO44">
        <v>2</v>
      </c>
      <c r="AP44">
        <v>2</v>
      </c>
      <c r="AQ44">
        <v>2</v>
      </c>
      <c r="AR44">
        <v>2</v>
      </c>
      <c r="AS44">
        <v>0</v>
      </c>
    </row>
    <row r="45" spans="1:45" x14ac:dyDescent="0.2">
      <c r="A45" t="s">
        <v>100</v>
      </c>
      <c r="B45" s="2">
        <f t="shared" si="0"/>
        <v>45931</v>
      </c>
      <c r="C45" t="s">
        <v>51</v>
      </c>
      <c r="D45" s="1">
        <v>1.1307870370370371E-2</v>
      </c>
      <c r="E45">
        <v>16</v>
      </c>
      <c r="F45" t="s">
        <v>80</v>
      </c>
      <c r="G45" t="s">
        <v>85</v>
      </c>
      <c r="H45" t="s">
        <v>48</v>
      </c>
      <c r="I45">
        <v>0.33333333333333298</v>
      </c>
      <c r="J45">
        <v>1</v>
      </c>
      <c r="K45">
        <v>0.66666666666666596</v>
      </c>
      <c r="L45">
        <v>0.33333333333333298</v>
      </c>
      <c r="M45">
        <v>0.18181818181818099</v>
      </c>
      <c r="N45">
        <v>0</v>
      </c>
      <c r="O45">
        <v>0</v>
      </c>
      <c r="P45">
        <v>0</v>
      </c>
      <c r="Q45">
        <v>1</v>
      </c>
      <c r="R45">
        <v>0</v>
      </c>
      <c r="S45">
        <v>0</v>
      </c>
      <c r="T45">
        <v>0</v>
      </c>
      <c r="U45">
        <v>0</v>
      </c>
      <c r="V45">
        <v>0</v>
      </c>
      <c r="W45">
        <v>0</v>
      </c>
      <c r="X45">
        <v>0</v>
      </c>
      <c r="Y45">
        <v>0</v>
      </c>
      <c r="Z45">
        <v>0</v>
      </c>
      <c r="AA45">
        <v>1</v>
      </c>
      <c r="AB45">
        <v>0</v>
      </c>
      <c r="AC45">
        <v>0</v>
      </c>
      <c r="AD45">
        <v>0</v>
      </c>
      <c r="AE45">
        <v>0</v>
      </c>
      <c r="AF45">
        <v>0</v>
      </c>
      <c r="AG45">
        <v>0</v>
      </c>
      <c r="AH45">
        <v>0</v>
      </c>
      <c r="AI45">
        <v>0</v>
      </c>
      <c r="AJ45">
        <v>0</v>
      </c>
      <c r="AK45">
        <v>0</v>
      </c>
      <c r="AL45">
        <v>0</v>
      </c>
      <c r="AM45" t="s">
        <v>49</v>
      </c>
      <c r="AN45">
        <v>0</v>
      </c>
      <c r="AO45">
        <v>1</v>
      </c>
      <c r="AP45">
        <v>0</v>
      </c>
      <c r="AQ45">
        <v>0</v>
      </c>
      <c r="AR45">
        <v>1</v>
      </c>
      <c r="AS45">
        <v>0</v>
      </c>
    </row>
    <row r="46" spans="1:45" x14ac:dyDescent="0.2">
      <c r="A46" t="s">
        <v>101</v>
      </c>
      <c r="B46" s="2">
        <f t="shared" si="0"/>
        <v>45931</v>
      </c>
      <c r="C46" t="s">
        <v>73</v>
      </c>
      <c r="D46" s="1">
        <v>1.3912037037037037E-2</v>
      </c>
      <c r="E46">
        <v>32</v>
      </c>
      <c r="F46" t="s">
        <v>102</v>
      </c>
      <c r="G46" t="s">
        <v>94</v>
      </c>
      <c r="H46" t="s">
        <v>58</v>
      </c>
      <c r="I46">
        <v>0.66666666666666596</v>
      </c>
      <c r="J46">
        <v>1</v>
      </c>
      <c r="K46">
        <v>0.5</v>
      </c>
      <c r="L46">
        <v>0.33333333333333298</v>
      </c>
      <c r="M46">
        <v>0.18181818181818099</v>
      </c>
      <c r="N46">
        <v>0</v>
      </c>
      <c r="O46">
        <v>0</v>
      </c>
      <c r="P46">
        <v>0</v>
      </c>
      <c r="Q46">
        <v>0</v>
      </c>
      <c r="R46">
        <v>0</v>
      </c>
      <c r="S46">
        <v>0</v>
      </c>
      <c r="T46">
        <v>1</v>
      </c>
      <c r="U46">
        <v>1</v>
      </c>
      <c r="V46">
        <v>0</v>
      </c>
      <c r="W46">
        <v>0</v>
      </c>
      <c r="X46">
        <v>0</v>
      </c>
      <c r="Y46">
        <v>0</v>
      </c>
      <c r="Z46">
        <v>0</v>
      </c>
      <c r="AA46">
        <v>0</v>
      </c>
      <c r="AB46">
        <v>0</v>
      </c>
      <c r="AC46">
        <v>0</v>
      </c>
      <c r="AD46">
        <v>0</v>
      </c>
      <c r="AE46">
        <v>0</v>
      </c>
      <c r="AF46">
        <v>0</v>
      </c>
      <c r="AG46">
        <v>0</v>
      </c>
      <c r="AH46">
        <v>0</v>
      </c>
      <c r="AI46">
        <v>0</v>
      </c>
      <c r="AJ46">
        <v>0</v>
      </c>
      <c r="AK46">
        <v>0</v>
      </c>
      <c r="AL46">
        <v>0</v>
      </c>
      <c r="AM46" t="s">
        <v>49</v>
      </c>
      <c r="AN46">
        <v>0</v>
      </c>
      <c r="AO46">
        <v>2</v>
      </c>
      <c r="AP46">
        <v>0</v>
      </c>
      <c r="AQ46">
        <v>0</v>
      </c>
      <c r="AR46">
        <v>0</v>
      </c>
      <c r="AS46">
        <v>0</v>
      </c>
    </row>
    <row r="47" spans="1:45" x14ac:dyDescent="0.2">
      <c r="A47" t="s">
        <v>103</v>
      </c>
      <c r="B47" s="2">
        <f t="shared" si="0"/>
        <v>45931</v>
      </c>
      <c r="C47" t="s">
        <v>54</v>
      </c>
      <c r="D47" s="1">
        <v>9.0509259259259258E-3</v>
      </c>
      <c r="E47">
        <v>29</v>
      </c>
      <c r="F47" t="s">
        <v>60</v>
      </c>
      <c r="G47" t="s">
        <v>104</v>
      </c>
      <c r="H47" t="s">
        <v>48</v>
      </c>
      <c r="I47">
        <v>0.66666666666666596</v>
      </c>
      <c r="J47">
        <v>0</v>
      </c>
      <c r="K47">
        <v>0.5</v>
      </c>
      <c r="L47">
        <v>0.8</v>
      </c>
      <c r="M47">
        <v>0.45454545454545398</v>
      </c>
      <c r="N47">
        <v>0</v>
      </c>
      <c r="O47">
        <v>0</v>
      </c>
      <c r="P47">
        <v>1</v>
      </c>
      <c r="Q47">
        <v>0</v>
      </c>
      <c r="R47">
        <v>0</v>
      </c>
      <c r="S47">
        <v>0</v>
      </c>
      <c r="T47">
        <v>0</v>
      </c>
      <c r="U47">
        <v>0</v>
      </c>
      <c r="V47">
        <v>0</v>
      </c>
      <c r="W47">
        <v>0</v>
      </c>
      <c r="X47">
        <v>0</v>
      </c>
      <c r="Y47">
        <v>0</v>
      </c>
      <c r="Z47">
        <v>0</v>
      </c>
      <c r="AA47">
        <v>0</v>
      </c>
      <c r="AB47">
        <v>0</v>
      </c>
      <c r="AC47">
        <v>0</v>
      </c>
      <c r="AD47">
        <v>0</v>
      </c>
      <c r="AE47">
        <v>0</v>
      </c>
      <c r="AF47">
        <v>0</v>
      </c>
      <c r="AG47">
        <v>0</v>
      </c>
      <c r="AH47">
        <v>0</v>
      </c>
      <c r="AI47">
        <v>0</v>
      </c>
      <c r="AJ47">
        <v>1</v>
      </c>
      <c r="AK47">
        <v>0</v>
      </c>
      <c r="AL47">
        <v>0</v>
      </c>
      <c r="AM47" t="s">
        <v>49</v>
      </c>
      <c r="AN47">
        <v>0</v>
      </c>
      <c r="AO47">
        <v>1</v>
      </c>
      <c r="AP47">
        <v>2</v>
      </c>
      <c r="AQ47">
        <v>0</v>
      </c>
      <c r="AR47">
        <v>0</v>
      </c>
      <c r="AS47">
        <v>0</v>
      </c>
    </row>
    <row r="48" spans="1:45" x14ac:dyDescent="0.2">
      <c r="A48" t="s">
        <v>105</v>
      </c>
      <c r="B48" s="2">
        <f t="shared" si="0"/>
        <v>45931</v>
      </c>
      <c r="C48" t="s">
        <v>45</v>
      </c>
      <c r="D48" s="1">
        <v>1.1215277777777777E-2</v>
      </c>
      <c r="E48">
        <v>7</v>
      </c>
      <c r="F48" t="s">
        <v>67</v>
      </c>
      <c r="G48" t="s">
        <v>82</v>
      </c>
      <c r="H48" t="s">
        <v>48</v>
      </c>
      <c r="I48">
        <v>0.22222222222222199</v>
      </c>
      <c r="J48">
        <v>0.5</v>
      </c>
      <c r="K48">
        <v>0.33333333333333298</v>
      </c>
      <c r="L48">
        <v>0.133333333333333</v>
      </c>
      <c r="M48">
        <v>9.0909090909090898E-2</v>
      </c>
      <c r="N48">
        <v>0</v>
      </c>
      <c r="O48">
        <v>0</v>
      </c>
      <c r="P48">
        <v>0</v>
      </c>
      <c r="Q48">
        <v>0</v>
      </c>
      <c r="R48">
        <v>0</v>
      </c>
      <c r="S48">
        <v>0</v>
      </c>
      <c r="T48">
        <v>1</v>
      </c>
      <c r="U48">
        <v>0</v>
      </c>
      <c r="V48">
        <v>1</v>
      </c>
      <c r="W48">
        <v>0</v>
      </c>
      <c r="X48">
        <v>0</v>
      </c>
      <c r="Y48">
        <v>0</v>
      </c>
      <c r="Z48">
        <v>0</v>
      </c>
      <c r="AA48">
        <v>0</v>
      </c>
      <c r="AB48">
        <v>0</v>
      </c>
      <c r="AC48">
        <v>0</v>
      </c>
      <c r="AD48">
        <v>0</v>
      </c>
      <c r="AE48">
        <v>0</v>
      </c>
      <c r="AF48">
        <v>0</v>
      </c>
      <c r="AG48">
        <v>0</v>
      </c>
      <c r="AH48">
        <v>0</v>
      </c>
      <c r="AI48">
        <v>1</v>
      </c>
      <c r="AJ48">
        <v>0</v>
      </c>
      <c r="AK48">
        <v>0</v>
      </c>
      <c r="AL48">
        <v>0</v>
      </c>
      <c r="AM48" t="s">
        <v>49</v>
      </c>
      <c r="AN48">
        <v>0</v>
      </c>
      <c r="AO48">
        <v>2</v>
      </c>
      <c r="AP48">
        <v>0</v>
      </c>
      <c r="AQ48">
        <v>1</v>
      </c>
      <c r="AR48">
        <v>0</v>
      </c>
      <c r="AS48">
        <v>0</v>
      </c>
    </row>
    <row r="49" spans="1:45" x14ac:dyDescent="0.2">
      <c r="A49" t="s">
        <v>105</v>
      </c>
      <c r="B49" s="2">
        <f t="shared" si="0"/>
        <v>45931</v>
      </c>
      <c r="C49" t="s">
        <v>45</v>
      </c>
      <c r="D49" s="1">
        <v>2.7083333333333334E-2</v>
      </c>
      <c r="E49">
        <v>30</v>
      </c>
      <c r="F49" t="s">
        <v>99</v>
      </c>
      <c r="G49" t="s">
        <v>61</v>
      </c>
      <c r="H49" t="s">
        <v>48</v>
      </c>
      <c r="I49">
        <v>0.33333333333333298</v>
      </c>
      <c r="J49">
        <v>1</v>
      </c>
      <c r="K49">
        <v>0.5</v>
      </c>
      <c r="L49">
        <v>0.266666666666666</v>
      </c>
      <c r="M49">
        <v>0.27272727272727199</v>
      </c>
      <c r="N49">
        <v>0</v>
      </c>
      <c r="O49">
        <v>1</v>
      </c>
      <c r="P49">
        <v>0</v>
      </c>
      <c r="Q49">
        <v>0</v>
      </c>
      <c r="R49">
        <v>0</v>
      </c>
      <c r="S49">
        <v>1</v>
      </c>
      <c r="T49">
        <v>0</v>
      </c>
      <c r="U49">
        <v>0</v>
      </c>
      <c r="V49">
        <v>0</v>
      </c>
      <c r="W49">
        <v>0</v>
      </c>
      <c r="X49">
        <v>1</v>
      </c>
      <c r="Y49">
        <v>0</v>
      </c>
      <c r="Z49">
        <v>0</v>
      </c>
      <c r="AA49">
        <v>0</v>
      </c>
      <c r="AB49">
        <v>0</v>
      </c>
      <c r="AC49">
        <v>0</v>
      </c>
      <c r="AD49">
        <v>0</v>
      </c>
      <c r="AE49">
        <v>1</v>
      </c>
      <c r="AF49">
        <v>0</v>
      </c>
      <c r="AG49">
        <v>0</v>
      </c>
      <c r="AH49">
        <v>0</v>
      </c>
      <c r="AI49">
        <v>0</v>
      </c>
      <c r="AJ49">
        <v>0</v>
      </c>
      <c r="AK49">
        <v>0</v>
      </c>
      <c r="AL49">
        <v>0</v>
      </c>
      <c r="AM49" t="s">
        <v>49</v>
      </c>
      <c r="AN49">
        <v>1</v>
      </c>
      <c r="AO49">
        <v>2</v>
      </c>
      <c r="AP49">
        <v>2</v>
      </c>
      <c r="AQ49">
        <v>2</v>
      </c>
      <c r="AR49">
        <v>2</v>
      </c>
      <c r="AS49">
        <v>0</v>
      </c>
    </row>
    <row r="50" spans="1:45" x14ac:dyDescent="0.2">
      <c r="A50" t="s">
        <v>105</v>
      </c>
      <c r="B50" s="2">
        <f t="shared" si="0"/>
        <v>45931</v>
      </c>
      <c r="C50" t="s">
        <v>45</v>
      </c>
      <c r="D50" s="1">
        <v>2.1516203703703704E-2</v>
      </c>
      <c r="E50">
        <v>30</v>
      </c>
      <c r="F50" t="s">
        <v>99</v>
      </c>
      <c r="G50" t="s">
        <v>47</v>
      </c>
      <c r="H50" t="s">
        <v>48</v>
      </c>
      <c r="I50">
        <v>0.44444444444444398</v>
      </c>
      <c r="J50">
        <v>0</v>
      </c>
      <c r="K50">
        <v>0.16666666666666599</v>
      </c>
      <c r="L50">
        <v>0.73333333333333295</v>
      </c>
      <c r="M50">
        <v>0.54545454545454497</v>
      </c>
      <c r="N50">
        <v>0</v>
      </c>
      <c r="O50">
        <v>1</v>
      </c>
      <c r="P50">
        <v>0</v>
      </c>
      <c r="Q50">
        <v>0</v>
      </c>
      <c r="R50">
        <v>0</v>
      </c>
      <c r="S50">
        <v>1</v>
      </c>
      <c r="T50">
        <v>0</v>
      </c>
      <c r="U50">
        <v>0</v>
      </c>
      <c r="V50">
        <v>0</v>
      </c>
      <c r="W50">
        <v>0</v>
      </c>
      <c r="X50">
        <v>1</v>
      </c>
      <c r="Y50">
        <v>0</v>
      </c>
      <c r="Z50">
        <v>0</v>
      </c>
      <c r="AA50">
        <v>0</v>
      </c>
      <c r="AB50">
        <v>0</v>
      </c>
      <c r="AC50">
        <v>0</v>
      </c>
      <c r="AD50">
        <v>0</v>
      </c>
      <c r="AE50">
        <v>1</v>
      </c>
      <c r="AF50">
        <v>0</v>
      </c>
      <c r="AG50">
        <v>0</v>
      </c>
      <c r="AH50">
        <v>0</v>
      </c>
      <c r="AI50">
        <v>0</v>
      </c>
      <c r="AJ50">
        <v>0</v>
      </c>
      <c r="AK50">
        <v>0</v>
      </c>
      <c r="AL50">
        <v>0</v>
      </c>
      <c r="AM50" t="s">
        <v>49</v>
      </c>
      <c r="AN50">
        <v>1</v>
      </c>
      <c r="AO50">
        <v>2</v>
      </c>
      <c r="AP50">
        <v>2</v>
      </c>
      <c r="AQ50">
        <v>2</v>
      </c>
      <c r="AR50">
        <v>2</v>
      </c>
      <c r="AS50">
        <v>0</v>
      </c>
    </row>
    <row r="51" spans="1:45" x14ac:dyDescent="0.2">
      <c r="A51" t="s">
        <v>105</v>
      </c>
      <c r="B51" s="2">
        <f t="shared" si="0"/>
        <v>45931</v>
      </c>
      <c r="C51" t="s">
        <v>45</v>
      </c>
      <c r="D51" s="1">
        <v>1.3912037037037037E-2</v>
      </c>
      <c r="E51">
        <v>7</v>
      </c>
      <c r="F51" t="s">
        <v>67</v>
      </c>
      <c r="G51" t="s">
        <v>71</v>
      </c>
      <c r="H51" t="s">
        <v>58</v>
      </c>
      <c r="I51">
        <v>0.33333333333333298</v>
      </c>
      <c r="J51">
        <v>1</v>
      </c>
      <c r="K51">
        <v>0.16666666666666599</v>
      </c>
      <c r="L51">
        <v>0</v>
      </c>
      <c r="M51">
        <v>0</v>
      </c>
      <c r="N51">
        <v>0</v>
      </c>
      <c r="O51">
        <v>0</v>
      </c>
      <c r="P51">
        <v>0</v>
      </c>
      <c r="Q51">
        <v>0</v>
      </c>
      <c r="R51">
        <v>0</v>
      </c>
      <c r="S51">
        <v>0</v>
      </c>
      <c r="T51">
        <v>1</v>
      </c>
      <c r="U51">
        <v>0</v>
      </c>
      <c r="V51">
        <v>1</v>
      </c>
      <c r="W51">
        <v>0</v>
      </c>
      <c r="X51">
        <v>0</v>
      </c>
      <c r="Y51">
        <v>0</v>
      </c>
      <c r="Z51">
        <v>0</v>
      </c>
      <c r="AA51">
        <v>0</v>
      </c>
      <c r="AB51">
        <v>0</v>
      </c>
      <c r="AC51">
        <v>0</v>
      </c>
      <c r="AD51">
        <v>0</v>
      </c>
      <c r="AE51">
        <v>0</v>
      </c>
      <c r="AF51">
        <v>0</v>
      </c>
      <c r="AG51">
        <v>0</v>
      </c>
      <c r="AH51">
        <v>0</v>
      </c>
      <c r="AI51">
        <v>1</v>
      </c>
      <c r="AJ51">
        <v>0</v>
      </c>
      <c r="AK51">
        <v>0</v>
      </c>
      <c r="AL51">
        <v>0</v>
      </c>
      <c r="AM51" t="s">
        <v>49</v>
      </c>
      <c r="AN51">
        <v>0</v>
      </c>
      <c r="AO51">
        <v>2</v>
      </c>
      <c r="AP51">
        <v>0</v>
      </c>
      <c r="AQ51">
        <v>1</v>
      </c>
      <c r="AR51">
        <v>0</v>
      </c>
      <c r="AS51">
        <v>0</v>
      </c>
    </row>
    <row r="52" spans="1:45" x14ac:dyDescent="0.2">
      <c r="A52" t="s">
        <v>106</v>
      </c>
      <c r="B52" s="2">
        <f t="shared" si="0"/>
        <v>45931</v>
      </c>
      <c r="C52" t="s">
        <v>51</v>
      </c>
      <c r="D52" s="1">
        <v>1.3912037037037037E-2</v>
      </c>
      <c r="E52">
        <v>16</v>
      </c>
      <c r="F52" t="s">
        <v>80</v>
      </c>
      <c r="G52" t="s">
        <v>52</v>
      </c>
      <c r="H52" t="s">
        <v>58</v>
      </c>
      <c r="I52">
        <v>0.88888888888888795</v>
      </c>
      <c r="J52">
        <v>1</v>
      </c>
      <c r="K52">
        <v>0.5</v>
      </c>
      <c r="L52">
        <v>0.46666666666666601</v>
      </c>
      <c r="M52">
        <v>0.45454545454545398</v>
      </c>
      <c r="N52">
        <v>0</v>
      </c>
      <c r="O52">
        <v>0</v>
      </c>
      <c r="P52">
        <v>0</v>
      </c>
      <c r="Q52">
        <v>1</v>
      </c>
      <c r="R52">
        <v>0</v>
      </c>
      <c r="S52">
        <v>0</v>
      </c>
      <c r="T52">
        <v>0</v>
      </c>
      <c r="U52">
        <v>0</v>
      </c>
      <c r="V52">
        <v>0</v>
      </c>
      <c r="W52">
        <v>0</v>
      </c>
      <c r="X52">
        <v>0</v>
      </c>
      <c r="Y52">
        <v>0</v>
      </c>
      <c r="Z52">
        <v>0</v>
      </c>
      <c r="AA52">
        <v>1</v>
      </c>
      <c r="AB52">
        <v>0</v>
      </c>
      <c r="AC52">
        <v>0</v>
      </c>
      <c r="AD52">
        <v>0</v>
      </c>
      <c r="AE52">
        <v>0</v>
      </c>
      <c r="AF52">
        <v>0</v>
      </c>
      <c r="AG52">
        <v>0</v>
      </c>
      <c r="AH52">
        <v>0</v>
      </c>
      <c r="AI52">
        <v>0</v>
      </c>
      <c r="AJ52">
        <v>0</v>
      </c>
      <c r="AK52">
        <v>0</v>
      </c>
      <c r="AL52">
        <v>0</v>
      </c>
      <c r="AM52" t="s">
        <v>49</v>
      </c>
      <c r="AN52">
        <v>0</v>
      </c>
      <c r="AO52">
        <v>1</v>
      </c>
      <c r="AP52">
        <v>0</v>
      </c>
      <c r="AQ52">
        <v>0</v>
      </c>
      <c r="AR52">
        <v>1</v>
      </c>
      <c r="AS52">
        <v>0</v>
      </c>
    </row>
    <row r="53" spans="1:45" x14ac:dyDescent="0.2">
      <c r="A53" t="s">
        <v>107</v>
      </c>
      <c r="B53" s="2">
        <f t="shared" si="0"/>
        <v>45931</v>
      </c>
      <c r="C53" t="s">
        <v>73</v>
      </c>
      <c r="D53" s="1">
        <v>1.5891203703703703E-2</v>
      </c>
      <c r="E53">
        <v>14</v>
      </c>
      <c r="F53" t="s">
        <v>77</v>
      </c>
      <c r="G53" t="s">
        <v>94</v>
      </c>
      <c r="H53" t="s">
        <v>48</v>
      </c>
      <c r="I53">
        <v>0.77777777777777701</v>
      </c>
      <c r="J53">
        <v>1</v>
      </c>
      <c r="K53">
        <v>0.83333333333333304</v>
      </c>
      <c r="L53">
        <v>0.8</v>
      </c>
      <c r="M53">
        <v>0.63636363636363602</v>
      </c>
      <c r="N53">
        <v>0</v>
      </c>
      <c r="O53">
        <v>0</v>
      </c>
      <c r="P53">
        <v>0</v>
      </c>
      <c r="Q53">
        <v>0</v>
      </c>
      <c r="R53">
        <v>0</v>
      </c>
      <c r="S53">
        <v>0</v>
      </c>
      <c r="T53">
        <v>0</v>
      </c>
      <c r="U53">
        <v>0</v>
      </c>
      <c r="V53">
        <v>1</v>
      </c>
      <c r="W53">
        <v>1</v>
      </c>
      <c r="X53">
        <v>0</v>
      </c>
      <c r="Y53">
        <v>0</v>
      </c>
      <c r="Z53">
        <v>0</v>
      </c>
      <c r="AA53">
        <v>0</v>
      </c>
      <c r="AB53">
        <v>1</v>
      </c>
      <c r="AC53">
        <v>0</v>
      </c>
      <c r="AD53">
        <v>0</v>
      </c>
      <c r="AE53">
        <v>0</v>
      </c>
      <c r="AF53">
        <v>0</v>
      </c>
      <c r="AG53">
        <v>0</v>
      </c>
      <c r="AH53">
        <v>0</v>
      </c>
      <c r="AI53">
        <v>0</v>
      </c>
      <c r="AJ53">
        <v>0</v>
      </c>
      <c r="AK53">
        <v>0</v>
      </c>
      <c r="AL53">
        <v>0</v>
      </c>
      <c r="AM53" t="s">
        <v>49</v>
      </c>
      <c r="AN53">
        <v>1</v>
      </c>
      <c r="AO53">
        <v>2</v>
      </c>
      <c r="AP53">
        <v>1</v>
      </c>
      <c r="AQ53">
        <v>1</v>
      </c>
      <c r="AR53">
        <v>2</v>
      </c>
      <c r="AS53">
        <v>1</v>
      </c>
    </row>
    <row r="54" spans="1:45" x14ac:dyDescent="0.2">
      <c r="A54" t="s">
        <v>108</v>
      </c>
      <c r="B54" s="2">
        <f t="shared" si="0"/>
        <v>45931</v>
      </c>
      <c r="C54" t="s">
        <v>54</v>
      </c>
      <c r="D54" s="1">
        <v>1.2835648148148148E-2</v>
      </c>
      <c r="E54">
        <v>31</v>
      </c>
      <c r="F54" t="s">
        <v>84</v>
      </c>
      <c r="G54" t="s">
        <v>104</v>
      </c>
      <c r="H54" t="s">
        <v>48</v>
      </c>
      <c r="I54">
        <v>0.55555555555555503</v>
      </c>
      <c r="J54">
        <v>1</v>
      </c>
      <c r="K54">
        <v>0.66666666666666596</v>
      </c>
      <c r="L54">
        <v>0.53333333333333299</v>
      </c>
      <c r="M54">
        <v>9.0909090909090898E-2</v>
      </c>
      <c r="N54">
        <v>0</v>
      </c>
      <c r="O54">
        <v>0</v>
      </c>
      <c r="P54">
        <v>1</v>
      </c>
      <c r="Q54">
        <v>0</v>
      </c>
      <c r="R54">
        <v>0</v>
      </c>
      <c r="S54">
        <v>0</v>
      </c>
      <c r="T54">
        <v>0</v>
      </c>
      <c r="U54">
        <v>0</v>
      </c>
      <c r="V54">
        <v>0</v>
      </c>
      <c r="W54">
        <v>0</v>
      </c>
      <c r="X54">
        <v>0</v>
      </c>
      <c r="Y54">
        <v>1</v>
      </c>
      <c r="Z54">
        <v>0</v>
      </c>
      <c r="AA54">
        <v>0</v>
      </c>
      <c r="AB54">
        <v>0</v>
      </c>
      <c r="AC54">
        <v>0</v>
      </c>
      <c r="AD54">
        <v>0</v>
      </c>
      <c r="AE54">
        <v>0</v>
      </c>
      <c r="AF54">
        <v>0</v>
      </c>
      <c r="AG54">
        <v>0</v>
      </c>
      <c r="AH54">
        <v>0</v>
      </c>
      <c r="AI54">
        <v>0</v>
      </c>
      <c r="AJ54">
        <v>0</v>
      </c>
      <c r="AK54">
        <v>0</v>
      </c>
      <c r="AL54">
        <v>0</v>
      </c>
      <c r="AM54" t="s">
        <v>49</v>
      </c>
      <c r="AN54">
        <v>0</v>
      </c>
      <c r="AO54">
        <v>1</v>
      </c>
      <c r="AP54">
        <v>1</v>
      </c>
      <c r="AQ54">
        <v>0</v>
      </c>
      <c r="AR54">
        <v>0</v>
      </c>
      <c r="AS54">
        <v>0</v>
      </c>
    </row>
    <row r="55" spans="1:45" x14ac:dyDescent="0.2">
      <c r="A55" t="s">
        <v>109</v>
      </c>
      <c r="B55" s="2">
        <f t="shared" si="0"/>
        <v>45931</v>
      </c>
      <c r="C55" t="s">
        <v>45</v>
      </c>
      <c r="D55" s="1">
        <v>1.5983796296296298E-2</v>
      </c>
      <c r="E55">
        <v>14</v>
      </c>
      <c r="F55" t="s">
        <v>77</v>
      </c>
      <c r="G55" t="s">
        <v>82</v>
      </c>
      <c r="H55" t="s">
        <v>48</v>
      </c>
      <c r="I55">
        <v>0.66666666666666596</v>
      </c>
      <c r="J55">
        <v>1</v>
      </c>
      <c r="K55">
        <v>0.66666666666666596</v>
      </c>
      <c r="L55">
        <v>0.46666666666666601</v>
      </c>
      <c r="M55">
        <v>0.36363636363636298</v>
      </c>
      <c r="N55">
        <v>0</v>
      </c>
      <c r="O55">
        <v>0</v>
      </c>
      <c r="P55">
        <v>0</v>
      </c>
      <c r="Q55">
        <v>0</v>
      </c>
      <c r="R55">
        <v>0</v>
      </c>
      <c r="S55">
        <v>0</v>
      </c>
      <c r="T55">
        <v>0</v>
      </c>
      <c r="U55">
        <v>0</v>
      </c>
      <c r="V55">
        <v>1</v>
      </c>
      <c r="W55">
        <v>1</v>
      </c>
      <c r="X55">
        <v>0</v>
      </c>
      <c r="Y55">
        <v>0</v>
      </c>
      <c r="Z55">
        <v>0</v>
      </c>
      <c r="AA55">
        <v>0</v>
      </c>
      <c r="AB55">
        <v>1</v>
      </c>
      <c r="AC55">
        <v>0</v>
      </c>
      <c r="AD55">
        <v>0</v>
      </c>
      <c r="AE55">
        <v>0</v>
      </c>
      <c r="AF55">
        <v>0</v>
      </c>
      <c r="AG55">
        <v>0</v>
      </c>
      <c r="AH55">
        <v>0</v>
      </c>
      <c r="AI55">
        <v>0</v>
      </c>
      <c r="AJ55">
        <v>0</v>
      </c>
      <c r="AK55">
        <v>0</v>
      </c>
      <c r="AL55">
        <v>0</v>
      </c>
      <c r="AM55" t="s">
        <v>49</v>
      </c>
      <c r="AN55">
        <v>1</v>
      </c>
      <c r="AO55">
        <v>2</v>
      </c>
      <c r="AP55">
        <v>1</v>
      </c>
      <c r="AQ55">
        <v>1</v>
      </c>
      <c r="AR55">
        <v>2</v>
      </c>
      <c r="AS55">
        <v>1</v>
      </c>
    </row>
    <row r="56" spans="1:45" x14ac:dyDescent="0.2">
      <c r="A56" t="s">
        <v>110</v>
      </c>
      <c r="B56" s="2">
        <f t="shared" si="0"/>
        <v>45931</v>
      </c>
      <c r="C56" t="s">
        <v>51</v>
      </c>
      <c r="D56" s="1">
        <v>2.5266203703703704E-2</v>
      </c>
      <c r="E56">
        <v>30</v>
      </c>
      <c r="F56" t="s">
        <v>99</v>
      </c>
      <c r="G56" t="s">
        <v>85</v>
      </c>
      <c r="H56" t="s">
        <v>48</v>
      </c>
      <c r="I56">
        <v>0.88888888888888795</v>
      </c>
      <c r="J56">
        <v>0.5</v>
      </c>
      <c r="K56">
        <v>0.5</v>
      </c>
      <c r="L56">
        <v>0.86666666666666603</v>
      </c>
      <c r="M56">
        <v>0.72727272727272696</v>
      </c>
      <c r="N56">
        <v>0</v>
      </c>
      <c r="O56">
        <v>1</v>
      </c>
      <c r="P56">
        <v>0</v>
      </c>
      <c r="Q56">
        <v>0</v>
      </c>
      <c r="R56">
        <v>0</v>
      </c>
      <c r="S56">
        <v>1</v>
      </c>
      <c r="T56">
        <v>0</v>
      </c>
      <c r="U56">
        <v>0</v>
      </c>
      <c r="V56">
        <v>0</v>
      </c>
      <c r="W56">
        <v>0</v>
      </c>
      <c r="X56">
        <v>1</v>
      </c>
      <c r="Y56">
        <v>0</v>
      </c>
      <c r="Z56">
        <v>0</v>
      </c>
      <c r="AA56">
        <v>0</v>
      </c>
      <c r="AB56">
        <v>0</v>
      </c>
      <c r="AC56">
        <v>0</v>
      </c>
      <c r="AD56">
        <v>0</v>
      </c>
      <c r="AE56">
        <v>1</v>
      </c>
      <c r="AF56">
        <v>0</v>
      </c>
      <c r="AG56">
        <v>0</v>
      </c>
      <c r="AH56">
        <v>0</v>
      </c>
      <c r="AI56">
        <v>0</v>
      </c>
      <c r="AJ56">
        <v>0</v>
      </c>
      <c r="AK56">
        <v>0</v>
      </c>
      <c r="AL56">
        <v>0</v>
      </c>
      <c r="AM56" t="s">
        <v>49</v>
      </c>
      <c r="AN56">
        <v>1</v>
      </c>
      <c r="AO56">
        <v>2</v>
      </c>
      <c r="AP56">
        <v>2</v>
      </c>
      <c r="AQ56">
        <v>2</v>
      </c>
      <c r="AR56">
        <v>2</v>
      </c>
      <c r="AS56">
        <v>0</v>
      </c>
    </row>
    <row r="57" spans="1:45" x14ac:dyDescent="0.2">
      <c r="A57" t="s">
        <v>110</v>
      </c>
      <c r="B57" s="2">
        <f t="shared" si="0"/>
        <v>45931</v>
      </c>
      <c r="C57" t="s">
        <v>51</v>
      </c>
      <c r="D57" s="1">
        <v>2.7523148148148147E-2</v>
      </c>
      <c r="E57">
        <v>30</v>
      </c>
      <c r="F57" t="s">
        <v>99</v>
      </c>
      <c r="G57" t="s">
        <v>52</v>
      </c>
      <c r="H57" t="s">
        <v>48</v>
      </c>
      <c r="I57">
        <v>0.66666666666666596</v>
      </c>
      <c r="J57">
        <v>1</v>
      </c>
      <c r="K57">
        <v>0.5</v>
      </c>
      <c r="L57">
        <v>0.53333333333333299</v>
      </c>
      <c r="M57">
        <v>0.45454545454545398</v>
      </c>
      <c r="N57">
        <v>0</v>
      </c>
      <c r="O57">
        <v>1</v>
      </c>
      <c r="P57">
        <v>0</v>
      </c>
      <c r="Q57">
        <v>0</v>
      </c>
      <c r="R57">
        <v>0</v>
      </c>
      <c r="S57">
        <v>1</v>
      </c>
      <c r="T57">
        <v>0</v>
      </c>
      <c r="U57">
        <v>0</v>
      </c>
      <c r="V57">
        <v>0</v>
      </c>
      <c r="W57">
        <v>0</v>
      </c>
      <c r="X57">
        <v>1</v>
      </c>
      <c r="Y57">
        <v>0</v>
      </c>
      <c r="Z57">
        <v>0</v>
      </c>
      <c r="AA57">
        <v>0</v>
      </c>
      <c r="AB57">
        <v>0</v>
      </c>
      <c r="AC57">
        <v>0</v>
      </c>
      <c r="AD57">
        <v>0</v>
      </c>
      <c r="AE57">
        <v>1</v>
      </c>
      <c r="AF57">
        <v>0</v>
      </c>
      <c r="AG57">
        <v>0</v>
      </c>
      <c r="AH57">
        <v>0</v>
      </c>
      <c r="AI57">
        <v>0</v>
      </c>
      <c r="AJ57">
        <v>0</v>
      </c>
      <c r="AK57">
        <v>0</v>
      </c>
      <c r="AL57">
        <v>0</v>
      </c>
      <c r="AM57" t="s">
        <v>49</v>
      </c>
      <c r="AN57">
        <v>1</v>
      </c>
      <c r="AO57">
        <v>2</v>
      </c>
      <c r="AP57">
        <v>2</v>
      </c>
      <c r="AQ57">
        <v>2</v>
      </c>
      <c r="AR57">
        <v>2</v>
      </c>
      <c r="AS57">
        <v>0</v>
      </c>
    </row>
    <row r="58" spans="1:45" x14ac:dyDescent="0.2">
      <c r="A58" t="s">
        <v>110</v>
      </c>
      <c r="B58" s="2">
        <f t="shared" si="0"/>
        <v>45931</v>
      </c>
      <c r="C58" t="s">
        <v>51</v>
      </c>
      <c r="D58" s="1">
        <v>2.78125E-2</v>
      </c>
      <c r="E58">
        <v>30</v>
      </c>
      <c r="F58" t="s">
        <v>99</v>
      </c>
      <c r="G58" t="s">
        <v>71</v>
      </c>
      <c r="H58" t="s">
        <v>58</v>
      </c>
      <c r="I58">
        <v>0.44444444444444398</v>
      </c>
      <c r="J58">
        <v>0.5</v>
      </c>
      <c r="K58">
        <v>0.66666666666666596</v>
      </c>
      <c r="L58">
        <v>0.53333333333333299</v>
      </c>
      <c r="M58">
        <v>0.36363636363636298</v>
      </c>
      <c r="N58">
        <v>0</v>
      </c>
      <c r="O58">
        <v>1</v>
      </c>
      <c r="P58">
        <v>0</v>
      </c>
      <c r="Q58">
        <v>0</v>
      </c>
      <c r="R58">
        <v>0</v>
      </c>
      <c r="S58">
        <v>1</v>
      </c>
      <c r="T58">
        <v>0</v>
      </c>
      <c r="U58">
        <v>0</v>
      </c>
      <c r="V58">
        <v>0</v>
      </c>
      <c r="W58">
        <v>0</v>
      </c>
      <c r="X58">
        <v>1</v>
      </c>
      <c r="Y58">
        <v>0</v>
      </c>
      <c r="Z58">
        <v>0</v>
      </c>
      <c r="AA58">
        <v>0</v>
      </c>
      <c r="AB58">
        <v>0</v>
      </c>
      <c r="AC58">
        <v>0</v>
      </c>
      <c r="AD58">
        <v>0</v>
      </c>
      <c r="AE58">
        <v>1</v>
      </c>
      <c r="AF58">
        <v>0</v>
      </c>
      <c r="AG58">
        <v>0</v>
      </c>
      <c r="AH58">
        <v>0</v>
      </c>
      <c r="AI58">
        <v>0</v>
      </c>
      <c r="AJ58">
        <v>0</v>
      </c>
      <c r="AK58">
        <v>0</v>
      </c>
      <c r="AL58">
        <v>0</v>
      </c>
      <c r="AM58" t="s">
        <v>49</v>
      </c>
      <c r="AN58">
        <v>1</v>
      </c>
      <c r="AO58">
        <v>2</v>
      </c>
      <c r="AP58">
        <v>2</v>
      </c>
      <c r="AQ58">
        <v>2</v>
      </c>
      <c r="AR58">
        <v>2</v>
      </c>
      <c r="AS58">
        <v>0</v>
      </c>
    </row>
    <row r="59" spans="1:45" x14ac:dyDescent="0.2">
      <c r="A59" t="s">
        <v>111</v>
      </c>
      <c r="B59" s="2">
        <f t="shared" si="0"/>
        <v>45931</v>
      </c>
      <c r="C59" t="s">
        <v>73</v>
      </c>
      <c r="D59" s="1">
        <v>1.3101851851851852E-2</v>
      </c>
      <c r="E59">
        <v>7</v>
      </c>
      <c r="F59" t="s">
        <v>67</v>
      </c>
      <c r="G59" t="s">
        <v>87</v>
      </c>
      <c r="H59" t="s">
        <v>48</v>
      </c>
      <c r="I59">
        <v>0.66666666666666596</v>
      </c>
      <c r="J59">
        <v>1</v>
      </c>
      <c r="K59">
        <v>0.5</v>
      </c>
      <c r="L59">
        <v>0.4</v>
      </c>
      <c r="M59">
        <v>0.18181818181818099</v>
      </c>
      <c r="N59">
        <v>0</v>
      </c>
      <c r="O59">
        <v>0</v>
      </c>
      <c r="P59">
        <v>0</v>
      </c>
      <c r="Q59">
        <v>0</v>
      </c>
      <c r="R59">
        <v>0</v>
      </c>
      <c r="S59">
        <v>0</v>
      </c>
      <c r="T59">
        <v>1</v>
      </c>
      <c r="U59">
        <v>0</v>
      </c>
      <c r="V59">
        <v>1</v>
      </c>
      <c r="W59">
        <v>0</v>
      </c>
      <c r="X59">
        <v>0</v>
      </c>
      <c r="Y59">
        <v>0</v>
      </c>
      <c r="Z59">
        <v>0</v>
      </c>
      <c r="AA59">
        <v>0</v>
      </c>
      <c r="AB59">
        <v>0</v>
      </c>
      <c r="AC59">
        <v>0</v>
      </c>
      <c r="AD59">
        <v>0</v>
      </c>
      <c r="AE59">
        <v>0</v>
      </c>
      <c r="AF59">
        <v>0</v>
      </c>
      <c r="AG59">
        <v>0</v>
      </c>
      <c r="AH59">
        <v>0</v>
      </c>
      <c r="AI59">
        <v>1</v>
      </c>
      <c r="AJ59">
        <v>0</v>
      </c>
      <c r="AK59">
        <v>0</v>
      </c>
      <c r="AL59">
        <v>0</v>
      </c>
      <c r="AM59" t="s">
        <v>49</v>
      </c>
      <c r="AN59">
        <v>0</v>
      </c>
      <c r="AO59">
        <v>2</v>
      </c>
      <c r="AP59">
        <v>0</v>
      </c>
      <c r="AQ59">
        <v>1</v>
      </c>
      <c r="AR59">
        <v>0</v>
      </c>
      <c r="AS59">
        <v>0</v>
      </c>
    </row>
    <row r="60" spans="1:45" x14ac:dyDescent="0.2">
      <c r="A60" t="s">
        <v>112</v>
      </c>
      <c r="B60" s="2">
        <f t="shared" si="0"/>
        <v>45931</v>
      </c>
      <c r="C60" t="s">
        <v>45</v>
      </c>
      <c r="D60" s="1">
        <v>2.7708333333333335E-2</v>
      </c>
      <c r="E60">
        <v>30</v>
      </c>
      <c r="F60" t="s">
        <v>99</v>
      </c>
      <c r="G60" t="s">
        <v>82</v>
      </c>
      <c r="H60" t="s">
        <v>48</v>
      </c>
      <c r="I60">
        <v>0.77777777777777701</v>
      </c>
      <c r="J60">
        <v>1</v>
      </c>
      <c r="K60">
        <v>0.5</v>
      </c>
      <c r="L60">
        <v>0.53333333333333299</v>
      </c>
      <c r="M60">
        <v>0.27272727272727199</v>
      </c>
      <c r="N60">
        <v>0</v>
      </c>
      <c r="O60">
        <v>1</v>
      </c>
      <c r="P60">
        <v>0</v>
      </c>
      <c r="Q60">
        <v>0</v>
      </c>
      <c r="R60">
        <v>0</v>
      </c>
      <c r="S60">
        <v>1</v>
      </c>
      <c r="T60">
        <v>0</v>
      </c>
      <c r="U60">
        <v>0</v>
      </c>
      <c r="V60">
        <v>0</v>
      </c>
      <c r="W60">
        <v>0</v>
      </c>
      <c r="X60">
        <v>1</v>
      </c>
      <c r="Y60">
        <v>0</v>
      </c>
      <c r="Z60">
        <v>0</v>
      </c>
      <c r="AA60">
        <v>0</v>
      </c>
      <c r="AB60">
        <v>0</v>
      </c>
      <c r="AC60">
        <v>0</v>
      </c>
      <c r="AD60">
        <v>0</v>
      </c>
      <c r="AE60">
        <v>1</v>
      </c>
      <c r="AF60">
        <v>0</v>
      </c>
      <c r="AG60">
        <v>0</v>
      </c>
      <c r="AH60">
        <v>0</v>
      </c>
      <c r="AI60">
        <v>0</v>
      </c>
      <c r="AJ60">
        <v>0</v>
      </c>
      <c r="AK60">
        <v>0</v>
      </c>
      <c r="AL60">
        <v>0</v>
      </c>
      <c r="AM60" t="s">
        <v>49</v>
      </c>
      <c r="AN60">
        <v>1</v>
      </c>
      <c r="AO60">
        <v>2</v>
      </c>
      <c r="AP60">
        <v>2</v>
      </c>
      <c r="AQ60">
        <v>2</v>
      </c>
      <c r="AR60">
        <v>2</v>
      </c>
      <c r="AS60">
        <v>0</v>
      </c>
    </row>
    <row r="61" spans="1:45" x14ac:dyDescent="0.2">
      <c r="A61" t="s">
        <v>113</v>
      </c>
      <c r="B61" s="2">
        <f t="shared" si="0"/>
        <v>45931</v>
      </c>
      <c r="C61" t="s">
        <v>73</v>
      </c>
      <c r="D61" s="1">
        <v>2.6527777777777779E-2</v>
      </c>
      <c r="E61">
        <v>30</v>
      </c>
      <c r="F61" t="s">
        <v>99</v>
      </c>
      <c r="G61" t="s">
        <v>94</v>
      </c>
      <c r="H61" t="s">
        <v>48</v>
      </c>
      <c r="I61">
        <v>0.55555555555555503</v>
      </c>
      <c r="J61">
        <v>1</v>
      </c>
      <c r="K61">
        <v>0.83333333333333304</v>
      </c>
      <c r="L61">
        <v>0.66666666666666596</v>
      </c>
      <c r="M61">
        <v>0.63636363636363602</v>
      </c>
      <c r="N61">
        <v>0</v>
      </c>
      <c r="O61">
        <v>1</v>
      </c>
      <c r="P61">
        <v>0</v>
      </c>
      <c r="Q61">
        <v>0</v>
      </c>
      <c r="R61">
        <v>0</v>
      </c>
      <c r="S61">
        <v>1</v>
      </c>
      <c r="T61">
        <v>0</v>
      </c>
      <c r="U61">
        <v>0</v>
      </c>
      <c r="V61">
        <v>0</v>
      </c>
      <c r="W61">
        <v>0</v>
      </c>
      <c r="X61">
        <v>1</v>
      </c>
      <c r="Y61">
        <v>0</v>
      </c>
      <c r="Z61">
        <v>0</v>
      </c>
      <c r="AA61">
        <v>0</v>
      </c>
      <c r="AB61">
        <v>0</v>
      </c>
      <c r="AC61">
        <v>0</v>
      </c>
      <c r="AD61">
        <v>0</v>
      </c>
      <c r="AE61">
        <v>1</v>
      </c>
      <c r="AF61">
        <v>0</v>
      </c>
      <c r="AG61">
        <v>0</v>
      </c>
      <c r="AH61">
        <v>0</v>
      </c>
      <c r="AI61">
        <v>0</v>
      </c>
      <c r="AJ61">
        <v>0</v>
      </c>
      <c r="AK61">
        <v>0</v>
      </c>
      <c r="AL61">
        <v>0</v>
      </c>
      <c r="AM61" t="s">
        <v>49</v>
      </c>
      <c r="AN61">
        <v>1</v>
      </c>
      <c r="AO61">
        <v>2</v>
      </c>
      <c r="AP61">
        <v>2</v>
      </c>
      <c r="AQ61">
        <v>2</v>
      </c>
      <c r="AR61">
        <v>2</v>
      </c>
      <c r="AS61">
        <v>0</v>
      </c>
    </row>
    <row r="62" spans="1:45" x14ac:dyDescent="0.2">
      <c r="A62" t="s">
        <v>113</v>
      </c>
      <c r="B62" s="2">
        <f t="shared" si="0"/>
        <v>45931</v>
      </c>
      <c r="C62" t="s">
        <v>73</v>
      </c>
      <c r="D62" s="1">
        <v>1.1828703703703704E-2</v>
      </c>
      <c r="E62">
        <v>14</v>
      </c>
      <c r="F62" t="s">
        <v>77</v>
      </c>
      <c r="G62" t="s">
        <v>87</v>
      </c>
      <c r="H62" t="s">
        <v>48</v>
      </c>
      <c r="I62">
        <v>0.55555555555555503</v>
      </c>
      <c r="J62">
        <v>1</v>
      </c>
      <c r="K62">
        <v>0.5</v>
      </c>
      <c r="L62">
        <v>0.33333333333333298</v>
      </c>
      <c r="M62">
        <v>0.18181818181818099</v>
      </c>
      <c r="N62">
        <v>0</v>
      </c>
      <c r="O62">
        <v>0</v>
      </c>
      <c r="P62">
        <v>0</v>
      </c>
      <c r="Q62">
        <v>0</v>
      </c>
      <c r="R62">
        <v>0</v>
      </c>
      <c r="S62">
        <v>0</v>
      </c>
      <c r="T62">
        <v>0</v>
      </c>
      <c r="U62">
        <v>0</v>
      </c>
      <c r="V62">
        <v>1</v>
      </c>
      <c r="W62">
        <v>1</v>
      </c>
      <c r="X62">
        <v>0</v>
      </c>
      <c r="Y62">
        <v>0</v>
      </c>
      <c r="Z62">
        <v>0</v>
      </c>
      <c r="AA62">
        <v>0</v>
      </c>
      <c r="AB62">
        <v>1</v>
      </c>
      <c r="AC62">
        <v>0</v>
      </c>
      <c r="AD62">
        <v>0</v>
      </c>
      <c r="AE62">
        <v>0</v>
      </c>
      <c r="AF62">
        <v>0</v>
      </c>
      <c r="AG62">
        <v>0</v>
      </c>
      <c r="AH62">
        <v>0</v>
      </c>
      <c r="AI62">
        <v>0</v>
      </c>
      <c r="AJ62">
        <v>0</v>
      </c>
      <c r="AK62">
        <v>0</v>
      </c>
      <c r="AL62">
        <v>0</v>
      </c>
      <c r="AM62" t="s">
        <v>49</v>
      </c>
      <c r="AN62">
        <v>1</v>
      </c>
      <c r="AO62">
        <v>2</v>
      </c>
      <c r="AP62">
        <v>1</v>
      </c>
      <c r="AQ62">
        <v>1</v>
      </c>
      <c r="AR62">
        <v>2</v>
      </c>
      <c r="AS62">
        <v>1</v>
      </c>
    </row>
    <row r="63" spans="1:45" x14ac:dyDescent="0.2">
      <c r="A63" t="s">
        <v>114</v>
      </c>
      <c r="B63" s="2">
        <f t="shared" si="0"/>
        <v>45931</v>
      </c>
      <c r="C63" t="s">
        <v>45</v>
      </c>
      <c r="D63" s="1">
        <v>1.3912037037037037E-2</v>
      </c>
      <c r="E63">
        <v>4</v>
      </c>
      <c r="F63" t="s">
        <v>91</v>
      </c>
      <c r="G63" t="s">
        <v>55</v>
      </c>
      <c r="H63" t="s">
        <v>58</v>
      </c>
      <c r="I63">
        <v>0.55555555555555503</v>
      </c>
      <c r="J63">
        <v>0.5</v>
      </c>
      <c r="K63">
        <v>0.66666666666666596</v>
      </c>
      <c r="L63">
        <v>0.266666666666666</v>
      </c>
      <c r="M63">
        <v>9.0909090909090898E-2</v>
      </c>
      <c r="N63">
        <v>1</v>
      </c>
      <c r="O63">
        <v>0</v>
      </c>
      <c r="P63">
        <v>0</v>
      </c>
      <c r="Q63">
        <v>0</v>
      </c>
      <c r="R63">
        <v>0</v>
      </c>
      <c r="S63">
        <v>0</v>
      </c>
      <c r="T63">
        <v>0</v>
      </c>
      <c r="U63">
        <v>0</v>
      </c>
      <c r="V63">
        <v>0</v>
      </c>
      <c r="W63">
        <v>0</v>
      </c>
      <c r="X63">
        <v>0</v>
      </c>
      <c r="Y63">
        <v>0</v>
      </c>
      <c r="Z63">
        <v>0</v>
      </c>
      <c r="AA63">
        <v>0</v>
      </c>
      <c r="AB63">
        <v>1</v>
      </c>
      <c r="AC63">
        <v>0</v>
      </c>
      <c r="AD63">
        <v>1</v>
      </c>
      <c r="AE63">
        <v>0</v>
      </c>
      <c r="AF63">
        <v>1</v>
      </c>
      <c r="AG63">
        <v>0</v>
      </c>
      <c r="AH63">
        <v>0</v>
      </c>
      <c r="AI63">
        <v>0</v>
      </c>
      <c r="AJ63">
        <v>0</v>
      </c>
      <c r="AK63">
        <v>0</v>
      </c>
      <c r="AL63">
        <v>0</v>
      </c>
      <c r="AM63" t="s">
        <v>49</v>
      </c>
      <c r="AN63">
        <v>1</v>
      </c>
      <c r="AO63">
        <v>4</v>
      </c>
      <c r="AP63">
        <v>1</v>
      </c>
      <c r="AQ63">
        <v>1</v>
      </c>
      <c r="AR63">
        <v>1</v>
      </c>
      <c r="AS63">
        <v>1</v>
      </c>
    </row>
    <row r="64" spans="1:45" x14ac:dyDescent="0.2">
      <c r="A64" t="s">
        <v>115</v>
      </c>
      <c r="B64" s="2">
        <f t="shared" si="0"/>
        <v>45962</v>
      </c>
      <c r="C64" t="s">
        <v>45</v>
      </c>
      <c r="D64" s="1">
        <v>1.3900462962962963E-2</v>
      </c>
      <c r="E64">
        <v>16</v>
      </c>
      <c r="F64" t="s">
        <v>80</v>
      </c>
      <c r="G64" t="s">
        <v>47</v>
      </c>
      <c r="H64" t="s">
        <v>58</v>
      </c>
      <c r="I64">
        <v>0.44444444444444398</v>
      </c>
      <c r="J64">
        <v>0.5</v>
      </c>
      <c r="K64">
        <v>0.66666666666666596</v>
      </c>
      <c r="L64">
        <v>0.266666666666666</v>
      </c>
      <c r="M64">
        <v>9.0909090909090898E-2</v>
      </c>
      <c r="N64">
        <v>0</v>
      </c>
      <c r="O64">
        <v>0</v>
      </c>
      <c r="P64">
        <v>0</v>
      </c>
      <c r="Q64">
        <v>1</v>
      </c>
      <c r="R64">
        <v>0</v>
      </c>
      <c r="S64">
        <v>0</v>
      </c>
      <c r="T64">
        <v>0</v>
      </c>
      <c r="U64">
        <v>0</v>
      </c>
      <c r="V64">
        <v>0</v>
      </c>
      <c r="W64">
        <v>0</v>
      </c>
      <c r="X64">
        <v>0</v>
      </c>
      <c r="Y64">
        <v>0</v>
      </c>
      <c r="Z64">
        <v>0</v>
      </c>
      <c r="AA64">
        <v>1</v>
      </c>
      <c r="AB64">
        <v>0</v>
      </c>
      <c r="AC64">
        <v>0</v>
      </c>
      <c r="AD64">
        <v>0</v>
      </c>
      <c r="AE64">
        <v>0</v>
      </c>
      <c r="AF64">
        <v>0</v>
      </c>
      <c r="AG64">
        <v>0</v>
      </c>
      <c r="AH64">
        <v>0</v>
      </c>
      <c r="AI64">
        <v>0</v>
      </c>
      <c r="AJ64">
        <v>0</v>
      </c>
      <c r="AK64">
        <v>0</v>
      </c>
      <c r="AL64">
        <v>0</v>
      </c>
      <c r="AM64" t="s">
        <v>49</v>
      </c>
      <c r="AN64">
        <v>0</v>
      </c>
      <c r="AO64">
        <v>1</v>
      </c>
      <c r="AP64">
        <v>0</v>
      </c>
      <c r="AQ64">
        <v>0</v>
      </c>
      <c r="AR64">
        <v>1</v>
      </c>
      <c r="AS64">
        <v>0</v>
      </c>
    </row>
    <row r="65" spans="1:45" x14ac:dyDescent="0.2">
      <c r="A65" t="s">
        <v>116</v>
      </c>
      <c r="B65" s="2">
        <f t="shared" si="0"/>
        <v>45962</v>
      </c>
      <c r="C65" t="s">
        <v>73</v>
      </c>
      <c r="D65" s="1">
        <v>1.2303240740740741E-2</v>
      </c>
      <c r="E65">
        <v>16</v>
      </c>
      <c r="F65" t="s">
        <v>80</v>
      </c>
      <c r="G65" t="s">
        <v>87</v>
      </c>
      <c r="H65" t="s">
        <v>48</v>
      </c>
      <c r="I65">
        <v>0.77777777777777701</v>
      </c>
      <c r="J65">
        <v>1</v>
      </c>
      <c r="K65">
        <v>0.66666666666666596</v>
      </c>
      <c r="L65">
        <v>0.6</v>
      </c>
      <c r="M65">
        <v>0.36363636363636298</v>
      </c>
      <c r="N65">
        <v>0</v>
      </c>
      <c r="O65">
        <v>0</v>
      </c>
      <c r="P65">
        <v>0</v>
      </c>
      <c r="Q65">
        <v>1</v>
      </c>
      <c r="R65">
        <v>0</v>
      </c>
      <c r="S65">
        <v>0</v>
      </c>
      <c r="T65">
        <v>0</v>
      </c>
      <c r="U65">
        <v>0</v>
      </c>
      <c r="V65">
        <v>0</v>
      </c>
      <c r="W65">
        <v>0</v>
      </c>
      <c r="X65">
        <v>0</v>
      </c>
      <c r="Y65">
        <v>0</v>
      </c>
      <c r="Z65">
        <v>0</v>
      </c>
      <c r="AA65">
        <v>1</v>
      </c>
      <c r="AB65">
        <v>0</v>
      </c>
      <c r="AC65">
        <v>0</v>
      </c>
      <c r="AD65">
        <v>0</v>
      </c>
      <c r="AE65">
        <v>0</v>
      </c>
      <c r="AF65">
        <v>0</v>
      </c>
      <c r="AG65">
        <v>0</v>
      </c>
      <c r="AH65">
        <v>0</v>
      </c>
      <c r="AI65">
        <v>0</v>
      </c>
      <c r="AJ65">
        <v>0</v>
      </c>
      <c r="AK65">
        <v>0</v>
      </c>
      <c r="AL65">
        <v>0</v>
      </c>
      <c r="AM65" t="s">
        <v>49</v>
      </c>
      <c r="AN65">
        <v>0</v>
      </c>
      <c r="AO65">
        <v>1</v>
      </c>
      <c r="AP65">
        <v>0</v>
      </c>
      <c r="AQ65">
        <v>0</v>
      </c>
      <c r="AR65">
        <v>1</v>
      </c>
      <c r="AS65">
        <v>0</v>
      </c>
    </row>
    <row r="66" spans="1:45" x14ac:dyDescent="0.2">
      <c r="A66" t="s">
        <v>117</v>
      </c>
      <c r="B66" s="2">
        <f t="shared" si="0"/>
        <v>45962</v>
      </c>
      <c r="C66" t="s">
        <v>45</v>
      </c>
      <c r="D66" s="1">
        <v>1.1886574074074074E-2</v>
      </c>
      <c r="E66">
        <v>16</v>
      </c>
      <c r="F66" t="s">
        <v>80</v>
      </c>
      <c r="G66" t="s">
        <v>82</v>
      </c>
      <c r="H66" t="s">
        <v>48</v>
      </c>
      <c r="I66">
        <v>0.77777777777777701</v>
      </c>
      <c r="J66">
        <v>1</v>
      </c>
      <c r="K66">
        <v>0.83333333333333304</v>
      </c>
      <c r="L66">
        <v>0.8</v>
      </c>
      <c r="M66">
        <v>0.54545454545454497</v>
      </c>
      <c r="N66">
        <v>0</v>
      </c>
      <c r="O66">
        <v>0</v>
      </c>
      <c r="P66">
        <v>0</v>
      </c>
      <c r="Q66">
        <v>1</v>
      </c>
      <c r="R66">
        <v>0</v>
      </c>
      <c r="S66">
        <v>0</v>
      </c>
      <c r="T66">
        <v>0</v>
      </c>
      <c r="U66">
        <v>0</v>
      </c>
      <c r="V66">
        <v>0</v>
      </c>
      <c r="W66">
        <v>0</v>
      </c>
      <c r="X66">
        <v>0</v>
      </c>
      <c r="Y66">
        <v>0</v>
      </c>
      <c r="Z66">
        <v>0</v>
      </c>
      <c r="AA66">
        <v>1</v>
      </c>
      <c r="AB66">
        <v>0</v>
      </c>
      <c r="AC66">
        <v>0</v>
      </c>
      <c r="AD66">
        <v>0</v>
      </c>
      <c r="AE66">
        <v>0</v>
      </c>
      <c r="AF66">
        <v>0</v>
      </c>
      <c r="AG66">
        <v>0</v>
      </c>
      <c r="AH66">
        <v>0</v>
      </c>
      <c r="AI66">
        <v>0</v>
      </c>
      <c r="AJ66">
        <v>0</v>
      </c>
      <c r="AK66">
        <v>0</v>
      </c>
      <c r="AL66">
        <v>0</v>
      </c>
      <c r="AM66" t="s">
        <v>49</v>
      </c>
      <c r="AN66">
        <v>0</v>
      </c>
      <c r="AO66">
        <v>1</v>
      </c>
      <c r="AP66">
        <v>0</v>
      </c>
      <c r="AQ66">
        <v>0</v>
      </c>
      <c r="AR66">
        <v>1</v>
      </c>
      <c r="AS66">
        <v>0</v>
      </c>
    </row>
    <row r="67" spans="1:45" x14ac:dyDescent="0.2">
      <c r="A67" t="s">
        <v>118</v>
      </c>
      <c r="B67" s="2">
        <f t="shared" ref="B67:B110" si="1">DATE(YEAR(DATEVALUE(LEFT(A67,10))), MONTH(DATEVALUE(LEFT(A67,10))), 1)</f>
        <v>45962</v>
      </c>
      <c r="C67" t="s">
        <v>45</v>
      </c>
      <c r="D67" s="1">
        <v>1.7384259259259259E-2</v>
      </c>
      <c r="E67">
        <v>8</v>
      </c>
      <c r="F67" t="s">
        <v>119</v>
      </c>
      <c r="G67" t="s">
        <v>61</v>
      </c>
      <c r="H67" t="s">
        <v>58</v>
      </c>
      <c r="I67">
        <v>0.66666666666666596</v>
      </c>
      <c r="J67">
        <v>1</v>
      </c>
      <c r="K67">
        <v>0.5</v>
      </c>
      <c r="L67">
        <v>0.66666666666666596</v>
      </c>
      <c r="M67">
        <v>0.45454545454545398</v>
      </c>
      <c r="N67">
        <v>0</v>
      </c>
      <c r="O67">
        <v>0</v>
      </c>
      <c r="P67">
        <v>0</v>
      </c>
      <c r="Q67">
        <v>0</v>
      </c>
      <c r="R67">
        <v>0</v>
      </c>
      <c r="S67">
        <v>0</v>
      </c>
      <c r="T67">
        <v>0</v>
      </c>
      <c r="U67">
        <v>1</v>
      </c>
      <c r="V67">
        <v>0</v>
      </c>
      <c r="W67">
        <v>0</v>
      </c>
      <c r="X67">
        <v>0</v>
      </c>
      <c r="Y67">
        <v>0</v>
      </c>
      <c r="Z67">
        <v>1</v>
      </c>
      <c r="AA67">
        <v>0</v>
      </c>
      <c r="AB67">
        <v>0</v>
      </c>
      <c r="AC67">
        <v>0</v>
      </c>
      <c r="AD67">
        <v>0</v>
      </c>
      <c r="AE67">
        <v>0</v>
      </c>
      <c r="AF67">
        <v>0</v>
      </c>
      <c r="AG67">
        <v>0</v>
      </c>
      <c r="AH67">
        <v>0</v>
      </c>
      <c r="AI67">
        <v>0</v>
      </c>
      <c r="AJ67">
        <v>0</v>
      </c>
      <c r="AK67">
        <v>1</v>
      </c>
      <c r="AL67">
        <v>0</v>
      </c>
      <c r="AM67" t="s">
        <v>49</v>
      </c>
      <c r="AN67">
        <v>0</v>
      </c>
      <c r="AO67">
        <v>1</v>
      </c>
      <c r="AP67">
        <v>2</v>
      </c>
      <c r="AQ67">
        <v>0</v>
      </c>
      <c r="AR67">
        <v>0</v>
      </c>
      <c r="AS67">
        <v>1</v>
      </c>
    </row>
    <row r="68" spans="1:45" x14ac:dyDescent="0.2">
      <c r="A68" t="s">
        <v>118</v>
      </c>
      <c r="B68" s="2">
        <f t="shared" si="1"/>
        <v>45962</v>
      </c>
      <c r="C68" t="s">
        <v>45</v>
      </c>
      <c r="D68" s="1">
        <v>1.3900462962962963E-2</v>
      </c>
      <c r="E68">
        <v>16</v>
      </c>
      <c r="F68" t="s">
        <v>80</v>
      </c>
      <c r="G68" t="s">
        <v>71</v>
      </c>
      <c r="H68" t="s">
        <v>58</v>
      </c>
      <c r="I68">
        <v>0.44444444444444398</v>
      </c>
      <c r="J68">
        <v>1</v>
      </c>
      <c r="K68">
        <v>0.66666666666666596</v>
      </c>
      <c r="L68">
        <v>0.46666666666666601</v>
      </c>
      <c r="M68">
        <v>9.0909090909090898E-2</v>
      </c>
      <c r="N68">
        <v>0</v>
      </c>
      <c r="O68">
        <v>0</v>
      </c>
      <c r="P68">
        <v>0</v>
      </c>
      <c r="Q68">
        <v>1</v>
      </c>
      <c r="R68">
        <v>0</v>
      </c>
      <c r="S68">
        <v>0</v>
      </c>
      <c r="T68">
        <v>0</v>
      </c>
      <c r="U68">
        <v>0</v>
      </c>
      <c r="V68">
        <v>0</v>
      </c>
      <c r="W68">
        <v>0</v>
      </c>
      <c r="X68">
        <v>0</v>
      </c>
      <c r="Y68">
        <v>0</v>
      </c>
      <c r="Z68">
        <v>0</v>
      </c>
      <c r="AA68">
        <v>1</v>
      </c>
      <c r="AB68">
        <v>0</v>
      </c>
      <c r="AC68">
        <v>0</v>
      </c>
      <c r="AD68">
        <v>0</v>
      </c>
      <c r="AE68">
        <v>0</v>
      </c>
      <c r="AF68">
        <v>0</v>
      </c>
      <c r="AG68">
        <v>0</v>
      </c>
      <c r="AH68">
        <v>0</v>
      </c>
      <c r="AI68">
        <v>0</v>
      </c>
      <c r="AJ68">
        <v>0</v>
      </c>
      <c r="AK68">
        <v>0</v>
      </c>
      <c r="AL68">
        <v>0</v>
      </c>
      <c r="AM68" t="s">
        <v>49</v>
      </c>
      <c r="AN68">
        <v>0</v>
      </c>
      <c r="AO68">
        <v>1</v>
      </c>
      <c r="AP68">
        <v>0</v>
      </c>
      <c r="AQ68">
        <v>0</v>
      </c>
      <c r="AR68">
        <v>1</v>
      </c>
      <c r="AS68">
        <v>0</v>
      </c>
    </row>
    <row r="69" spans="1:45" x14ac:dyDescent="0.2">
      <c r="A69" t="s">
        <v>118</v>
      </c>
      <c r="B69" s="2">
        <f t="shared" si="1"/>
        <v>45962</v>
      </c>
      <c r="C69" t="s">
        <v>45</v>
      </c>
      <c r="D69" s="1">
        <v>1.2465277777777778E-2</v>
      </c>
      <c r="E69">
        <v>4</v>
      </c>
      <c r="F69" t="s">
        <v>91</v>
      </c>
      <c r="G69" t="s">
        <v>47</v>
      </c>
      <c r="H69" t="s">
        <v>48</v>
      </c>
      <c r="I69">
        <v>0.66666666666666596</v>
      </c>
      <c r="J69">
        <v>1</v>
      </c>
      <c r="K69">
        <v>0.66666666666666596</v>
      </c>
      <c r="L69">
        <v>0.33333333333333298</v>
      </c>
      <c r="M69">
        <v>9.0909090909090898E-2</v>
      </c>
      <c r="N69">
        <v>1</v>
      </c>
      <c r="O69">
        <v>0</v>
      </c>
      <c r="P69">
        <v>0</v>
      </c>
      <c r="Q69">
        <v>0</v>
      </c>
      <c r="R69">
        <v>0</v>
      </c>
      <c r="S69">
        <v>0</v>
      </c>
      <c r="T69">
        <v>0</v>
      </c>
      <c r="U69">
        <v>0</v>
      </c>
      <c r="V69">
        <v>0</v>
      </c>
      <c r="W69">
        <v>0</v>
      </c>
      <c r="X69">
        <v>0</v>
      </c>
      <c r="Y69">
        <v>0</v>
      </c>
      <c r="Z69">
        <v>0</v>
      </c>
      <c r="AA69">
        <v>0</v>
      </c>
      <c r="AB69">
        <v>1</v>
      </c>
      <c r="AC69">
        <v>0</v>
      </c>
      <c r="AD69">
        <v>1</v>
      </c>
      <c r="AE69">
        <v>0</v>
      </c>
      <c r="AF69">
        <v>1</v>
      </c>
      <c r="AG69">
        <v>0</v>
      </c>
      <c r="AH69">
        <v>0</v>
      </c>
      <c r="AI69">
        <v>0</v>
      </c>
      <c r="AJ69">
        <v>0</v>
      </c>
      <c r="AK69">
        <v>0</v>
      </c>
      <c r="AL69">
        <v>0</v>
      </c>
      <c r="AM69" t="s">
        <v>49</v>
      </c>
      <c r="AN69">
        <v>1</v>
      </c>
      <c r="AO69">
        <v>4</v>
      </c>
      <c r="AP69">
        <v>1</v>
      </c>
      <c r="AQ69">
        <v>1</v>
      </c>
      <c r="AR69">
        <v>1</v>
      </c>
      <c r="AS69">
        <v>1</v>
      </c>
    </row>
    <row r="70" spans="1:45" x14ac:dyDescent="0.2">
      <c r="A70" t="s">
        <v>120</v>
      </c>
      <c r="B70" s="2">
        <f t="shared" si="1"/>
        <v>45962</v>
      </c>
      <c r="C70" t="s">
        <v>73</v>
      </c>
      <c r="D70" s="1">
        <v>1.3900462962962963E-2</v>
      </c>
      <c r="E70">
        <v>16</v>
      </c>
      <c r="F70" t="s">
        <v>80</v>
      </c>
      <c r="G70" t="s">
        <v>94</v>
      </c>
      <c r="H70" t="s">
        <v>58</v>
      </c>
      <c r="I70">
        <v>0.66666666666666596</v>
      </c>
      <c r="J70">
        <v>1</v>
      </c>
      <c r="K70">
        <v>0.66666666666666596</v>
      </c>
      <c r="L70">
        <v>0.4</v>
      </c>
      <c r="M70">
        <v>0.18181818181818099</v>
      </c>
      <c r="N70">
        <v>0</v>
      </c>
      <c r="O70">
        <v>0</v>
      </c>
      <c r="P70">
        <v>0</v>
      </c>
      <c r="Q70">
        <v>1</v>
      </c>
      <c r="R70">
        <v>0</v>
      </c>
      <c r="S70">
        <v>0</v>
      </c>
      <c r="T70">
        <v>0</v>
      </c>
      <c r="U70">
        <v>0</v>
      </c>
      <c r="V70">
        <v>0</v>
      </c>
      <c r="W70">
        <v>0</v>
      </c>
      <c r="X70">
        <v>0</v>
      </c>
      <c r="Y70">
        <v>0</v>
      </c>
      <c r="Z70">
        <v>0</v>
      </c>
      <c r="AA70">
        <v>1</v>
      </c>
      <c r="AB70">
        <v>0</v>
      </c>
      <c r="AC70">
        <v>0</v>
      </c>
      <c r="AD70">
        <v>0</v>
      </c>
      <c r="AE70">
        <v>0</v>
      </c>
      <c r="AF70">
        <v>0</v>
      </c>
      <c r="AG70">
        <v>0</v>
      </c>
      <c r="AH70">
        <v>0</v>
      </c>
      <c r="AI70">
        <v>0</v>
      </c>
      <c r="AJ70">
        <v>0</v>
      </c>
      <c r="AK70">
        <v>0</v>
      </c>
      <c r="AL70">
        <v>0</v>
      </c>
      <c r="AM70" t="s">
        <v>49</v>
      </c>
      <c r="AN70">
        <v>0</v>
      </c>
      <c r="AO70">
        <v>1</v>
      </c>
      <c r="AP70">
        <v>0</v>
      </c>
      <c r="AQ70">
        <v>0</v>
      </c>
      <c r="AR70">
        <v>1</v>
      </c>
      <c r="AS70">
        <v>0</v>
      </c>
    </row>
    <row r="71" spans="1:45" x14ac:dyDescent="0.2">
      <c r="A71" t="s">
        <v>121</v>
      </c>
      <c r="B71" s="2">
        <f t="shared" si="1"/>
        <v>45962</v>
      </c>
      <c r="C71" t="s">
        <v>54</v>
      </c>
      <c r="D71" s="1">
        <v>1.7384259259259259E-2</v>
      </c>
      <c r="E71">
        <v>18</v>
      </c>
      <c r="F71" t="s">
        <v>122</v>
      </c>
      <c r="G71" t="s">
        <v>55</v>
      </c>
      <c r="H71" t="s">
        <v>58</v>
      </c>
      <c r="I71">
        <v>0.55555555555555503</v>
      </c>
      <c r="J71">
        <v>1</v>
      </c>
      <c r="K71">
        <v>0.83333333333333304</v>
      </c>
      <c r="L71">
        <v>0.53333333333333299</v>
      </c>
      <c r="M71">
        <v>0.54545454545454497</v>
      </c>
      <c r="N71">
        <v>0</v>
      </c>
      <c r="O71">
        <v>0</v>
      </c>
      <c r="P71">
        <v>0</v>
      </c>
      <c r="Q71">
        <v>0</v>
      </c>
      <c r="R71">
        <v>1</v>
      </c>
      <c r="S71">
        <v>0</v>
      </c>
      <c r="T71">
        <v>1</v>
      </c>
      <c r="U71">
        <v>1</v>
      </c>
      <c r="V71">
        <v>0</v>
      </c>
      <c r="W71">
        <v>0</v>
      </c>
      <c r="X71">
        <v>0</v>
      </c>
      <c r="Y71">
        <v>1</v>
      </c>
      <c r="Z71">
        <v>0</v>
      </c>
      <c r="AA71">
        <v>0</v>
      </c>
      <c r="AB71">
        <v>0</v>
      </c>
      <c r="AC71">
        <v>0</v>
      </c>
      <c r="AD71">
        <v>0</v>
      </c>
      <c r="AE71">
        <v>0</v>
      </c>
      <c r="AF71">
        <v>0</v>
      </c>
      <c r="AG71">
        <v>0</v>
      </c>
      <c r="AH71">
        <v>0</v>
      </c>
      <c r="AI71">
        <v>0</v>
      </c>
      <c r="AJ71">
        <v>0</v>
      </c>
      <c r="AK71">
        <v>1</v>
      </c>
      <c r="AL71">
        <v>0</v>
      </c>
      <c r="AM71" t="s">
        <v>49</v>
      </c>
      <c r="AN71">
        <v>0</v>
      </c>
      <c r="AO71">
        <v>3</v>
      </c>
      <c r="AP71">
        <v>1</v>
      </c>
      <c r="AQ71">
        <v>0</v>
      </c>
      <c r="AR71">
        <v>1</v>
      </c>
      <c r="AS71">
        <v>1</v>
      </c>
    </row>
    <row r="72" spans="1:45" x14ac:dyDescent="0.2">
      <c r="A72" t="s">
        <v>123</v>
      </c>
      <c r="B72" s="2">
        <f t="shared" si="1"/>
        <v>45962</v>
      </c>
      <c r="C72" t="s">
        <v>45</v>
      </c>
      <c r="D72" s="1">
        <v>1.2881944444444444E-2</v>
      </c>
      <c r="E72">
        <v>4</v>
      </c>
      <c r="F72" t="s">
        <v>91</v>
      </c>
      <c r="G72" t="s">
        <v>82</v>
      </c>
      <c r="H72" t="s">
        <v>48</v>
      </c>
      <c r="I72">
        <v>0.44444444444444398</v>
      </c>
      <c r="J72">
        <v>1</v>
      </c>
      <c r="K72">
        <v>0.66666666666666596</v>
      </c>
      <c r="L72">
        <v>0.33333333333333298</v>
      </c>
      <c r="M72">
        <v>9.0909090909090898E-2</v>
      </c>
      <c r="N72">
        <v>1</v>
      </c>
      <c r="O72">
        <v>0</v>
      </c>
      <c r="P72">
        <v>0</v>
      </c>
      <c r="Q72">
        <v>0</v>
      </c>
      <c r="R72">
        <v>0</v>
      </c>
      <c r="S72">
        <v>0</v>
      </c>
      <c r="T72">
        <v>0</v>
      </c>
      <c r="U72">
        <v>0</v>
      </c>
      <c r="V72">
        <v>0</v>
      </c>
      <c r="W72">
        <v>0</v>
      </c>
      <c r="X72">
        <v>0</v>
      </c>
      <c r="Y72">
        <v>0</v>
      </c>
      <c r="Z72">
        <v>0</v>
      </c>
      <c r="AA72">
        <v>0</v>
      </c>
      <c r="AB72">
        <v>1</v>
      </c>
      <c r="AC72">
        <v>0</v>
      </c>
      <c r="AD72">
        <v>1</v>
      </c>
      <c r="AE72">
        <v>0</v>
      </c>
      <c r="AF72">
        <v>1</v>
      </c>
      <c r="AG72">
        <v>0</v>
      </c>
      <c r="AH72">
        <v>0</v>
      </c>
      <c r="AI72">
        <v>0</v>
      </c>
      <c r="AJ72">
        <v>0</v>
      </c>
      <c r="AK72">
        <v>0</v>
      </c>
      <c r="AL72">
        <v>0</v>
      </c>
      <c r="AM72" t="s">
        <v>49</v>
      </c>
      <c r="AN72">
        <v>1</v>
      </c>
      <c r="AO72">
        <v>4</v>
      </c>
      <c r="AP72">
        <v>1</v>
      </c>
      <c r="AQ72">
        <v>1</v>
      </c>
      <c r="AR72">
        <v>1</v>
      </c>
      <c r="AS72">
        <v>1</v>
      </c>
    </row>
    <row r="73" spans="1:45" x14ac:dyDescent="0.2">
      <c r="A73" t="s">
        <v>124</v>
      </c>
      <c r="B73" s="2">
        <f t="shared" si="1"/>
        <v>45962</v>
      </c>
      <c r="C73" t="s">
        <v>51</v>
      </c>
      <c r="D73" s="1">
        <v>1.3900462962962963E-2</v>
      </c>
      <c r="E73">
        <v>4</v>
      </c>
      <c r="F73" t="s">
        <v>91</v>
      </c>
      <c r="G73" t="s">
        <v>52</v>
      </c>
      <c r="H73" t="s">
        <v>58</v>
      </c>
      <c r="I73">
        <v>0.44444444444444398</v>
      </c>
      <c r="J73">
        <v>0.5</v>
      </c>
      <c r="K73">
        <v>0.66666666666666596</v>
      </c>
      <c r="L73">
        <v>0.53333333333333299</v>
      </c>
      <c r="M73">
        <v>0.36363636363636298</v>
      </c>
      <c r="N73">
        <v>1</v>
      </c>
      <c r="O73">
        <v>0</v>
      </c>
      <c r="P73">
        <v>0</v>
      </c>
      <c r="Q73">
        <v>0</v>
      </c>
      <c r="R73">
        <v>0</v>
      </c>
      <c r="S73">
        <v>0</v>
      </c>
      <c r="T73">
        <v>0</v>
      </c>
      <c r="U73">
        <v>0</v>
      </c>
      <c r="V73">
        <v>0</v>
      </c>
      <c r="W73">
        <v>0</v>
      </c>
      <c r="X73">
        <v>0</v>
      </c>
      <c r="Y73">
        <v>0</v>
      </c>
      <c r="Z73">
        <v>0</v>
      </c>
      <c r="AA73">
        <v>0</v>
      </c>
      <c r="AB73">
        <v>1</v>
      </c>
      <c r="AC73">
        <v>0</v>
      </c>
      <c r="AD73">
        <v>1</v>
      </c>
      <c r="AE73">
        <v>0</v>
      </c>
      <c r="AF73">
        <v>1</v>
      </c>
      <c r="AG73">
        <v>0</v>
      </c>
      <c r="AH73">
        <v>0</v>
      </c>
      <c r="AI73">
        <v>0</v>
      </c>
      <c r="AJ73">
        <v>0</v>
      </c>
      <c r="AK73">
        <v>0</v>
      </c>
      <c r="AL73">
        <v>0</v>
      </c>
      <c r="AM73" t="s">
        <v>49</v>
      </c>
      <c r="AN73">
        <v>1</v>
      </c>
      <c r="AO73">
        <v>4</v>
      </c>
      <c r="AP73">
        <v>1</v>
      </c>
      <c r="AQ73">
        <v>1</v>
      </c>
      <c r="AR73">
        <v>1</v>
      </c>
      <c r="AS73">
        <v>1</v>
      </c>
    </row>
    <row r="74" spans="1:45" x14ac:dyDescent="0.2">
      <c r="A74" t="s">
        <v>125</v>
      </c>
      <c r="B74" s="2">
        <f t="shared" si="1"/>
        <v>45992</v>
      </c>
      <c r="C74" t="s">
        <v>45</v>
      </c>
      <c r="D74" s="1">
        <v>1.7569444444444443E-2</v>
      </c>
      <c r="E74">
        <v>18</v>
      </c>
      <c r="F74" t="s">
        <v>122</v>
      </c>
      <c r="G74" t="s">
        <v>61</v>
      </c>
      <c r="H74" t="s">
        <v>48</v>
      </c>
      <c r="I74">
        <v>0.55555555555555503</v>
      </c>
      <c r="J74">
        <v>1</v>
      </c>
      <c r="K74">
        <v>0.66666666666666596</v>
      </c>
      <c r="L74">
        <v>0.46666666666666601</v>
      </c>
      <c r="M74">
        <v>0.45454545454545398</v>
      </c>
      <c r="N74">
        <v>0</v>
      </c>
      <c r="O74">
        <v>0</v>
      </c>
      <c r="P74">
        <v>0</v>
      </c>
      <c r="Q74">
        <v>0</v>
      </c>
      <c r="R74">
        <v>1</v>
      </c>
      <c r="S74">
        <v>0</v>
      </c>
      <c r="T74">
        <v>1</v>
      </c>
      <c r="U74">
        <v>1</v>
      </c>
      <c r="V74">
        <v>0</v>
      </c>
      <c r="W74">
        <v>0</v>
      </c>
      <c r="X74">
        <v>0</v>
      </c>
      <c r="Y74">
        <v>1</v>
      </c>
      <c r="Z74">
        <v>0</v>
      </c>
      <c r="AA74">
        <v>0</v>
      </c>
      <c r="AB74">
        <v>0</v>
      </c>
      <c r="AC74">
        <v>0</v>
      </c>
      <c r="AD74">
        <v>0</v>
      </c>
      <c r="AE74">
        <v>0</v>
      </c>
      <c r="AF74">
        <v>0</v>
      </c>
      <c r="AG74">
        <v>0</v>
      </c>
      <c r="AH74">
        <v>0</v>
      </c>
      <c r="AI74">
        <v>0</v>
      </c>
      <c r="AJ74">
        <v>0</v>
      </c>
      <c r="AK74">
        <v>1</v>
      </c>
      <c r="AL74">
        <v>0</v>
      </c>
      <c r="AM74" t="s">
        <v>49</v>
      </c>
      <c r="AN74">
        <v>0</v>
      </c>
      <c r="AO74">
        <v>3</v>
      </c>
      <c r="AP74">
        <v>1</v>
      </c>
      <c r="AQ74">
        <v>0</v>
      </c>
      <c r="AR74">
        <v>1</v>
      </c>
      <c r="AS74">
        <v>1</v>
      </c>
    </row>
    <row r="75" spans="1:45" x14ac:dyDescent="0.2">
      <c r="A75" t="s">
        <v>126</v>
      </c>
      <c r="B75" s="2">
        <f t="shared" si="1"/>
        <v>45992</v>
      </c>
      <c r="C75" t="s">
        <v>73</v>
      </c>
      <c r="D75" s="1">
        <v>1.3900462962962963E-2</v>
      </c>
      <c r="E75">
        <v>5</v>
      </c>
      <c r="F75" t="s">
        <v>57</v>
      </c>
      <c r="G75" t="s">
        <v>127</v>
      </c>
      <c r="H75" t="s">
        <v>58</v>
      </c>
      <c r="I75">
        <v>0.33333333333333298</v>
      </c>
      <c r="J75">
        <v>0.5</v>
      </c>
      <c r="K75">
        <v>0.33333333333333298</v>
      </c>
      <c r="L75">
        <v>0.2</v>
      </c>
      <c r="M75">
        <v>0</v>
      </c>
      <c r="N75">
        <v>0</v>
      </c>
      <c r="O75">
        <v>0</v>
      </c>
      <c r="P75">
        <v>1</v>
      </c>
      <c r="Q75">
        <v>0</v>
      </c>
      <c r="R75">
        <v>0</v>
      </c>
      <c r="S75">
        <v>0</v>
      </c>
      <c r="T75">
        <v>0</v>
      </c>
      <c r="U75">
        <v>0</v>
      </c>
      <c r="V75">
        <v>0</v>
      </c>
      <c r="W75">
        <v>0</v>
      </c>
      <c r="X75">
        <v>0</v>
      </c>
      <c r="Y75">
        <v>1</v>
      </c>
      <c r="Z75">
        <v>0</v>
      </c>
      <c r="AA75">
        <v>0</v>
      </c>
      <c r="AB75">
        <v>0</v>
      </c>
      <c r="AC75">
        <v>0</v>
      </c>
      <c r="AD75">
        <v>0</v>
      </c>
      <c r="AE75">
        <v>0</v>
      </c>
      <c r="AF75">
        <v>0</v>
      </c>
      <c r="AG75">
        <v>0</v>
      </c>
      <c r="AH75">
        <v>0</v>
      </c>
      <c r="AI75">
        <v>0</v>
      </c>
      <c r="AJ75">
        <v>0</v>
      </c>
      <c r="AK75">
        <v>0</v>
      </c>
      <c r="AL75">
        <v>0</v>
      </c>
      <c r="AM75" t="s">
        <v>49</v>
      </c>
      <c r="AN75">
        <v>0</v>
      </c>
      <c r="AO75">
        <v>1</v>
      </c>
      <c r="AP75">
        <v>1</v>
      </c>
      <c r="AQ75">
        <v>0</v>
      </c>
      <c r="AR75">
        <v>0</v>
      </c>
      <c r="AS75">
        <v>0</v>
      </c>
    </row>
    <row r="76" spans="1:45" x14ac:dyDescent="0.2">
      <c r="A76" t="s">
        <v>126</v>
      </c>
      <c r="B76" s="2">
        <f t="shared" si="1"/>
        <v>45992</v>
      </c>
      <c r="C76" t="s">
        <v>73</v>
      </c>
      <c r="D76" s="1">
        <v>1.3900462962962963E-2</v>
      </c>
      <c r="E76">
        <v>4</v>
      </c>
      <c r="F76" t="s">
        <v>91</v>
      </c>
      <c r="G76" t="s">
        <v>94</v>
      </c>
      <c r="H76" t="s">
        <v>58</v>
      </c>
      <c r="I76">
        <v>0.55555555555555503</v>
      </c>
      <c r="J76">
        <v>0.5</v>
      </c>
      <c r="K76">
        <v>0.33333333333333298</v>
      </c>
      <c r="L76">
        <v>0.4</v>
      </c>
      <c r="M76">
        <v>9.0909090909090898E-2</v>
      </c>
      <c r="N76">
        <v>1</v>
      </c>
      <c r="O76">
        <v>0</v>
      </c>
      <c r="P76">
        <v>0</v>
      </c>
      <c r="Q76">
        <v>0</v>
      </c>
      <c r="R76">
        <v>0</v>
      </c>
      <c r="S76">
        <v>0</v>
      </c>
      <c r="T76">
        <v>0</v>
      </c>
      <c r="U76">
        <v>0</v>
      </c>
      <c r="V76">
        <v>0</v>
      </c>
      <c r="W76">
        <v>0</v>
      </c>
      <c r="X76">
        <v>0</v>
      </c>
      <c r="Y76">
        <v>0</v>
      </c>
      <c r="Z76">
        <v>0</v>
      </c>
      <c r="AA76">
        <v>0</v>
      </c>
      <c r="AB76">
        <v>1</v>
      </c>
      <c r="AC76">
        <v>0</v>
      </c>
      <c r="AD76">
        <v>1</v>
      </c>
      <c r="AE76">
        <v>0</v>
      </c>
      <c r="AF76">
        <v>1</v>
      </c>
      <c r="AG76">
        <v>0</v>
      </c>
      <c r="AH76">
        <v>0</v>
      </c>
      <c r="AI76">
        <v>0</v>
      </c>
      <c r="AJ76">
        <v>0</v>
      </c>
      <c r="AK76">
        <v>0</v>
      </c>
      <c r="AL76">
        <v>0</v>
      </c>
      <c r="AM76" t="s">
        <v>49</v>
      </c>
      <c r="AN76">
        <v>1</v>
      </c>
      <c r="AO76">
        <v>4</v>
      </c>
      <c r="AP76">
        <v>1</v>
      </c>
      <c r="AQ76">
        <v>1</v>
      </c>
      <c r="AR76">
        <v>1</v>
      </c>
      <c r="AS76">
        <v>1</v>
      </c>
    </row>
    <row r="77" spans="1:45" x14ac:dyDescent="0.2">
      <c r="A77" t="s">
        <v>126</v>
      </c>
      <c r="B77" s="2">
        <f t="shared" si="1"/>
        <v>45992</v>
      </c>
      <c r="C77" t="s">
        <v>73</v>
      </c>
      <c r="D77" s="1">
        <v>1.3900462962962963E-2</v>
      </c>
      <c r="E77">
        <v>4</v>
      </c>
      <c r="F77" t="s">
        <v>91</v>
      </c>
      <c r="G77" t="s">
        <v>87</v>
      </c>
      <c r="H77" t="s">
        <v>48</v>
      </c>
      <c r="I77">
        <v>0.55555555555555503</v>
      </c>
      <c r="J77">
        <v>1</v>
      </c>
      <c r="K77">
        <v>0.66666666666666596</v>
      </c>
      <c r="L77">
        <v>0.2</v>
      </c>
      <c r="M77">
        <v>0</v>
      </c>
      <c r="N77">
        <v>1</v>
      </c>
      <c r="O77">
        <v>0</v>
      </c>
      <c r="P77">
        <v>0</v>
      </c>
      <c r="Q77">
        <v>0</v>
      </c>
      <c r="R77">
        <v>0</v>
      </c>
      <c r="S77">
        <v>0</v>
      </c>
      <c r="T77">
        <v>0</v>
      </c>
      <c r="U77">
        <v>0</v>
      </c>
      <c r="V77">
        <v>0</v>
      </c>
      <c r="W77">
        <v>0</v>
      </c>
      <c r="X77">
        <v>0</v>
      </c>
      <c r="Y77">
        <v>0</v>
      </c>
      <c r="Z77">
        <v>0</v>
      </c>
      <c r="AA77">
        <v>0</v>
      </c>
      <c r="AB77">
        <v>1</v>
      </c>
      <c r="AC77">
        <v>0</v>
      </c>
      <c r="AD77">
        <v>1</v>
      </c>
      <c r="AE77">
        <v>0</v>
      </c>
      <c r="AF77">
        <v>1</v>
      </c>
      <c r="AG77">
        <v>0</v>
      </c>
      <c r="AH77">
        <v>0</v>
      </c>
      <c r="AI77">
        <v>0</v>
      </c>
      <c r="AJ77">
        <v>0</v>
      </c>
      <c r="AK77">
        <v>0</v>
      </c>
      <c r="AL77">
        <v>0</v>
      </c>
      <c r="AM77" t="s">
        <v>49</v>
      </c>
      <c r="AN77">
        <v>1</v>
      </c>
      <c r="AO77">
        <v>4</v>
      </c>
      <c r="AP77">
        <v>1</v>
      </c>
      <c r="AQ77">
        <v>1</v>
      </c>
      <c r="AR77">
        <v>1</v>
      </c>
      <c r="AS77">
        <v>1</v>
      </c>
    </row>
    <row r="78" spans="1:45" x14ac:dyDescent="0.2">
      <c r="A78" t="s">
        <v>128</v>
      </c>
      <c r="B78" s="2">
        <f t="shared" si="1"/>
        <v>45992</v>
      </c>
      <c r="C78" t="s">
        <v>45</v>
      </c>
      <c r="D78" s="1">
        <v>1.3495370370370371E-2</v>
      </c>
      <c r="E78">
        <v>8</v>
      </c>
      <c r="F78" t="s">
        <v>119</v>
      </c>
      <c r="G78" t="s">
        <v>47</v>
      </c>
      <c r="H78" t="s">
        <v>48</v>
      </c>
      <c r="I78">
        <v>0.44444444444444398</v>
      </c>
      <c r="J78">
        <v>1</v>
      </c>
      <c r="K78">
        <v>0.5</v>
      </c>
      <c r="L78">
        <v>0.4</v>
      </c>
      <c r="M78">
        <v>0.27272727272727199</v>
      </c>
      <c r="N78">
        <v>0</v>
      </c>
      <c r="O78">
        <v>0</v>
      </c>
      <c r="P78">
        <v>0</v>
      </c>
      <c r="Q78">
        <v>0</v>
      </c>
      <c r="R78">
        <v>0</v>
      </c>
      <c r="S78">
        <v>0</v>
      </c>
      <c r="T78">
        <v>0</v>
      </c>
      <c r="U78">
        <v>1</v>
      </c>
      <c r="V78">
        <v>0</v>
      </c>
      <c r="W78">
        <v>0</v>
      </c>
      <c r="X78">
        <v>0</v>
      </c>
      <c r="Y78">
        <v>0</v>
      </c>
      <c r="Z78">
        <v>1</v>
      </c>
      <c r="AA78">
        <v>0</v>
      </c>
      <c r="AB78">
        <v>0</v>
      </c>
      <c r="AC78">
        <v>0</v>
      </c>
      <c r="AD78">
        <v>0</v>
      </c>
      <c r="AE78">
        <v>0</v>
      </c>
      <c r="AF78">
        <v>0</v>
      </c>
      <c r="AG78">
        <v>0</v>
      </c>
      <c r="AH78">
        <v>0</v>
      </c>
      <c r="AI78">
        <v>0</v>
      </c>
      <c r="AJ78">
        <v>0</v>
      </c>
      <c r="AK78">
        <v>1</v>
      </c>
      <c r="AL78">
        <v>0</v>
      </c>
      <c r="AM78" t="s">
        <v>49</v>
      </c>
      <c r="AN78">
        <v>0</v>
      </c>
      <c r="AO78">
        <v>1</v>
      </c>
      <c r="AP78">
        <v>2</v>
      </c>
      <c r="AQ78">
        <v>0</v>
      </c>
      <c r="AR78">
        <v>0</v>
      </c>
      <c r="AS78">
        <v>1</v>
      </c>
    </row>
    <row r="79" spans="1:45" x14ac:dyDescent="0.2">
      <c r="A79" t="s">
        <v>129</v>
      </c>
      <c r="B79" s="2">
        <f t="shared" si="1"/>
        <v>45992</v>
      </c>
      <c r="C79" t="s">
        <v>51</v>
      </c>
      <c r="D79" s="1">
        <v>1.3900462962962963E-2</v>
      </c>
      <c r="E79">
        <v>5</v>
      </c>
      <c r="F79" t="s">
        <v>57</v>
      </c>
      <c r="G79" t="s">
        <v>127</v>
      </c>
      <c r="H79" t="s">
        <v>58</v>
      </c>
      <c r="I79">
        <v>0.66666666666666596</v>
      </c>
      <c r="J79">
        <v>0.5</v>
      </c>
      <c r="K79">
        <v>0.33333333333333298</v>
      </c>
      <c r="L79">
        <v>0.33333333333333298</v>
      </c>
      <c r="M79">
        <v>0.18181818181818099</v>
      </c>
      <c r="N79">
        <v>0</v>
      </c>
      <c r="O79">
        <v>0</v>
      </c>
      <c r="P79">
        <v>1</v>
      </c>
      <c r="Q79">
        <v>0</v>
      </c>
      <c r="R79">
        <v>0</v>
      </c>
      <c r="S79">
        <v>0</v>
      </c>
      <c r="T79">
        <v>0</v>
      </c>
      <c r="U79">
        <v>0</v>
      </c>
      <c r="V79">
        <v>0</v>
      </c>
      <c r="W79">
        <v>0</v>
      </c>
      <c r="X79">
        <v>0</v>
      </c>
      <c r="Y79">
        <v>1</v>
      </c>
      <c r="Z79">
        <v>0</v>
      </c>
      <c r="AA79">
        <v>0</v>
      </c>
      <c r="AB79">
        <v>0</v>
      </c>
      <c r="AC79">
        <v>0</v>
      </c>
      <c r="AD79">
        <v>0</v>
      </c>
      <c r="AE79">
        <v>0</v>
      </c>
      <c r="AF79">
        <v>0</v>
      </c>
      <c r="AG79">
        <v>0</v>
      </c>
      <c r="AH79">
        <v>0</v>
      </c>
      <c r="AI79">
        <v>0</v>
      </c>
      <c r="AJ79">
        <v>0</v>
      </c>
      <c r="AK79">
        <v>0</v>
      </c>
      <c r="AL79">
        <v>0</v>
      </c>
      <c r="AM79" t="s">
        <v>49</v>
      </c>
      <c r="AN79">
        <v>0</v>
      </c>
      <c r="AO79">
        <v>1</v>
      </c>
      <c r="AP79">
        <v>1</v>
      </c>
      <c r="AQ79">
        <v>0</v>
      </c>
      <c r="AR79">
        <v>0</v>
      </c>
      <c r="AS79">
        <v>0</v>
      </c>
    </row>
    <row r="80" spans="1:45" x14ac:dyDescent="0.2">
      <c r="A80" t="s">
        <v>129</v>
      </c>
      <c r="B80" s="2">
        <f t="shared" si="1"/>
        <v>45992</v>
      </c>
      <c r="C80" t="s">
        <v>51</v>
      </c>
      <c r="D80" s="1">
        <v>1.3784722222222223E-2</v>
      </c>
      <c r="E80">
        <v>29</v>
      </c>
      <c r="F80" t="s">
        <v>60</v>
      </c>
      <c r="G80" t="s">
        <v>130</v>
      </c>
      <c r="H80" t="s">
        <v>48</v>
      </c>
      <c r="I80">
        <v>0.55555555555555503</v>
      </c>
      <c r="J80">
        <v>1</v>
      </c>
      <c r="K80">
        <v>0.66666666666666596</v>
      </c>
      <c r="L80">
        <v>0.266666666666666</v>
      </c>
      <c r="M80">
        <v>9.0909090909090898E-2</v>
      </c>
      <c r="N80">
        <v>0</v>
      </c>
      <c r="O80">
        <v>0</v>
      </c>
      <c r="P80">
        <v>1</v>
      </c>
      <c r="Q80">
        <v>0</v>
      </c>
      <c r="R80">
        <v>0</v>
      </c>
      <c r="S80">
        <v>0</v>
      </c>
      <c r="T80">
        <v>0</v>
      </c>
      <c r="U80">
        <v>0</v>
      </c>
      <c r="V80">
        <v>0</v>
      </c>
      <c r="W80">
        <v>0</v>
      </c>
      <c r="X80">
        <v>0</v>
      </c>
      <c r="Y80">
        <v>0</v>
      </c>
      <c r="Z80">
        <v>0</v>
      </c>
      <c r="AA80">
        <v>0</v>
      </c>
      <c r="AB80">
        <v>0</v>
      </c>
      <c r="AC80">
        <v>0</v>
      </c>
      <c r="AD80">
        <v>0</v>
      </c>
      <c r="AE80">
        <v>0</v>
      </c>
      <c r="AF80">
        <v>0</v>
      </c>
      <c r="AG80">
        <v>0</v>
      </c>
      <c r="AH80">
        <v>0</v>
      </c>
      <c r="AI80">
        <v>0</v>
      </c>
      <c r="AJ80">
        <v>1</v>
      </c>
      <c r="AK80">
        <v>0</v>
      </c>
      <c r="AL80">
        <v>0</v>
      </c>
      <c r="AM80" t="s">
        <v>49</v>
      </c>
      <c r="AN80">
        <v>0</v>
      </c>
      <c r="AO80">
        <v>1</v>
      </c>
      <c r="AP80">
        <v>2</v>
      </c>
      <c r="AQ80">
        <v>0</v>
      </c>
      <c r="AR80">
        <v>0</v>
      </c>
      <c r="AS80">
        <v>0</v>
      </c>
    </row>
    <row r="81" spans="1:45" x14ac:dyDescent="0.2">
      <c r="A81" t="s">
        <v>131</v>
      </c>
      <c r="B81" s="2">
        <f t="shared" si="1"/>
        <v>45992</v>
      </c>
      <c r="C81" t="s">
        <v>73</v>
      </c>
      <c r="D81" s="1">
        <v>1.7372685185185185E-2</v>
      </c>
      <c r="E81">
        <v>8</v>
      </c>
      <c r="F81" t="s">
        <v>119</v>
      </c>
      <c r="G81" t="s">
        <v>52</v>
      </c>
      <c r="H81" t="s">
        <v>58</v>
      </c>
      <c r="I81">
        <v>0.55555555555555503</v>
      </c>
      <c r="J81">
        <v>1</v>
      </c>
      <c r="K81">
        <v>0.33333333333333298</v>
      </c>
      <c r="L81">
        <v>0.33333333333333298</v>
      </c>
      <c r="M81">
        <v>0.18181818181818099</v>
      </c>
      <c r="N81">
        <v>0</v>
      </c>
      <c r="O81">
        <v>0</v>
      </c>
      <c r="P81">
        <v>0</v>
      </c>
      <c r="Q81">
        <v>0</v>
      </c>
      <c r="R81">
        <v>0</v>
      </c>
      <c r="S81">
        <v>0</v>
      </c>
      <c r="T81">
        <v>0</v>
      </c>
      <c r="U81">
        <v>1</v>
      </c>
      <c r="V81">
        <v>0</v>
      </c>
      <c r="W81">
        <v>0</v>
      </c>
      <c r="X81">
        <v>0</v>
      </c>
      <c r="Y81">
        <v>0</v>
      </c>
      <c r="Z81">
        <v>1</v>
      </c>
      <c r="AA81">
        <v>0</v>
      </c>
      <c r="AB81">
        <v>0</v>
      </c>
      <c r="AC81">
        <v>0</v>
      </c>
      <c r="AD81">
        <v>0</v>
      </c>
      <c r="AE81">
        <v>0</v>
      </c>
      <c r="AF81">
        <v>0</v>
      </c>
      <c r="AG81">
        <v>0</v>
      </c>
      <c r="AH81">
        <v>0</v>
      </c>
      <c r="AI81">
        <v>0</v>
      </c>
      <c r="AJ81">
        <v>0</v>
      </c>
      <c r="AK81">
        <v>1</v>
      </c>
      <c r="AL81">
        <v>0</v>
      </c>
      <c r="AM81" t="s">
        <v>49</v>
      </c>
      <c r="AN81">
        <v>0</v>
      </c>
      <c r="AO81">
        <v>1</v>
      </c>
      <c r="AP81">
        <v>2</v>
      </c>
      <c r="AQ81">
        <v>0</v>
      </c>
      <c r="AR81">
        <v>0</v>
      </c>
      <c r="AS81">
        <v>1</v>
      </c>
    </row>
    <row r="82" spans="1:45" x14ac:dyDescent="0.2">
      <c r="A82" t="s">
        <v>132</v>
      </c>
      <c r="B82" s="2">
        <f t="shared" si="1"/>
        <v>45992</v>
      </c>
      <c r="C82" t="s">
        <v>73</v>
      </c>
      <c r="D82" s="1">
        <v>1.758101851851852E-2</v>
      </c>
      <c r="E82">
        <v>8</v>
      </c>
      <c r="F82" t="s">
        <v>119</v>
      </c>
      <c r="G82" t="s">
        <v>94</v>
      </c>
      <c r="H82" t="s">
        <v>48</v>
      </c>
      <c r="I82">
        <v>0.44444444444444398</v>
      </c>
      <c r="J82">
        <v>0.5</v>
      </c>
      <c r="K82">
        <v>0.66666666666666596</v>
      </c>
      <c r="L82">
        <v>0.6</v>
      </c>
      <c r="M82">
        <v>0.36363636363636298</v>
      </c>
      <c r="N82">
        <v>0</v>
      </c>
      <c r="O82">
        <v>0</v>
      </c>
      <c r="P82">
        <v>0</v>
      </c>
      <c r="Q82">
        <v>0</v>
      </c>
      <c r="R82">
        <v>0</v>
      </c>
      <c r="S82">
        <v>0</v>
      </c>
      <c r="T82">
        <v>0</v>
      </c>
      <c r="U82">
        <v>1</v>
      </c>
      <c r="V82">
        <v>0</v>
      </c>
      <c r="W82">
        <v>0</v>
      </c>
      <c r="X82">
        <v>0</v>
      </c>
      <c r="Y82">
        <v>0</v>
      </c>
      <c r="Z82">
        <v>1</v>
      </c>
      <c r="AA82">
        <v>0</v>
      </c>
      <c r="AB82">
        <v>0</v>
      </c>
      <c r="AC82">
        <v>0</v>
      </c>
      <c r="AD82">
        <v>0</v>
      </c>
      <c r="AE82">
        <v>0</v>
      </c>
      <c r="AF82">
        <v>0</v>
      </c>
      <c r="AG82">
        <v>0</v>
      </c>
      <c r="AH82">
        <v>0</v>
      </c>
      <c r="AI82">
        <v>0</v>
      </c>
      <c r="AJ82">
        <v>0</v>
      </c>
      <c r="AK82">
        <v>1</v>
      </c>
      <c r="AL82">
        <v>0</v>
      </c>
      <c r="AM82" t="s">
        <v>49</v>
      </c>
      <c r="AN82">
        <v>0</v>
      </c>
      <c r="AO82">
        <v>1</v>
      </c>
      <c r="AP82">
        <v>2</v>
      </c>
      <c r="AQ82">
        <v>0</v>
      </c>
      <c r="AR82">
        <v>0</v>
      </c>
      <c r="AS82">
        <v>1</v>
      </c>
    </row>
    <row r="83" spans="1:45" x14ac:dyDescent="0.2">
      <c r="A83" t="s">
        <v>132</v>
      </c>
      <c r="B83" s="2">
        <f t="shared" si="1"/>
        <v>45992</v>
      </c>
      <c r="C83" t="s">
        <v>73</v>
      </c>
      <c r="D83" s="1">
        <v>1.7384259259259259E-2</v>
      </c>
      <c r="E83">
        <v>18</v>
      </c>
      <c r="F83" t="s">
        <v>122</v>
      </c>
      <c r="G83" t="s">
        <v>87</v>
      </c>
      <c r="H83" t="s">
        <v>58</v>
      </c>
      <c r="I83">
        <v>0.33333333333333298</v>
      </c>
      <c r="J83">
        <v>0.5</v>
      </c>
      <c r="K83">
        <v>0.66666666666666596</v>
      </c>
      <c r="L83">
        <v>0.4</v>
      </c>
      <c r="M83">
        <v>0.18181818181818099</v>
      </c>
      <c r="N83">
        <v>0</v>
      </c>
      <c r="O83">
        <v>0</v>
      </c>
      <c r="P83">
        <v>0</v>
      </c>
      <c r="Q83">
        <v>0</v>
      </c>
      <c r="R83">
        <v>1</v>
      </c>
      <c r="S83">
        <v>0</v>
      </c>
      <c r="T83">
        <v>1</v>
      </c>
      <c r="U83">
        <v>1</v>
      </c>
      <c r="V83">
        <v>0</v>
      </c>
      <c r="W83">
        <v>0</v>
      </c>
      <c r="X83">
        <v>0</v>
      </c>
      <c r="Y83">
        <v>1</v>
      </c>
      <c r="Z83">
        <v>0</v>
      </c>
      <c r="AA83">
        <v>0</v>
      </c>
      <c r="AB83">
        <v>0</v>
      </c>
      <c r="AC83">
        <v>0</v>
      </c>
      <c r="AD83">
        <v>0</v>
      </c>
      <c r="AE83">
        <v>0</v>
      </c>
      <c r="AF83">
        <v>0</v>
      </c>
      <c r="AG83">
        <v>0</v>
      </c>
      <c r="AH83">
        <v>0</v>
      </c>
      <c r="AI83">
        <v>0</v>
      </c>
      <c r="AJ83">
        <v>0</v>
      </c>
      <c r="AK83">
        <v>1</v>
      </c>
      <c r="AL83">
        <v>0</v>
      </c>
      <c r="AM83" t="s">
        <v>49</v>
      </c>
      <c r="AN83">
        <v>0</v>
      </c>
      <c r="AO83">
        <v>3</v>
      </c>
      <c r="AP83">
        <v>1</v>
      </c>
      <c r="AQ83">
        <v>0</v>
      </c>
      <c r="AR83">
        <v>1</v>
      </c>
      <c r="AS83">
        <v>1</v>
      </c>
    </row>
    <row r="84" spans="1:45" x14ac:dyDescent="0.2">
      <c r="A84" t="s">
        <v>133</v>
      </c>
      <c r="B84" s="2">
        <f t="shared" si="1"/>
        <v>46023</v>
      </c>
      <c r="C84" t="s">
        <v>51</v>
      </c>
      <c r="D84" s="1">
        <v>1.6921296296296295E-2</v>
      </c>
      <c r="E84">
        <v>18</v>
      </c>
      <c r="F84" t="s">
        <v>122</v>
      </c>
      <c r="G84" t="s">
        <v>52</v>
      </c>
      <c r="H84" t="s">
        <v>48</v>
      </c>
      <c r="I84">
        <v>0.66666666666666596</v>
      </c>
      <c r="J84">
        <v>1</v>
      </c>
      <c r="K84">
        <v>0.66666666666666596</v>
      </c>
      <c r="L84">
        <v>0.46666666666666601</v>
      </c>
      <c r="M84">
        <v>0.27272727272727199</v>
      </c>
      <c r="N84">
        <v>0</v>
      </c>
      <c r="O84">
        <v>0</v>
      </c>
      <c r="P84">
        <v>0</v>
      </c>
      <c r="Q84">
        <v>0</v>
      </c>
      <c r="R84">
        <v>1</v>
      </c>
      <c r="S84">
        <v>0</v>
      </c>
      <c r="T84">
        <v>1</v>
      </c>
      <c r="U84">
        <v>1</v>
      </c>
      <c r="V84">
        <v>0</v>
      </c>
      <c r="W84">
        <v>0</v>
      </c>
      <c r="X84">
        <v>0</v>
      </c>
      <c r="Y84">
        <v>1</v>
      </c>
      <c r="Z84">
        <v>0</v>
      </c>
      <c r="AA84">
        <v>0</v>
      </c>
      <c r="AB84">
        <v>0</v>
      </c>
      <c r="AC84">
        <v>0</v>
      </c>
      <c r="AD84">
        <v>0</v>
      </c>
      <c r="AE84">
        <v>0</v>
      </c>
      <c r="AF84">
        <v>0</v>
      </c>
      <c r="AG84">
        <v>0</v>
      </c>
      <c r="AH84">
        <v>0</v>
      </c>
      <c r="AI84">
        <v>0</v>
      </c>
      <c r="AJ84">
        <v>0</v>
      </c>
      <c r="AK84">
        <v>1</v>
      </c>
      <c r="AL84">
        <v>0</v>
      </c>
      <c r="AM84" t="s">
        <v>49</v>
      </c>
      <c r="AN84">
        <v>0</v>
      </c>
      <c r="AO84">
        <v>3</v>
      </c>
      <c r="AP84">
        <v>1</v>
      </c>
      <c r="AQ84">
        <v>0</v>
      </c>
      <c r="AR84">
        <v>1</v>
      </c>
      <c r="AS84">
        <v>1</v>
      </c>
    </row>
    <row r="85" spans="1:45" x14ac:dyDescent="0.2">
      <c r="A85" t="s">
        <v>133</v>
      </c>
      <c r="B85" s="2">
        <f t="shared" si="1"/>
        <v>46023</v>
      </c>
      <c r="C85" t="s">
        <v>51</v>
      </c>
      <c r="D85" s="1">
        <v>1.3900462962962963E-2</v>
      </c>
      <c r="E85">
        <v>4</v>
      </c>
      <c r="F85" t="s">
        <v>91</v>
      </c>
      <c r="G85" t="s">
        <v>71</v>
      </c>
      <c r="H85" t="s">
        <v>58</v>
      </c>
      <c r="I85">
        <v>0.33333333333333298</v>
      </c>
      <c r="J85">
        <v>0.5</v>
      </c>
      <c r="K85">
        <v>0.66666666666666596</v>
      </c>
      <c r="L85">
        <v>0.266666666666666</v>
      </c>
      <c r="M85">
        <v>9.0909090909090898E-2</v>
      </c>
      <c r="N85">
        <v>1</v>
      </c>
      <c r="O85">
        <v>0</v>
      </c>
      <c r="P85">
        <v>0</v>
      </c>
      <c r="Q85">
        <v>0</v>
      </c>
      <c r="R85">
        <v>0</v>
      </c>
      <c r="S85">
        <v>0</v>
      </c>
      <c r="T85">
        <v>0</v>
      </c>
      <c r="U85">
        <v>0</v>
      </c>
      <c r="V85">
        <v>0</v>
      </c>
      <c r="W85">
        <v>0</v>
      </c>
      <c r="X85">
        <v>0</v>
      </c>
      <c r="Y85">
        <v>0</v>
      </c>
      <c r="Z85">
        <v>0</v>
      </c>
      <c r="AA85">
        <v>0</v>
      </c>
      <c r="AB85">
        <v>1</v>
      </c>
      <c r="AC85">
        <v>0</v>
      </c>
      <c r="AD85">
        <v>1</v>
      </c>
      <c r="AE85">
        <v>0</v>
      </c>
      <c r="AF85">
        <v>1</v>
      </c>
      <c r="AG85">
        <v>0</v>
      </c>
      <c r="AH85">
        <v>0</v>
      </c>
      <c r="AI85">
        <v>0</v>
      </c>
      <c r="AJ85">
        <v>0</v>
      </c>
      <c r="AK85">
        <v>0</v>
      </c>
      <c r="AL85">
        <v>0</v>
      </c>
      <c r="AM85" t="s">
        <v>49</v>
      </c>
      <c r="AN85">
        <v>1</v>
      </c>
      <c r="AO85">
        <v>4</v>
      </c>
      <c r="AP85">
        <v>1</v>
      </c>
      <c r="AQ85">
        <v>1</v>
      </c>
      <c r="AR85">
        <v>1</v>
      </c>
      <c r="AS85">
        <v>1</v>
      </c>
    </row>
    <row r="86" spans="1:45" x14ac:dyDescent="0.2">
      <c r="A86" t="s">
        <v>134</v>
      </c>
      <c r="B86" s="2">
        <f t="shared" si="1"/>
        <v>46023</v>
      </c>
      <c r="C86" t="s">
        <v>54</v>
      </c>
      <c r="D86" s="1">
        <v>1.7384259259259259E-2</v>
      </c>
      <c r="E86">
        <v>8</v>
      </c>
      <c r="F86" t="s">
        <v>119</v>
      </c>
      <c r="G86" t="s">
        <v>55</v>
      </c>
      <c r="H86" t="s">
        <v>58</v>
      </c>
      <c r="I86">
        <v>0.66666666666666596</v>
      </c>
      <c r="J86">
        <v>0.5</v>
      </c>
      <c r="K86">
        <v>0.33333333333333298</v>
      </c>
      <c r="L86">
        <v>0.33333333333333298</v>
      </c>
      <c r="M86">
        <v>0.18181818181818099</v>
      </c>
      <c r="N86">
        <v>0</v>
      </c>
      <c r="O86">
        <v>0</v>
      </c>
      <c r="P86">
        <v>0</v>
      </c>
      <c r="Q86">
        <v>0</v>
      </c>
      <c r="R86">
        <v>0</v>
      </c>
      <c r="S86">
        <v>0</v>
      </c>
      <c r="T86">
        <v>0</v>
      </c>
      <c r="U86">
        <v>1</v>
      </c>
      <c r="V86">
        <v>0</v>
      </c>
      <c r="W86">
        <v>0</v>
      </c>
      <c r="X86">
        <v>0</v>
      </c>
      <c r="Y86">
        <v>0</v>
      </c>
      <c r="Z86">
        <v>1</v>
      </c>
      <c r="AA86">
        <v>0</v>
      </c>
      <c r="AB86">
        <v>0</v>
      </c>
      <c r="AC86">
        <v>0</v>
      </c>
      <c r="AD86">
        <v>0</v>
      </c>
      <c r="AE86">
        <v>0</v>
      </c>
      <c r="AF86">
        <v>0</v>
      </c>
      <c r="AG86">
        <v>0</v>
      </c>
      <c r="AH86">
        <v>0</v>
      </c>
      <c r="AI86">
        <v>0</v>
      </c>
      <c r="AJ86">
        <v>0</v>
      </c>
      <c r="AK86">
        <v>1</v>
      </c>
      <c r="AL86">
        <v>0</v>
      </c>
      <c r="AM86" t="s">
        <v>49</v>
      </c>
      <c r="AN86">
        <v>0</v>
      </c>
      <c r="AO86">
        <v>1</v>
      </c>
      <c r="AP86">
        <v>2</v>
      </c>
      <c r="AQ86">
        <v>0</v>
      </c>
      <c r="AR86">
        <v>0</v>
      </c>
      <c r="AS86">
        <v>1</v>
      </c>
    </row>
    <row r="87" spans="1:45" x14ac:dyDescent="0.2">
      <c r="A87" t="s">
        <v>135</v>
      </c>
      <c r="B87" s="2">
        <f t="shared" si="1"/>
        <v>46023</v>
      </c>
      <c r="C87" t="s">
        <v>45</v>
      </c>
      <c r="D87" s="1">
        <v>1.6701388888888891E-2</v>
      </c>
      <c r="E87">
        <v>8</v>
      </c>
      <c r="F87" t="s">
        <v>119</v>
      </c>
      <c r="G87" t="s">
        <v>82</v>
      </c>
      <c r="H87" t="s">
        <v>48</v>
      </c>
      <c r="I87">
        <v>0.55555555555555503</v>
      </c>
      <c r="J87">
        <v>1</v>
      </c>
      <c r="K87">
        <v>0.66666666666666596</v>
      </c>
      <c r="L87">
        <v>0.6</v>
      </c>
      <c r="M87">
        <v>0.36363636363636298</v>
      </c>
      <c r="N87">
        <v>0</v>
      </c>
      <c r="O87">
        <v>0</v>
      </c>
      <c r="P87">
        <v>0</v>
      </c>
      <c r="Q87">
        <v>0</v>
      </c>
      <c r="R87">
        <v>0</v>
      </c>
      <c r="S87">
        <v>0</v>
      </c>
      <c r="T87">
        <v>0</v>
      </c>
      <c r="U87">
        <v>1</v>
      </c>
      <c r="V87">
        <v>0</v>
      </c>
      <c r="W87">
        <v>0</v>
      </c>
      <c r="X87">
        <v>0</v>
      </c>
      <c r="Y87">
        <v>0</v>
      </c>
      <c r="Z87">
        <v>1</v>
      </c>
      <c r="AA87">
        <v>0</v>
      </c>
      <c r="AB87">
        <v>0</v>
      </c>
      <c r="AC87">
        <v>0</v>
      </c>
      <c r="AD87">
        <v>0</v>
      </c>
      <c r="AE87">
        <v>0</v>
      </c>
      <c r="AF87">
        <v>0</v>
      </c>
      <c r="AG87">
        <v>0</v>
      </c>
      <c r="AH87">
        <v>0</v>
      </c>
      <c r="AI87">
        <v>0</v>
      </c>
      <c r="AJ87">
        <v>0</v>
      </c>
      <c r="AK87">
        <v>1</v>
      </c>
      <c r="AL87">
        <v>0</v>
      </c>
      <c r="AM87" t="s">
        <v>49</v>
      </c>
      <c r="AN87">
        <v>0</v>
      </c>
      <c r="AO87">
        <v>1</v>
      </c>
      <c r="AP87">
        <v>2</v>
      </c>
      <c r="AQ87">
        <v>0</v>
      </c>
      <c r="AR87">
        <v>0</v>
      </c>
      <c r="AS87">
        <v>1</v>
      </c>
    </row>
    <row r="88" spans="1:45" x14ac:dyDescent="0.2">
      <c r="A88" t="s">
        <v>136</v>
      </c>
      <c r="B88" s="2">
        <f t="shared" si="1"/>
        <v>46023</v>
      </c>
      <c r="C88" t="s">
        <v>51</v>
      </c>
      <c r="D88" s="1">
        <v>1.3900462962962963E-2</v>
      </c>
      <c r="E88">
        <v>32</v>
      </c>
      <c r="F88" t="s">
        <v>102</v>
      </c>
      <c r="G88" t="s">
        <v>127</v>
      </c>
      <c r="H88" t="s">
        <v>58</v>
      </c>
      <c r="I88">
        <v>0.44444444444444398</v>
      </c>
      <c r="J88">
        <v>0.5</v>
      </c>
      <c r="K88">
        <v>0.33333333333333298</v>
      </c>
      <c r="L88">
        <v>0.266666666666666</v>
      </c>
      <c r="M88">
        <v>0.18181818181818099</v>
      </c>
      <c r="N88">
        <v>0</v>
      </c>
      <c r="O88">
        <v>0</v>
      </c>
      <c r="P88">
        <v>0</v>
      </c>
      <c r="Q88">
        <v>0</v>
      </c>
      <c r="R88">
        <v>0</v>
      </c>
      <c r="S88">
        <v>0</v>
      </c>
      <c r="T88">
        <v>1</v>
      </c>
      <c r="U88">
        <v>1</v>
      </c>
      <c r="V88">
        <v>0</v>
      </c>
      <c r="W88">
        <v>0</v>
      </c>
      <c r="X88">
        <v>0</v>
      </c>
      <c r="Y88">
        <v>0</v>
      </c>
      <c r="Z88">
        <v>0</v>
      </c>
      <c r="AA88">
        <v>0</v>
      </c>
      <c r="AB88">
        <v>0</v>
      </c>
      <c r="AC88">
        <v>0</v>
      </c>
      <c r="AD88">
        <v>0</v>
      </c>
      <c r="AE88">
        <v>0</v>
      </c>
      <c r="AF88">
        <v>0</v>
      </c>
      <c r="AG88">
        <v>0</v>
      </c>
      <c r="AH88">
        <v>0</v>
      </c>
      <c r="AI88">
        <v>0</v>
      </c>
      <c r="AJ88">
        <v>0</v>
      </c>
      <c r="AK88">
        <v>0</v>
      </c>
      <c r="AL88">
        <v>0</v>
      </c>
      <c r="AM88" t="s">
        <v>49</v>
      </c>
      <c r="AN88">
        <v>0</v>
      </c>
      <c r="AO88">
        <v>2</v>
      </c>
      <c r="AP88">
        <v>0</v>
      </c>
      <c r="AQ88">
        <v>0</v>
      </c>
      <c r="AR88">
        <v>0</v>
      </c>
      <c r="AS88">
        <v>0</v>
      </c>
    </row>
    <row r="89" spans="1:45" x14ac:dyDescent="0.2">
      <c r="A89" t="s">
        <v>137</v>
      </c>
      <c r="B89" s="2">
        <f t="shared" si="1"/>
        <v>46023</v>
      </c>
      <c r="C89" t="s">
        <v>73</v>
      </c>
      <c r="D89" s="1">
        <v>1.3900462962962963E-2</v>
      </c>
      <c r="E89">
        <v>5</v>
      </c>
      <c r="F89" t="s">
        <v>84</v>
      </c>
      <c r="G89" t="s">
        <v>130</v>
      </c>
      <c r="H89" t="s">
        <v>58</v>
      </c>
      <c r="I89">
        <v>0.33333333333333298</v>
      </c>
      <c r="J89">
        <v>1</v>
      </c>
      <c r="K89">
        <v>0.33333333333333298</v>
      </c>
      <c r="L89">
        <v>0.4</v>
      </c>
      <c r="M89">
        <v>0.36363636363636298</v>
      </c>
      <c r="N89">
        <v>0</v>
      </c>
      <c r="O89">
        <v>0</v>
      </c>
      <c r="P89">
        <v>1</v>
      </c>
      <c r="Q89">
        <v>0</v>
      </c>
      <c r="R89">
        <v>0</v>
      </c>
      <c r="S89">
        <v>0</v>
      </c>
      <c r="T89">
        <v>0</v>
      </c>
      <c r="U89">
        <v>0</v>
      </c>
      <c r="V89">
        <v>0</v>
      </c>
      <c r="W89">
        <v>0</v>
      </c>
      <c r="X89">
        <v>0</v>
      </c>
      <c r="Y89">
        <v>1</v>
      </c>
      <c r="Z89">
        <v>0</v>
      </c>
      <c r="AA89">
        <v>0</v>
      </c>
      <c r="AB89">
        <v>0</v>
      </c>
      <c r="AC89">
        <v>0</v>
      </c>
      <c r="AD89">
        <v>0</v>
      </c>
      <c r="AE89">
        <v>0</v>
      </c>
      <c r="AF89">
        <v>0</v>
      </c>
      <c r="AG89">
        <v>0</v>
      </c>
      <c r="AH89">
        <v>0</v>
      </c>
      <c r="AI89">
        <v>0</v>
      </c>
      <c r="AJ89">
        <v>0</v>
      </c>
      <c r="AK89">
        <v>0</v>
      </c>
      <c r="AL89">
        <v>0</v>
      </c>
      <c r="AM89" t="s">
        <v>49</v>
      </c>
      <c r="AN89">
        <v>0</v>
      </c>
      <c r="AO89">
        <v>1</v>
      </c>
      <c r="AP89">
        <v>1</v>
      </c>
      <c r="AQ89">
        <v>0</v>
      </c>
      <c r="AR89">
        <v>0</v>
      </c>
      <c r="AS89">
        <v>0</v>
      </c>
    </row>
    <row r="90" spans="1:45" x14ac:dyDescent="0.2">
      <c r="A90" t="s">
        <v>137</v>
      </c>
      <c r="B90" s="2">
        <f t="shared" si="1"/>
        <v>46023</v>
      </c>
      <c r="C90" t="s">
        <v>73</v>
      </c>
      <c r="D90" s="1">
        <v>1.7384259259259259E-2</v>
      </c>
      <c r="E90">
        <v>18</v>
      </c>
      <c r="F90" t="s">
        <v>122</v>
      </c>
      <c r="G90" t="s">
        <v>94</v>
      </c>
      <c r="H90" t="s">
        <v>58</v>
      </c>
      <c r="I90">
        <v>0.44444444444444398</v>
      </c>
      <c r="J90">
        <v>1</v>
      </c>
      <c r="K90">
        <v>0.33333333333333298</v>
      </c>
      <c r="L90">
        <v>0.2</v>
      </c>
      <c r="M90">
        <v>9.0909090909090898E-2</v>
      </c>
      <c r="N90">
        <v>0</v>
      </c>
      <c r="O90">
        <v>0</v>
      </c>
      <c r="P90">
        <v>0</v>
      </c>
      <c r="Q90">
        <v>0</v>
      </c>
      <c r="R90">
        <v>1</v>
      </c>
      <c r="S90">
        <v>0</v>
      </c>
      <c r="T90">
        <v>1</v>
      </c>
      <c r="U90">
        <v>1</v>
      </c>
      <c r="V90">
        <v>0</v>
      </c>
      <c r="W90">
        <v>0</v>
      </c>
      <c r="X90">
        <v>0</v>
      </c>
      <c r="Y90">
        <v>1</v>
      </c>
      <c r="Z90">
        <v>0</v>
      </c>
      <c r="AA90">
        <v>0</v>
      </c>
      <c r="AB90">
        <v>0</v>
      </c>
      <c r="AC90">
        <v>0</v>
      </c>
      <c r="AD90">
        <v>0</v>
      </c>
      <c r="AE90">
        <v>0</v>
      </c>
      <c r="AF90">
        <v>0</v>
      </c>
      <c r="AG90">
        <v>0</v>
      </c>
      <c r="AH90">
        <v>0</v>
      </c>
      <c r="AI90">
        <v>0</v>
      </c>
      <c r="AJ90">
        <v>0</v>
      </c>
      <c r="AK90">
        <v>1</v>
      </c>
      <c r="AL90">
        <v>0</v>
      </c>
      <c r="AM90" t="s">
        <v>49</v>
      </c>
      <c r="AN90">
        <v>0</v>
      </c>
      <c r="AO90">
        <v>3</v>
      </c>
      <c r="AP90">
        <v>1</v>
      </c>
      <c r="AQ90">
        <v>0</v>
      </c>
      <c r="AR90">
        <v>1</v>
      </c>
      <c r="AS90">
        <v>1</v>
      </c>
    </row>
    <row r="91" spans="1:45" x14ac:dyDescent="0.2">
      <c r="A91" t="s">
        <v>137</v>
      </c>
      <c r="B91" s="2">
        <f t="shared" si="1"/>
        <v>46023</v>
      </c>
      <c r="C91" t="s">
        <v>73</v>
      </c>
      <c r="D91" s="1">
        <v>1.4363425925925925E-2</v>
      </c>
      <c r="E91">
        <v>18</v>
      </c>
      <c r="F91" t="s">
        <v>122</v>
      </c>
      <c r="G91" t="s">
        <v>47</v>
      </c>
      <c r="H91" t="s">
        <v>48</v>
      </c>
      <c r="I91">
        <v>0.77777777777777701</v>
      </c>
      <c r="J91">
        <v>1</v>
      </c>
      <c r="K91">
        <v>0.66666666666666596</v>
      </c>
      <c r="L91">
        <v>0.66666666666666596</v>
      </c>
      <c r="M91">
        <v>0.45454545454545398</v>
      </c>
      <c r="N91">
        <v>0</v>
      </c>
      <c r="O91">
        <v>0</v>
      </c>
      <c r="P91">
        <v>0</v>
      </c>
      <c r="Q91">
        <v>0</v>
      </c>
      <c r="R91">
        <v>1</v>
      </c>
      <c r="S91">
        <v>0</v>
      </c>
      <c r="T91">
        <v>1</v>
      </c>
      <c r="U91">
        <v>1</v>
      </c>
      <c r="V91">
        <v>0</v>
      </c>
      <c r="W91">
        <v>0</v>
      </c>
      <c r="X91">
        <v>0</v>
      </c>
      <c r="Y91">
        <v>1</v>
      </c>
      <c r="Z91">
        <v>0</v>
      </c>
      <c r="AA91">
        <v>0</v>
      </c>
      <c r="AB91">
        <v>0</v>
      </c>
      <c r="AC91">
        <v>0</v>
      </c>
      <c r="AD91">
        <v>0</v>
      </c>
      <c r="AE91">
        <v>0</v>
      </c>
      <c r="AF91">
        <v>0</v>
      </c>
      <c r="AG91">
        <v>0</v>
      </c>
      <c r="AH91">
        <v>0</v>
      </c>
      <c r="AI91">
        <v>0</v>
      </c>
      <c r="AJ91">
        <v>0</v>
      </c>
      <c r="AK91">
        <v>1</v>
      </c>
      <c r="AL91">
        <v>0</v>
      </c>
      <c r="AM91" t="s">
        <v>49</v>
      </c>
      <c r="AN91">
        <v>0</v>
      </c>
      <c r="AO91">
        <v>3</v>
      </c>
      <c r="AP91">
        <v>1</v>
      </c>
      <c r="AQ91">
        <v>0</v>
      </c>
      <c r="AR91">
        <v>1</v>
      </c>
      <c r="AS91">
        <v>1</v>
      </c>
    </row>
    <row r="92" spans="1:45" x14ac:dyDescent="0.2">
      <c r="A92" t="s">
        <v>138</v>
      </c>
      <c r="B92" s="2">
        <f t="shared" si="1"/>
        <v>46023</v>
      </c>
      <c r="C92" t="s">
        <v>45</v>
      </c>
      <c r="D92" s="1">
        <v>1.9409722222222221E-2</v>
      </c>
      <c r="E92">
        <v>33</v>
      </c>
      <c r="F92" t="s">
        <v>139</v>
      </c>
      <c r="G92" t="s">
        <v>61</v>
      </c>
      <c r="H92" t="s">
        <v>48</v>
      </c>
      <c r="I92">
        <v>0.33333333333333298</v>
      </c>
      <c r="J92">
        <v>1</v>
      </c>
      <c r="K92">
        <v>0.66666666666666596</v>
      </c>
      <c r="L92">
        <v>0.2</v>
      </c>
      <c r="M92">
        <v>0</v>
      </c>
      <c r="N92">
        <v>0</v>
      </c>
      <c r="O92">
        <v>0</v>
      </c>
      <c r="P92">
        <v>1</v>
      </c>
      <c r="Q92">
        <v>0</v>
      </c>
      <c r="R92">
        <v>0</v>
      </c>
      <c r="S92">
        <v>1</v>
      </c>
      <c r="T92">
        <v>0</v>
      </c>
      <c r="U92">
        <v>0</v>
      </c>
      <c r="V92">
        <v>0</v>
      </c>
      <c r="W92">
        <v>0</v>
      </c>
      <c r="X92">
        <v>0</v>
      </c>
      <c r="Y92">
        <v>0</v>
      </c>
      <c r="Z92">
        <v>0</v>
      </c>
      <c r="AA92">
        <v>0</v>
      </c>
      <c r="AB92">
        <v>0</v>
      </c>
      <c r="AC92">
        <v>0</v>
      </c>
      <c r="AD92">
        <v>0</v>
      </c>
      <c r="AE92">
        <v>0</v>
      </c>
      <c r="AF92">
        <v>0</v>
      </c>
      <c r="AG92">
        <v>0</v>
      </c>
      <c r="AH92">
        <v>0</v>
      </c>
      <c r="AI92">
        <v>0</v>
      </c>
      <c r="AJ92">
        <v>0</v>
      </c>
      <c r="AK92">
        <v>0</v>
      </c>
      <c r="AL92">
        <v>1</v>
      </c>
      <c r="AM92" t="s">
        <v>49</v>
      </c>
      <c r="AN92">
        <v>1</v>
      </c>
      <c r="AO92">
        <v>0</v>
      </c>
      <c r="AP92">
        <v>1</v>
      </c>
      <c r="AQ92">
        <v>1</v>
      </c>
      <c r="AR92">
        <v>0</v>
      </c>
      <c r="AS92">
        <v>0</v>
      </c>
    </row>
    <row r="93" spans="1:45" x14ac:dyDescent="0.2">
      <c r="A93" t="s">
        <v>140</v>
      </c>
      <c r="B93" s="2">
        <f t="shared" si="1"/>
        <v>46023</v>
      </c>
      <c r="C93" t="s">
        <v>51</v>
      </c>
      <c r="D93" s="1">
        <v>1.3900462962962963E-2</v>
      </c>
      <c r="E93">
        <v>4</v>
      </c>
      <c r="F93" t="s">
        <v>91</v>
      </c>
      <c r="G93" t="s">
        <v>85</v>
      </c>
      <c r="H93" t="s">
        <v>58</v>
      </c>
      <c r="I93">
        <v>0.66666666666666596</v>
      </c>
      <c r="J93">
        <v>0</v>
      </c>
      <c r="K93">
        <v>0.33333333333333298</v>
      </c>
      <c r="L93">
        <v>0.66666666666666596</v>
      </c>
      <c r="M93">
        <v>0.36363636363636298</v>
      </c>
      <c r="N93">
        <v>1</v>
      </c>
      <c r="O93">
        <v>0</v>
      </c>
      <c r="P93">
        <v>0</v>
      </c>
      <c r="Q93">
        <v>0</v>
      </c>
      <c r="R93">
        <v>0</v>
      </c>
      <c r="S93">
        <v>0</v>
      </c>
      <c r="T93">
        <v>0</v>
      </c>
      <c r="U93">
        <v>0</v>
      </c>
      <c r="V93">
        <v>0</v>
      </c>
      <c r="W93">
        <v>0</v>
      </c>
      <c r="X93">
        <v>0</v>
      </c>
      <c r="Y93">
        <v>0</v>
      </c>
      <c r="Z93">
        <v>0</v>
      </c>
      <c r="AA93">
        <v>0</v>
      </c>
      <c r="AB93">
        <v>1</v>
      </c>
      <c r="AC93">
        <v>0</v>
      </c>
      <c r="AD93">
        <v>1</v>
      </c>
      <c r="AE93">
        <v>0</v>
      </c>
      <c r="AF93">
        <v>1</v>
      </c>
      <c r="AG93">
        <v>0</v>
      </c>
      <c r="AH93">
        <v>0</v>
      </c>
      <c r="AI93">
        <v>0</v>
      </c>
      <c r="AJ93">
        <v>0</v>
      </c>
      <c r="AK93">
        <v>0</v>
      </c>
      <c r="AL93">
        <v>0</v>
      </c>
      <c r="AM93" t="s">
        <v>49</v>
      </c>
      <c r="AN93">
        <v>1</v>
      </c>
      <c r="AO93">
        <v>4</v>
      </c>
      <c r="AP93">
        <v>1</v>
      </c>
      <c r="AQ93">
        <v>1</v>
      </c>
      <c r="AR93">
        <v>1</v>
      </c>
      <c r="AS93">
        <v>1</v>
      </c>
    </row>
    <row r="94" spans="1:45" x14ac:dyDescent="0.2">
      <c r="A94" t="s">
        <v>141</v>
      </c>
      <c r="B94" s="2">
        <f t="shared" si="1"/>
        <v>46023</v>
      </c>
      <c r="C94" t="s">
        <v>73</v>
      </c>
      <c r="D94" s="1">
        <v>1.0717592592592593E-2</v>
      </c>
      <c r="E94">
        <v>5</v>
      </c>
      <c r="F94" t="s">
        <v>84</v>
      </c>
      <c r="G94" t="s">
        <v>130</v>
      </c>
      <c r="H94" t="s">
        <v>48</v>
      </c>
      <c r="I94">
        <v>0.44444444444444398</v>
      </c>
      <c r="J94">
        <v>0.5</v>
      </c>
      <c r="K94">
        <v>0.66666666666666596</v>
      </c>
      <c r="L94">
        <v>0.66666666666666596</v>
      </c>
      <c r="M94">
        <v>0.27272727272727199</v>
      </c>
      <c r="N94">
        <v>0</v>
      </c>
      <c r="O94">
        <v>0</v>
      </c>
      <c r="P94">
        <v>1</v>
      </c>
      <c r="Q94">
        <v>0</v>
      </c>
      <c r="R94">
        <v>0</v>
      </c>
      <c r="S94">
        <v>0</v>
      </c>
      <c r="T94">
        <v>0</v>
      </c>
      <c r="U94">
        <v>0</v>
      </c>
      <c r="V94">
        <v>0</v>
      </c>
      <c r="W94">
        <v>0</v>
      </c>
      <c r="X94">
        <v>0</v>
      </c>
      <c r="Y94">
        <v>1</v>
      </c>
      <c r="Z94">
        <v>0</v>
      </c>
      <c r="AA94">
        <v>0</v>
      </c>
      <c r="AB94">
        <v>0</v>
      </c>
      <c r="AC94">
        <v>0</v>
      </c>
      <c r="AD94">
        <v>0</v>
      </c>
      <c r="AE94">
        <v>0</v>
      </c>
      <c r="AF94">
        <v>0</v>
      </c>
      <c r="AG94">
        <v>0</v>
      </c>
      <c r="AH94">
        <v>0</v>
      </c>
      <c r="AI94">
        <v>0</v>
      </c>
      <c r="AJ94">
        <v>0</v>
      </c>
      <c r="AK94">
        <v>0</v>
      </c>
      <c r="AL94">
        <v>0</v>
      </c>
      <c r="AM94" t="s">
        <v>49</v>
      </c>
      <c r="AN94">
        <v>0</v>
      </c>
      <c r="AO94">
        <v>1</v>
      </c>
      <c r="AP94">
        <v>1</v>
      </c>
      <c r="AQ94">
        <v>0</v>
      </c>
      <c r="AR94">
        <v>0</v>
      </c>
      <c r="AS94">
        <v>0</v>
      </c>
    </row>
    <row r="95" spans="1:45" x14ac:dyDescent="0.2">
      <c r="A95" t="s">
        <v>142</v>
      </c>
      <c r="B95" s="2">
        <f t="shared" si="1"/>
        <v>46023</v>
      </c>
      <c r="C95" t="s">
        <v>45</v>
      </c>
      <c r="D95" s="1">
        <v>1.5659722222222221E-2</v>
      </c>
      <c r="E95">
        <v>18</v>
      </c>
      <c r="F95" t="s">
        <v>122</v>
      </c>
      <c r="G95" t="s">
        <v>82</v>
      </c>
      <c r="H95" t="s">
        <v>48</v>
      </c>
      <c r="I95">
        <v>0.44444444444444398</v>
      </c>
      <c r="J95">
        <v>1</v>
      </c>
      <c r="K95">
        <v>0.83333333333333304</v>
      </c>
      <c r="L95">
        <v>0.46666666666666601</v>
      </c>
      <c r="M95">
        <v>0.27272727272727199</v>
      </c>
      <c r="N95">
        <v>0</v>
      </c>
      <c r="O95">
        <v>0</v>
      </c>
      <c r="P95">
        <v>0</v>
      </c>
      <c r="Q95">
        <v>0</v>
      </c>
      <c r="R95">
        <v>1</v>
      </c>
      <c r="S95">
        <v>0</v>
      </c>
      <c r="T95">
        <v>1</v>
      </c>
      <c r="U95">
        <v>1</v>
      </c>
      <c r="V95">
        <v>0</v>
      </c>
      <c r="W95">
        <v>0</v>
      </c>
      <c r="X95">
        <v>0</v>
      </c>
      <c r="Y95">
        <v>1</v>
      </c>
      <c r="Z95">
        <v>0</v>
      </c>
      <c r="AA95">
        <v>0</v>
      </c>
      <c r="AB95">
        <v>0</v>
      </c>
      <c r="AC95">
        <v>0</v>
      </c>
      <c r="AD95">
        <v>0</v>
      </c>
      <c r="AE95">
        <v>0</v>
      </c>
      <c r="AF95">
        <v>0</v>
      </c>
      <c r="AG95">
        <v>0</v>
      </c>
      <c r="AH95">
        <v>0</v>
      </c>
      <c r="AI95">
        <v>0</v>
      </c>
      <c r="AJ95">
        <v>0</v>
      </c>
      <c r="AK95">
        <v>1</v>
      </c>
      <c r="AL95">
        <v>0</v>
      </c>
      <c r="AM95" t="s">
        <v>49</v>
      </c>
      <c r="AN95">
        <v>0</v>
      </c>
      <c r="AO95">
        <v>3</v>
      </c>
      <c r="AP95">
        <v>1</v>
      </c>
      <c r="AQ95">
        <v>0</v>
      </c>
      <c r="AR95">
        <v>1</v>
      </c>
      <c r="AS95">
        <v>1</v>
      </c>
    </row>
    <row r="96" spans="1:45" x14ac:dyDescent="0.2">
      <c r="A96" t="s">
        <v>143</v>
      </c>
      <c r="B96" s="2">
        <f t="shared" si="1"/>
        <v>46023</v>
      </c>
      <c r="C96" t="s">
        <v>51</v>
      </c>
      <c r="D96" s="1">
        <v>1.275462962962963E-2</v>
      </c>
      <c r="E96">
        <v>32</v>
      </c>
      <c r="F96" t="s">
        <v>102</v>
      </c>
      <c r="G96" t="s">
        <v>130</v>
      </c>
      <c r="H96" t="s">
        <v>48</v>
      </c>
      <c r="I96">
        <v>0.44444444444444398</v>
      </c>
      <c r="J96">
        <v>0.5</v>
      </c>
      <c r="K96">
        <v>0.5</v>
      </c>
      <c r="L96">
        <v>0.4</v>
      </c>
      <c r="M96">
        <v>0.18181818181818099</v>
      </c>
      <c r="N96">
        <v>0</v>
      </c>
      <c r="O96">
        <v>0</v>
      </c>
      <c r="P96">
        <v>0</v>
      </c>
      <c r="Q96">
        <v>0</v>
      </c>
      <c r="R96">
        <v>0</v>
      </c>
      <c r="S96">
        <v>0</v>
      </c>
      <c r="T96">
        <v>1</v>
      </c>
      <c r="U96">
        <v>1</v>
      </c>
      <c r="V96">
        <v>0</v>
      </c>
      <c r="W96">
        <v>0</v>
      </c>
      <c r="X96">
        <v>0</v>
      </c>
      <c r="Y96">
        <v>0</v>
      </c>
      <c r="Z96">
        <v>0</v>
      </c>
      <c r="AA96">
        <v>0</v>
      </c>
      <c r="AB96">
        <v>0</v>
      </c>
      <c r="AC96">
        <v>0</v>
      </c>
      <c r="AD96">
        <v>0</v>
      </c>
      <c r="AE96">
        <v>0</v>
      </c>
      <c r="AF96">
        <v>0</v>
      </c>
      <c r="AG96">
        <v>0</v>
      </c>
      <c r="AH96">
        <v>0</v>
      </c>
      <c r="AI96">
        <v>0</v>
      </c>
      <c r="AJ96">
        <v>0</v>
      </c>
      <c r="AK96">
        <v>0</v>
      </c>
      <c r="AL96">
        <v>0</v>
      </c>
      <c r="AM96" t="s">
        <v>49</v>
      </c>
      <c r="AN96">
        <v>0</v>
      </c>
      <c r="AO96">
        <v>2</v>
      </c>
      <c r="AP96">
        <v>0</v>
      </c>
      <c r="AQ96">
        <v>0</v>
      </c>
      <c r="AR96">
        <v>0</v>
      </c>
      <c r="AS96">
        <v>0</v>
      </c>
    </row>
    <row r="97" spans="1:45" x14ac:dyDescent="0.2">
      <c r="A97" t="s">
        <v>144</v>
      </c>
      <c r="B97" s="2">
        <f t="shared" si="1"/>
        <v>46054</v>
      </c>
      <c r="C97" t="s">
        <v>51</v>
      </c>
      <c r="D97" s="1">
        <v>1.5011574074074075E-2</v>
      </c>
      <c r="E97">
        <v>18</v>
      </c>
      <c r="F97" t="s">
        <v>122</v>
      </c>
      <c r="G97" t="s">
        <v>85</v>
      </c>
      <c r="H97" t="s">
        <v>48</v>
      </c>
      <c r="I97">
        <v>0.66666666666666596</v>
      </c>
      <c r="J97">
        <v>0.5</v>
      </c>
      <c r="K97">
        <v>0.33333333333333298</v>
      </c>
      <c r="L97">
        <v>0.66666666666666596</v>
      </c>
      <c r="M97">
        <v>0.45454545454545398</v>
      </c>
      <c r="N97">
        <v>0</v>
      </c>
      <c r="O97">
        <v>0</v>
      </c>
      <c r="P97">
        <v>0</v>
      </c>
      <c r="Q97">
        <v>0</v>
      </c>
      <c r="R97">
        <v>1</v>
      </c>
      <c r="S97">
        <v>0</v>
      </c>
      <c r="T97">
        <v>1</v>
      </c>
      <c r="U97">
        <v>1</v>
      </c>
      <c r="V97">
        <v>0</v>
      </c>
      <c r="W97">
        <v>0</v>
      </c>
      <c r="X97">
        <v>0</v>
      </c>
      <c r="Y97">
        <v>1</v>
      </c>
      <c r="Z97">
        <v>0</v>
      </c>
      <c r="AA97">
        <v>0</v>
      </c>
      <c r="AB97">
        <v>0</v>
      </c>
      <c r="AC97">
        <v>0</v>
      </c>
      <c r="AD97">
        <v>0</v>
      </c>
      <c r="AE97">
        <v>0</v>
      </c>
      <c r="AF97">
        <v>0</v>
      </c>
      <c r="AG97">
        <v>0</v>
      </c>
      <c r="AH97">
        <v>0</v>
      </c>
      <c r="AI97">
        <v>0</v>
      </c>
      <c r="AJ97">
        <v>0</v>
      </c>
      <c r="AK97">
        <v>1</v>
      </c>
      <c r="AL97">
        <v>0</v>
      </c>
      <c r="AM97" t="s">
        <v>49</v>
      </c>
      <c r="AN97">
        <v>0</v>
      </c>
      <c r="AO97">
        <v>3</v>
      </c>
      <c r="AP97">
        <v>1</v>
      </c>
      <c r="AQ97">
        <v>0</v>
      </c>
      <c r="AR97">
        <v>1</v>
      </c>
      <c r="AS97">
        <v>1</v>
      </c>
    </row>
    <row r="98" spans="1:45" x14ac:dyDescent="0.2">
      <c r="A98" t="s">
        <v>145</v>
      </c>
      <c r="B98" s="2">
        <f t="shared" si="1"/>
        <v>46054</v>
      </c>
      <c r="C98" t="s">
        <v>73</v>
      </c>
      <c r="D98" s="1">
        <v>1.0104166666666666E-2</v>
      </c>
      <c r="E98">
        <v>7</v>
      </c>
      <c r="F98" t="s">
        <v>67</v>
      </c>
      <c r="G98" t="s">
        <v>130</v>
      </c>
      <c r="H98" t="s">
        <v>48</v>
      </c>
      <c r="I98">
        <v>0.55555555555555503</v>
      </c>
      <c r="J98">
        <v>1</v>
      </c>
      <c r="K98">
        <v>0.33333333333333298</v>
      </c>
      <c r="L98">
        <v>0.133333333333333</v>
      </c>
      <c r="M98">
        <v>0</v>
      </c>
      <c r="N98">
        <v>0</v>
      </c>
      <c r="O98">
        <v>0</v>
      </c>
      <c r="P98">
        <v>0</v>
      </c>
      <c r="Q98">
        <v>0</v>
      </c>
      <c r="R98">
        <v>0</v>
      </c>
      <c r="S98">
        <v>0</v>
      </c>
      <c r="T98">
        <v>1</v>
      </c>
      <c r="U98">
        <v>0</v>
      </c>
      <c r="V98">
        <v>1</v>
      </c>
      <c r="W98">
        <v>0</v>
      </c>
      <c r="X98">
        <v>0</v>
      </c>
      <c r="Y98">
        <v>0</v>
      </c>
      <c r="Z98">
        <v>0</v>
      </c>
      <c r="AA98">
        <v>0</v>
      </c>
      <c r="AB98">
        <v>0</v>
      </c>
      <c r="AC98">
        <v>0</v>
      </c>
      <c r="AD98">
        <v>0</v>
      </c>
      <c r="AE98">
        <v>0</v>
      </c>
      <c r="AF98">
        <v>0</v>
      </c>
      <c r="AG98">
        <v>0</v>
      </c>
      <c r="AH98">
        <v>0</v>
      </c>
      <c r="AI98">
        <v>1</v>
      </c>
      <c r="AJ98">
        <v>0</v>
      </c>
      <c r="AK98">
        <v>0</v>
      </c>
      <c r="AL98">
        <v>0</v>
      </c>
      <c r="AM98" t="s">
        <v>49</v>
      </c>
      <c r="AN98">
        <v>0</v>
      </c>
      <c r="AO98">
        <v>2</v>
      </c>
      <c r="AP98">
        <v>0</v>
      </c>
      <c r="AQ98">
        <v>1</v>
      </c>
      <c r="AR98">
        <v>0</v>
      </c>
      <c r="AS98">
        <v>0</v>
      </c>
    </row>
    <row r="99" spans="1:45" x14ac:dyDescent="0.2">
      <c r="A99" t="s">
        <v>146</v>
      </c>
      <c r="B99" s="2">
        <f t="shared" si="1"/>
        <v>46054</v>
      </c>
      <c r="C99" t="s">
        <v>51</v>
      </c>
      <c r="D99" s="1">
        <v>1.9583333333333335E-2</v>
      </c>
      <c r="E99">
        <v>33</v>
      </c>
      <c r="F99" t="s">
        <v>139</v>
      </c>
      <c r="G99" t="s">
        <v>47</v>
      </c>
      <c r="H99" t="s">
        <v>48</v>
      </c>
      <c r="I99">
        <v>0.66666666666666596</v>
      </c>
      <c r="J99">
        <v>1</v>
      </c>
      <c r="K99">
        <v>0.5</v>
      </c>
      <c r="L99">
        <v>0.46666666666666601</v>
      </c>
      <c r="M99">
        <v>0.27272727272727199</v>
      </c>
      <c r="N99">
        <v>0</v>
      </c>
      <c r="O99">
        <v>0</v>
      </c>
      <c r="P99">
        <v>1</v>
      </c>
      <c r="Q99">
        <v>0</v>
      </c>
      <c r="R99">
        <v>0</v>
      </c>
      <c r="S99">
        <v>1</v>
      </c>
      <c r="T99">
        <v>0</v>
      </c>
      <c r="U99">
        <v>0</v>
      </c>
      <c r="V99">
        <v>0</v>
      </c>
      <c r="W99">
        <v>0</v>
      </c>
      <c r="X99">
        <v>0</v>
      </c>
      <c r="Y99">
        <v>0</v>
      </c>
      <c r="Z99">
        <v>0</v>
      </c>
      <c r="AA99">
        <v>0</v>
      </c>
      <c r="AB99">
        <v>0</v>
      </c>
      <c r="AC99">
        <v>0</v>
      </c>
      <c r="AD99">
        <v>0</v>
      </c>
      <c r="AE99">
        <v>0</v>
      </c>
      <c r="AF99">
        <v>0</v>
      </c>
      <c r="AG99">
        <v>0</v>
      </c>
      <c r="AH99">
        <v>0</v>
      </c>
      <c r="AI99">
        <v>0</v>
      </c>
      <c r="AJ99">
        <v>0</v>
      </c>
      <c r="AK99">
        <v>0</v>
      </c>
      <c r="AL99">
        <v>1</v>
      </c>
      <c r="AM99" t="s">
        <v>49</v>
      </c>
      <c r="AN99">
        <v>1</v>
      </c>
      <c r="AO99">
        <v>0</v>
      </c>
      <c r="AP99">
        <v>1</v>
      </c>
      <c r="AQ99">
        <v>1</v>
      </c>
      <c r="AR99">
        <v>0</v>
      </c>
      <c r="AS99">
        <v>0</v>
      </c>
    </row>
    <row r="100" spans="1:45" x14ac:dyDescent="0.2">
      <c r="A100" t="s">
        <v>147</v>
      </c>
      <c r="B100" s="2">
        <f t="shared" si="1"/>
        <v>46054</v>
      </c>
      <c r="C100" t="s">
        <v>73</v>
      </c>
      <c r="D100" s="1">
        <v>1.6423611111111111E-2</v>
      </c>
      <c r="E100">
        <v>14</v>
      </c>
      <c r="F100" t="s">
        <v>77</v>
      </c>
      <c r="G100" t="s">
        <v>130</v>
      </c>
      <c r="H100" t="s">
        <v>48</v>
      </c>
      <c r="I100">
        <v>0.66666666666666596</v>
      </c>
      <c r="J100">
        <v>1</v>
      </c>
      <c r="K100">
        <v>0.5</v>
      </c>
      <c r="L100">
        <v>0.53333333333333299</v>
      </c>
      <c r="M100">
        <v>0.36363636363636298</v>
      </c>
      <c r="N100">
        <v>0</v>
      </c>
      <c r="O100">
        <v>0</v>
      </c>
      <c r="P100">
        <v>0</v>
      </c>
      <c r="Q100">
        <v>0</v>
      </c>
      <c r="R100">
        <v>0</v>
      </c>
      <c r="S100">
        <v>0</v>
      </c>
      <c r="T100">
        <v>0</v>
      </c>
      <c r="U100">
        <v>0</v>
      </c>
      <c r="V100">
        <v>1</v>
      </c>
      <c r="W100">
        <v>1</v>
      </c>
      <c r="X100">
        <v>0</v>
      </c>
      <c r="Y100">
        <v>0</v>
      </c>
      <c r="Z100">
        <v>0</v>
      </c>
      <c r="AA100">
        <v>0</v>
      </c>
      <c r="AB100">
        <v>1</v>
      </c>
      <c r="AC100">
        <v>0</v>
      </c>
      <c r="AD100">
        <v>0</v>
      </c>
      <c r="AE100">
        <v>0</v>
      </c>
      <c r="AF100">
        <v>0</v>
      </c>
      <c r="AG100">
        <v>0</v>
      </c>
      <c r="AH100">
        <v>0</v>
      </c>
      <c r="AI100">
        <v>0</v>
      </c>
      <c r="AJ100">
        <v>0</v>
      </c>
      <c r="AK100">
        <v>0</v>
      </c>
      <c r="AL100">
        <v>0</v>
      </c>
      <c r="AM100" t="s">
        <v>49</v>
      </c>
      <c r="AN100">
        <v>1</v>
      </c>
      <c r="AO100">
        <v>2</v>
      </c>
      <c r="AP100">
        <v>1</v>
      </c>
      <c r="AQ100">
        <v>1</v>
      </c>
      <c r="AR100">
        <v>2</v>
      </c>
      <c r="AS100">
        <v>1</v>
      </c>
    </row>
    <row r="101" spans="1:45" x14ac:dyDescent="0.2">
      <c r="A101" t="s">
        <v>147</v>
      </c>
      <c r="B101" s="2">
        <f t="shared" si="1"/>
        <v>46054</v>
      </c>
      <c r="C101" t="s">
        <v>73</v>
      </c>
      <c r="D101" s="1">
        <v>1.3912037037037037E-2</v>
      </c>
      <c r="E101">
        <v>17</v>
      </c>
      <c r="F101" t="s">
        <v>148</v>
      </c>
      <c r="G101" t="s">
        <v>94</v>
      </c>
      <c r="H101" t="s">
        <v>58</v>
      </c>
      <c r="I101">
        <v>0.55555555555555503</v>
      </c>
      <c r="J101">
        <v>1</v>
      </c>
      <c r="K101">
        <v>0.5</v>
      </c>
      <c r="L101">
        <v>0.2</v>
      </c>
      <c r="M101">
        <v>9.0909090909090898E-2</v>
      </c>
      <c r="N101">
        <v>0</v>
      </c>
      <c r="O101">
        <v>0</v>
      </c>
      <c r="P101">
        <v>0</v>
      </c>
      <c r="Q101">
        <v>0</v>
      </c>
      <c r="R101">
        <v>1</v>
      </c>
      <c r="S101">
        <v>0</v>
      </c>
      <c r="T101">
        <v>1</v>
      </c>
      <c r="U101">
        <v>0</v>
      </c>
      <c r="V101">
        <v>0</v>
      </c>
      <c r="W101">
        <v>0</v>
      </c>
      <c r="X101">
        <v>0</v>
      </c>
      <c r="Y101">
        <v>1</v>
      </c>
      <c r="Z101">
        <v>0</v>
      </c>
      <c r="AA101">
        <v>0</v>
      </c>
      <c r="AB101">
        <v>0</v>
      </c>
      <c r="AC101">
        <v>0</v>
      </c>
      <c r="AD101">
        <v>0</v>
      </c>
      <c r="AE101">
        <v>0</v>
      </c>
      <c r="AF101">
        <v>0</v>
      </c>
      <c r="AG101">
        <v>0</v>
      </c>
      <c r="AH101">
        <v>0</v>
      </c>
      <c r="AI101">
        <v>0</v>
      </c>
      <c r="AJ101">
        <v>0</v>
      </c>
      <c r="AK101">
        <v>0</v>
      </c>
      <c r="AL101">
        <v>0</v>
      </c>
      <c r="AM101" t="s">
        <v>49</v>
      </c>
      <c r="AN101">
        <v>0</v>
      </c>
      <c r="AO101">
        <v>2</v>
      </c>
      <c r="AP101">
        <v>0</v>
      </c>
      <c r="AQ101">
        <v>0</v>
      </c>
      <c r="AR101">
        <v>1</v>
      </c>
      <c r="AS101">
        <v>0</v>
      </c>
    </row>
    <row r="102" spans="1:45" x14ac:dyDescent="0.2">
      <c r="A102" t="s">
        <v>147</v>
      </c>
      <c r="B102" s="2">
        <f t="shared" si="1"/>
        <v>46054</v>
      </c>
      <c r="C102" t="s">
        <v>73</v>
      </c>
      <c r="D102" s="1">
        <v>1.7372685185185185E-2</v>
      </c>
      <c r="E102">
        <v>8</v>
      </c>
      <c r="F102" t="s">
        <v>119</v>
      </c>
      <c r="G102" t="s">
        <v>71</v>
      </c>
      <c r="H102" t="s">
        <v>58</v>
      </c>
      <c r="I102">
        <v>0.55555555555555503</v>
      </c>
      <c r="J102">
        <v>1</v>
      </c>
      <c r="K102">
        <v>0.33333333333333298</v>
      </c>
      <c r="L102">
        <v>0.33333333333333298</v>
      </c>
      <c r="M102">
        <v>0.27272727272727199</v>
      </c>
      <c r="N102">
        <v>0</v>
      </c>
      <c r="O102">
        <v>0</v>
      </c>
      <c r="P102">
        <v>0</v>
      </c>
      <c r="Q102">
        <v>0</v>
      </c>
      <c r="R102">
        <v>0</v>
      </c>
      <c r="S102">
        <v>0</v>
      </c>
      <c r="T102">
        <v>0</v>
      </c>
      <c r="U102">
        <v>1</v>
      </c>
      <c r="V102">
        <v>0</v>
      </c>
      <c r="W102">
        <v>0</v>
      </c>
      <c r="X102">
        <v>0</v>
      </c>
      <c r="Y102">
        <v>0</v>
      </c>
      <c r="Z102">
        <v>1</v>
      </c>
      <c r="AA102">
        <v>0</v>
      </c>
      <c r="AB102">
        <v>0</v>
      </c>
      <c r="AC102">
        <v>0</v>
      </c>
      <c r="AD102">
        <v>0</v>
      </c>
      <c r="AE102">
        <v>0</v>
      </c>
      <c r="AF102">
        <v>0</v>
      </c>
      <c r="AG102">
        <v>0</v>
      </c>
      <c r="AH102">
        <v>0</v>
      </c>
      <c r="AI102">
        <v>0</v>
      </c>
      <c r="AJ102">
        <v>0</v>
      </c>
      <c r="AK102">
        <v>1</v>
      </c>
      <c r="AL102">
        <v>0</v>
      </c>
      <c r="AM102" t="s">
        <v>49</v>
      </c>
      <c r="AN102">
        <v>0</v>
      </c>
      <c r="AO102">
        <v>1</v>
      </c>
      <c r="AP102">
        <v>2</v>
      </c>
      <c r="AQ102">
        <v>0</v>
      </c>
      <c r="AR102">
        <v>0</v>
      </c>
      <c r="AS102">
        <v>1</v>
      </c>
    </row>
    <row r="103" spans="1:45" x14ac:dyDescent="0.2">
      <c r="A103" t="s">
        <v>149</v>
      </c>
      <c r="B103" s="2">
        <f t="shared" si="1"/>
        <v>46054</v>
      </c>
      <c r="C103" t="s">
        <v>51</v>
      </c>
      <c r="D103" s="1">
        <v>1.3900462962962963E-2</v>
      </c>
      <c r="E103">
        <v>17</v>
      </c>
      <c r="F103" t="s">
        <v>148</v>
      </c>
      <c r="G103" t="s">
        <v>61</v>
      </c>
      <c r="H103" t="s">
        <v>58</v>
      </c>
      <c r="I103">
        <v>0.33333333333333298</v>
      </c>
      <c r="J103">
        <v>1</v>
      </c>
      <c r="K103">
        <v>0.5</v>
      </c>
      <c r="L103">
        <v>0.33333333333333298</v>
      </c>
      <c r="M103">
        <v>9.0909090909090898E-2</v>
      </c>
      <c r="N103">
        <v>0</v>
      </c>
      <c r="O103">
        <v>0</v>
      </c>
      <c r="P103">
        <v>0</v>
      </c>
      <c r="Q103">
        <v>0</v>
      </c>
      <c r="R103">
        <v>1</v>
      </c>
      <c r="S103">
        <v>0</v>
      </c>
      <c r="T103">
        <v>1</v>
      </c>
      <c r="U103">
        <v>0</v>
      </c>
      <c r="V103">
        <v>0</v>
      </c>
      <c r="W103">
        <v>0</v>
      </c>
      <c r="X103">
        <v>0</v>
      </c>
      <c r="Y103">
        <v>1</v>
      </c>
      <c r="Z103">
        <v>0</v>
      </c>
      <c r="AA103">
        <v>0</v>
      </c>
      <c r="AB103">
        <v>0</v>
      </c>
      <c r="AC103">
        <v>0</v>
      </c>
      <c r="AD103">
        <v>0</v>
      </c>
      <c r="AE103">
        <v>0</v>
      </c>
      <c r="AF103">
        <v>0</v>
      </c>
      <c r="AG103">
        <v>0</v>
      </c>
      <c r="AH103">
        <v>0</v>
      </c>
      <c r="AI103">
        <v>0</v>
      </c>
      <c r="AJ103">
        <v>0</v>
      </c>
      <c r="AK103">
        <v>0</v>
      </c>
      <c r="AL103">
        <v>0</v>
      </c>
      <c r="AM103" t="s">
        <v>49</v>
      </c>
      <c r="AN103">
        <v>0</v>
      </c>
      <c r="AO103">
        <v>2</v>
      </c>
      <c r="AP103">
        <v>0</v>
      </c>
      <c r="AQ103">
        <v>0</v>
      </c>
      <c r="AR103">
        <v>1</v>
      </c>
      <c r="AS103">
        <v>0</v>
      </c>
    </row>
    <row r="104" spans="1:45" x14ac:dyDescent="0.2">
      <c r="A104" t="s">
        <v>150</v>
      </c>
      <c r="B104" s="2">
        <f t="shared" si="1"/>
        <v>46054</v>
      </c>
      <c r="C104" t="s">
        <v>73</v>
      </c>
      <c r="D104" s="1">
        <v>1.4016203703703704E-2</v>
      </c>
      <c r="E104">
        <v>8</v>
      </c>
      <c r="F104" t="s">
        <v>119</v>
      </c>
      <c r="G104" t="s">
        <v>87</v>
      </c>
      <c r="H104" t="s">
        <v>48</v>
      </c>
      <c r="I104">
        <v>0.44444444444444398</v>
      </c>
      <c r="J104">
        <v>0.5</v>
      </c>
      <c r="K104">
        <v>0.66666666666666596</v>
      </c>
      <c r="L104">
        <v>0.33333333333333298</v>
      </c>
      <c r="M104">
        <v>0.18181818181818099</v>
      </c>
      <c r="N104">
        <v>0</v>
      </c>
      <c r="O104">
        <v>0</v>
      </c>
      <c r="P104">
        <v>0</v>
      </c>
      <c r="Q104">
        <v>0</v>
      </c>
      <c r="R104">
        <v>0</v>
      </c>
      <c r="S104">
        <v>0</v>
      </c>
      <c r="T104">
        <v>0</v>
      </c>
      <c r="U104">
        <v>1</v>
      </c>
      <c r="V104">
        <v>0</v>
      </c>
      <c r="W104">
        <v>0</v>
      </c>
      <c r="X104">
        <v>0</v>
      </c>
      <c r="Y104">
        <v>0</v>
      </c>
      <c r="Z104">
        <v>1</v>
      </c>
      <c r="AA104">
        <v>0</v>
      </c>
      <c r="AB104">
        <v>0</v>
      </c>
      <c r="AC104">
        <v>0</v>
      </c>
      <c r="AD104">
        <v>0</v>
      </c>
      <c r="AE104">
        <v>0</v>
      </c>
      <c r="AF104">
        <v>0</v>
      </c>
      <c r="AG104">
        <v>0</v>
      </c>
      <c r="AH104">
        <v>0</v>
      </c>
      <c r="AI104">
        <v>0</v>
      </c>
      <c r="AJ104">
        <v>0</v>
      </c>
      <c r="AK104">
        <v>1</v>
      </c>
      <c r="AL104">
        <v>0</v>
      </c>
      <c r="AM104" t="s">
        <v>49</v>
      </c>
      <c r="AN104">
        <v>0</v>
      </c>
      <c r="AO104">
        <v>1</v>
      </c>
      <c r="AP104">
        <v>2</v>
      </c>
      <c r="AQ104">
        <v>0</v>
      </c>
      <c r="AR104">
        <v>0</v>
      </c>
      <c r="AS104">
        <v>1</v>
      </c>
    </row>
    <row r="105" spans="1:45" x14ac:dyDescent="0.2">
      <c r="A105" t="s">
        <v>151</v>
      </c>
      <c r="B105" s="2">
        <f t="shared" si="1"/>
        <v>46054</v>
      </c>
      <c r="C105" t="s">
        <v>54</v>
      </c>
      <c r="D105" s="1">
        <v>1.3900462962962963E-2</v>
      </c>
      <c r="E105">
        <v>17</v>
      </c>
      <c r="F105" t="s">
        <v>148</v>
      </c>
      <c r="G105" t="s">
        <v>55</v>
      </c>
      <c r="H105" t="s">
        <v>58</v>
      </c>
      <c r="I105">
        <v>0.44444444444444398</v>
      </c>
      <c r="J105">
        <v>0.5</v>
      </c>
      <c r="K105">
        <v>0.33333333333333298</v>
      </c>
      <c r="L105">
        <v>0.33333333333333298</v>
      </c>
      <c r="M105">
        <v>0.18181818181818099</v>
      </c>
      <c r="N105">
        <v>0</v>
      </c>
      <c r="O105">
        <v>0</v>
      </c>
      <c r="P105">
        <v>0</v>
      </c>
      <c r="Q105">
        <v>0</v>
      </c>
      <c r="R105">
        <v>1</v>
      </c>
      <c r="S105">
        <v>0</v>
      </c>
      <c r="T105">
        <v>1</v>
      </c>
      <c r="U105">
        <v>0</v>
      </c>
      <c r="V105">
        <v>0</v>
      </c>
      <c r="W105">
        <v>0</v>
      </c>
      <c r="X105">
        <v>0</v>
      </c>
      <c r="Y105">
        <v>1</v>
      </c>
      <c r="Z105">
        <v>0</v>
      </c>
      <c r="AA105">
        <v>0</v>
      </c>
      <c r="AB105">
        <v>0</v>
      </c>
      <c r="AC105">
        <v>0</v>
      </c>
      <c r="AD105">
        <v>0</v>
      </c>
      <c r="AE105">
        <v>0</v>
      </c>
      <c r="AF105">
        <v>0</v>
      </c>
      <c r="AG105">
        <v>0</v>
      </c>
      <c r="AH105">
        <v>0</v>
      </c>
      <c r="AI105">
        <v>0</v>
      </c>
      <c r="AJ105">
        <v>0</v>
      </c>
      <c r="AK105">
        <v>0</v>
      </c>
      <c r="AL105">
        <v>0</v>
      </c>
      <c r="AM105" t="s">
        <v>49</v>
      </c>
      <c r="AN105">
        <v>0</v>
      </c>
      <c r="AO105">
        <v>2</v>
      </c>
      <c r="AP105">
        <v>0</v>
      </c>
      <c r="AQ105">
        <v>0</v>
      </c>
      <c r="AR105">
        <v>1</v>
      </c>
      <c r="AS105">
        <v>0</v>
      </c>
    </row>
    <row r="106" spans="1:45" x14ac:dyDescent="0.2">
      <c r="A106" t="s">
        <v>152</v>
      </c>
      <c r="B106" s="2">
        <f t="shared" si="1"/>
        <v>46054</v>
      </c>
      <c r="C106" t="s">
        <v>51</v>
      </c>
      <c r="D106" s="1">
        <v>1.7384259259259259E-2</v>
      </c>
      <c r="E106">
        <v>18</v>
      </c>
      <c r="F106" t="s">
        <v>122</v>
      </c>
      <c r="G106" t="s">
        <v>71</v>
      </c>
      <c r="H106" t="s">
        <v>58</v>
      </c>
      <c r="I106">
        <v>0.22222222222222199</v>
      </c>
      <c r="J106">
        <v>0.5</v>
      </c>
      <c r="K106">
        <v>0.33333333333333298</v>
      </c>
      <c r="L106">
        <v>0.2</v>
      </c>
      <c r="M106">
        <v>0</v>
      </c>
      <c r="N106">
        <v>0</v>
      </c>
      <c r="O106">
        <v>0</v>
      </c>
      <c r="P106">
        <v>0</v>
      </c>
      <c r="Q106">
        <v>0</v>
      </c>
      <c r="R106">
        <v>1</v>
      </c>
      <c r="S106">
        <v>0</v>
      </c>
      <c r="T106">
        <v>1</v>
      </c>
      <c r="U106">
        <v>1</v>
      </c>
      <c r="V106">
        <v>0</v>
      </c>
      <c r="W106">
        <v>0</v>
      </c>
      <c r="X106">
        <v>0</v>
      </c>
      <c r="Y106">
        <v>1</v>
      </c>
      <c r="Z106">
        <v>0</v>
      </c>
      <c r="AA106">
        <v>0</v>
      </c>
      <c r="AB106">
        <v>0</v>
      </c>
      <c r="AC106">
        <v>0</v>
      </c>
      <c r="AD106">
        <v>0</v>
      </c>
      <c r="AE106">
        <v>0</v>
      </c>
      <c r="AF106">
        <v>0</v>
      </c>
      <c r="AG106">
        <v>0</v>
      </c>
      <c r="AH106">
        <v>0</v>
      </c>
      <c r="AI106">
        <v>0</v>
      </c>
      <c r="AJ106">
        <v>0</v>
      </c>
      <c r="AK106">
        <v>1</v>
      </c>
      <c r="AL106">
        <v>0</v>
      </c>
      <c r="AM106" t="s">
        <v>49</v>
      </c>
      <c r="AN106">
        <v>0</v>
      </c>
      <c r="AO106">
        <v>3</v>
      </c>
      <c r="AP106">
        <v>1</v>
      </c>
      <c r="AQ106">
        <v>0</v>
      </c>
      <c r="AR106">
        <v>1</v>
      </c>
      <c r="AS106">
        <v>1</v>
      </c>
    </row>
    <row r="107" spans="1:45" x14ac:dyDescent="0.2">
      <c r="A107" t="s">
        <v>153</v>
      </c>
      <c r="B107" s="2">
        <f t="shared" si="1"/>
        <v>46054</v>
      </c>
      <c r="C107" t="s">
        <v>73</v>
      </c>
      <c r="D107" s="1">
        <v>1.3773148148148149E-2</v>
      </c>
      <c r="E107">
        <v>16</v>
      </c>
      <c r="F107" t="s">
        <v>80</v>
      </c>
      <c r="G107" t="s">
        <v>130</v>
      </c>
      <c r="H107" t="s">
        <v>48</v>
      </c>
      <c r="I107">
        <v>0.55555555555555503</v>
      </c>
      <c r="J107">
        <v>1</v>
      </c>
      <c r="K107">
        <v>0.5</v>
      </c>
      <c r="L107">
        <v>0.46666666666666601</v>
      </c>
      <c r="M107">
        <v>0.18181818181818099</v>
      </c>
      <c r="N107">
        <v>0</v>
      </c>
      <c r="O107">
        <v>0</v>
      </c>
      <c r="P107">
        <v>0</v>
      </c>
      <c r="Q107">
        <v>1</v>
      </c>
      <c r="R107">
        <v>0</v>
      </c>
      <c r="S107">
        <v>0</v>
      </c>
      <c r="T107">
        <v>0</v>
      </c>
      <c r="U107">
        <v>0</v>
      </c>
      <c r="V107">
        <v>0</v>
      </c>
      <c r="W107">
        <v>0</v>
      </c>
      <c r="X107">
        <v>0</v>
      </c>
      <c r="Y107">
        <v>0</v>
      </c>
      <c r="Z107">
        <v>0</v>
      </c>
      <c r="AA107">
        <v>1</v>
      </c>
      <c r="AB107">
        <v>0</v>
      </c>
      <c r="AC107">
        <v>0</v>
      </c>
      <c r="AD107">
        <v>0</v>
      </c>
      <c r="AE107">
        <v>0</v>
      </c>
      <c r="AF107">
        <v>0</v>
      </c>
      <c r="AG107">
        <v>0</v>
      </c>
      <c r="AH107">
        <v>0</v>
      </c>
      <c r="AI107">
        <v>0</v>
      </c>
      <c r="AJ107">
        <v>0</v>
      </c>
      <c r="AK107">
        <v>0</v>
      </c>
      <c r="AL107">
        <v>0</v>
      </c>
      <c r="AM107" t="s">
        <v>49</v>
      </c>
      <c r="AN107">
        <v>0</v>
      </c>
      <c r="AO107">
        <v>1</v>
      </c>
      <c r="AP107">
        <v>0</v>
      </c>
      <c r="AQ107">
        <v>0</v>
      </c>
      <c r="AR107">
        <v>1</v>
      </c>
      <c r="AS107">
        <v>0</v>
      </c>
    </row>
    <row r="108" spans="1:45" x14ac:dyDescent="0.2">
      <c r="A108" t="s">
        <v>154</v>
      </c>
      <c r="B108" s="2">
        <f t="shared" si="1"/>
        <v>46082</v>
      </c>
      <c r="C108" t="s">
        <v>45</v>
      </c>
      <c r="D108" s="1">
        <v>1.1134259259259259E-2</v>
      </c>
      <c r="E108">
        <v>17</v>
      </c>
      <c r="F108" t="s">
        <v>148</v>
      </c>
      <c r="G108" t="s">
        <v>82</v>
      </c>
      <c r="H108" t="s">
        <v>48</v>
      </c>
      <c r="I108">
        <v>0.44444444444444398</v>
      </c>
      <c r="J108">
        <v>0.5</v>
      </c>
      <c r="K108">
        <v>0.66666666666666596</v>
      </c>
      <c r="L108">
        <v>0.33333333333333298</v>
      </c>
      <c r="M108">
        <v>9.0909090909090898E-2</v>
      </c>
      <c r="N108">
        <v>0</v>
      </c>
      <c r="O108">
        <v>0</v>
      </c>
      <c r="P108">
        <v>0</v>
      </c>
      <c r="Q108">
        <v>0</v>
      </c>
      <c r="R108">
        <v>1</v>
      </c>
      <c r="S108">
        <v>0</v>
      </c>
      <c r="T108">
        <v>1</v>
      </c>
      <c r="U108">
        <v>0</v>
      </c>
      <c r="V108">
        <v>0</v>
      </c>
      <c r="W108">
        <v>0</v>
      </c>
      <c r="X108">
        <v>0</v>
      </c>
      <c r="Y108">
        <v>1</v>
      </c>
      <c r="Z108">
        <v>0</v>
      </c>
      <c r="AA108">
        <v>0</v>
      </c>
      <c r="AB108">
        <v>0</v>
      </c>
      <c r="AC108">
        <v>0</v>
      </c>
      <c r="AD108">
        <v>0</v>
      </c>
      <c r="AE108">
        <v>0</v>
      </c>
      <c r="AF108">
        <v>0</v>
      </c>
      <c r="AG108">
        <v>0</v>
      </c>
      <c r="AH108">
        <v>0</v>
      </c>
      <c r="AI108">
        <v>0</v>
      </c>
      <c r="AJ108">
        <v>0</v>
      </c>
      <c r="AK108">
        <v>0</v>
      </c>
      <c r="AL108">
        <v>0</v>
      </c>
      <c r="AM108" t="s">
        <v>49</v>
      </c>
      <c r="AN108">
        <v>0</v>
      </c>
      <c r="AO108">
        <v>2</v>
      </c>
      <c r="AP108">
        <v>0</v>
      </c>
      <c r="AQ108">
        <v>0</v>
      </c>
      <c r="AR108">
        <v>1</v>
      </c>
      <c r="AS108">
        <v>0</v>
      </c>
    </row>
    <row r="109" spans="1:45" x14ac:dyDescent="0.2">
      <c r="A109" t="s">
        <v>155</v>
      </c>
      <c r="B109" s="2">
        <f t="shared" si="1"/>
        <v>46082</v>
      </c>
      <c r="C109" t="s">
        <v>51</v>
      </c>
      <c r="D109" s="1">
        <v>1.3912037037037037E-2</v>
      </c>
      <c r="E109">
        <v>9</v>
      </c>
      <c r="F109" t="s">
        <v>156</v>
      </c>
      <c r="G109" t="s">
        <v>55</v>
      </c>
      <c r="H109" t="s">
        <v>58</v>
      </c>
      <c r="I109">
        <v>0.33333333333333298</v>
      </c>
      <c r="J109">
        <v>0.5</v>
      </c>
      <c r="K109">
        <v>0.5</v>
      </c>
      <c r="L109">
        <v>0.266666666666666</v>
      </c>
      <c r="M109">
        <v>9.0909090909090898E-2</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t="s">
        <v>49</v>
      </c>
      <c r="AN109">
        <v>0</v>
      </c>
      <c r="AO109">
        <v>0</v>
      </c>
      <c r="AP109">
        <v>0</v>
      </c>
      <c r="AQ109">
        <v>0</v>
      </c>
      <c r="AR109">
        <v>0</v>
      </c>
      <c r="AS109">
        <v>0</v>
      </c>
    </row>
    <row r="110" spans="1:45" x14ac:dyDescent="0.2">
      <c r="A110" t="s">
        <v>157</v>
      </c>
      <c r="B110" s="2">
        <f t="shared" si="1"/>
        <v>46082</v>
      </c>
      <c r="C110" t="s">
        <v>54</v>
      </c>
      <c r="D110" s="1">
        <v>1.3912037037037037E-2</v>
      </c>
      <c r="E110">
        <v>9</v>
      </c>
      <c r="F110" t="s">
        <v>156</v>
      </c>
      <c r="G110" t="s">
        <v>94</v>
      </c>
      <c r="H110" t="s">
        <v>58</v>
      </c>
      <c r="I110">
        <v>0.55555555555555503</v>
      </c>
      <c r="J110">
        <v>0.5</v>
      </c>
      <c r="K110">
        <v>0.33333333333333298</v>
      </c>
      <c r="L110">
        <v>0.33333333333333298</v>
      </c>
      <c r="M110">
        <v>0.27272727272727199</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t="s">
        <v>49</v>
      </c>
      <c r="AN110">
        <v>0</v>
      </c>
      <c r="AO110">
        <v>0</v>
      </c>
      <c r="AP110">
        <v>0</v>
      </c>
      <c r="AQ110">
        <v>0</v>
      </c>
      <c r="AR110">
        <v>0</v>
      </c>
      <c r="AS11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GUOT pivot</vt:lpstr>
      <vt:lpstr>charts</vt:lpstr>
      <vt:lpstr>dominos airtable</vt:lpstr>
      <vt:lpstr>sessions pivot</vt:lpstr>
      <vt:lpstr>dominos_sessions_for_dragging_i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Rimell</dc:creator>
  <cp:lastModifiedBy>Stuart Rimell</cp:lastModifiedBy>
  <dcterms:created xsi:type="dcterms:W3CDTF">2026-03-16T16:10:29Z</dcterms:created>
  <dcterms:modified xsi:type="dcterms:W3CDTF">2026-03-17T16:12:04Z</dcterms:modified>
</cp:coreProperties>
</file>