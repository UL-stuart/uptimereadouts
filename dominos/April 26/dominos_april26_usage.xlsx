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dominos/April 26/"/>
    </mc:Choice>
  </mc:AlternateContent>
  <xr:revisionPtr revIDLastSave="0" documentId="13_ncr:9_{88A633CD-456E-2D46-B121-4221728B6345}" xr6:coauthVersionLast="47" xr6:coauthVersionMax="47" xr10:uidLastSave="{00000000-0000-0000-0000-000000000000}"/>
  <bookViews>
    <workbookView xWindow="3480" yWindow="2700" windowWidth="27640" windowHeight="16680" activeTab="1" xr2:uid="{20FD590A-B535-2140-A516-BC2E7802945F}"/>
  </bookViews>
  <sheets>
    <sheet name="GUOT pivot" sheetId="4" r:id="rId1"/>
    <sheet name="Charts" sheetId="5" r:id="rId2"/>
    <sheet name="GUOT" sheetId="3" r:id="rId3"/>
    <sheet name="sessions pivot" sheetId="2" r:id="rId4"/>
    <sheet name="dominos_sessions_for_dragging_a" sheetId="1" r:id="rId5"/>
  </sheets>
  <calcPr calcId="191029"/>
  <pivotCaches>
    <pivotCache cacheId="12" r:id="rId6"/>
    <pivotCache cacheId="17"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2" i="3"/>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2" i="1"/>
</calcChain>
</file>

<file path=xl/sharedStrings.xml><?xml version="1.0" encoding="utf-8"?>
<sst xmlns="http://schemas.openxmlformats.org/spreadsheetml/2006/main" count="2324" uniqueCount="432">
  <si>
    <t>session_start</t>
  </si>
  <si>
    <t>day_of_week</t>
  </si>
  <si>
    <t>duration</t>
  </si>
  <si>
    <t>level</t>
  </si>
  <si>
    <t>name</t>
  </si>
  <si>
    <t>player</t>
  </si>
  <si>
    <t>completion_status</t>
  </si>
  <si>
    <t>identify_scope</t>
  </si>
  <si>
    <t>incident_mechanics</t>
  </si>
  <si>
    <t>external_comms</t>
  </si>
  <si>
    <t>internal_comms</t>
  </si>
  <si>
    <t>commanding_the_incident</t>
  </si>
  <si>
    <t>Complexity: Ambiguous cues (multiple alternatives)</t>
  </si>
  <si>
    <t>Complexity: Attention Demands</t>
  </si>
  <si>
    <t>Complexity: Conflicting Advice</t>
  </si>
  <si>
    <t>Complexity: Decreased access to team members</t>
  </si>
  <si>
    <t>Complexity: Distributed information across individuals/organiza</t>
  </si>
  <si>
    <t>Complexity: Doublebind situations (dilemmas)</t>
  </si>
  <si>
    <t>Complexity: False prime explanations (garden path)</t>
  </si>
  <si>
    <t>Complexity: Hidden coupling (effects at a distance; cascading e</t>
  </si>
  <si>
    <t>Complexity: Implied relationship (red herring)</t>
  </si>
  <si>
    <t>Complexity: Interdependencies amongst roles (someone needs some</t>
  </si>
  <si>
    <t>Complexity: Lack of predefined plan</t>
  </si>
  <si>
    <t>Complexity: Misleading indicators (low predictive value)</t>
  </si>
  <si>
    <t>Complexity: Mismatch between prede fined plans or procedures an</t>
  </si>
  <si>
    <t>Complexity: Missing Information</t>
  </si>
  <si>
    <t>Complexity: Multi Party Dilema</t>
  </si>
  <si>
    <t>Complexity: Multiple simultaneous influences (more than one exp</t>
  </si>
  <si>
    <t>Complexity: Multiple simultaneous influences (multiple explanat</t>
  </si>
  <si>
    <t>Complexity: Saturation</t>
  </si>
  <si>
    <t>Complexity: Simultaneous seperate issues</t>
  </si>
  <si>
    <t>Complexity: Stakeholder Interference</t>
  </si>
  <si>
    <t>Complexity: Stereotype violations (not the usual suspect)</t>
  </si>
  <si>
    <t>Complexity: Stress or fatigue</t>
  </si>
  <si>
    <t>Complexity: Uncertain information (unreliable data)</t>
  </si>
  <si>
    <t>Complexity: Unintended effects (managing side effects)</t>
  </si>
  <si>
    <t>Complexity: Absence of strong signals (no alarms, no threshold</t>
  </si>
  <si>
    <t>max</t>
  </si>
  <si>
    <t>Category: Detecting</t>
  </si>
  <si>
    <t>Category: Sensemaking</t>
  </si>
  <si>
    <t>Category: Planning</t>
  </si>
  <si>
    <t>Category: Deciding</t>
  </si>
  <si>
    <t>Category: Coordination</t>
  </si>
  <si>
    <t>Category: Executing</t>
  </si>
  <si>
    <t>2025-07-09 01:00:00.000 +0100</t>
  </si>
  <si>
    <t>Wednesday</t>
  </si>
  <si>
    <t>Too Good To Be True</t>
  </si>
  <si>
    <t>swetha.nayudu</t>
  </si>
  <si>
    <t>COMPLETED</t>
  </si>
  <si>
    <t>0.33333333333333333333</t>
  </si>
  <si>
    <t>1.00000000000000000000</t>
  </si>
  <si>
    <t>0.83333333333333333333</t>
  </si>
  <si>
    <t>0.40000000000000000000</t>
  </si>
  <si>
    <t>0.09090909090909090909</t>
  </si>
  <si>
    <t>-</t>
  </si>
  <si>
    <t>2025-07-10 01:00:00.000 +0100</t>
  </si>
  <si>
    <t xml:space="preserve">Thursday </t>
  </si>
  <si>
    <t>yeshwanth.tp</t>
  </si>
  <si>
    <t>0.44444444444444444444</t>
  </si>
  <si>
    <t>0.50000000000000000000</t>
  </si>
  <si>
    <t>0.66666666666666666667</t>
  </si>
  <si>
    <t>0.27272727272727272727</t>
  </si>
  <si>
    <t>2025-07-14 01:00:00.000 +0100</t>
  </si>
  <si>
    <t xml:space="preserve">Monday   </t>
  </si>
  <si>
    <t>pradeep.c</t>
  </si>
  <si>
    <t>0.77777777777777777778</t>
  </si>
  <si>
    <t>0.53333333333333333333</t>
  </si>
  <si>
    <t>0.36363636363636363636</t>
  </si>
  <si>
    <t>2025-07-17 01:00:00.000 +0100</t>
  </si>
  <si>
    <t>Bezs Beatles Day!</t>
  </si>
  <si>
    <t>OUT_OF_TIME</t>
  </si>
  <si>
    <t>0.22222222222222222222</t>
  </si>
  <si>
    <t>0.20000000000000000000</t>
  </si>
  <si>
    <t>2025-07-23 01:00:00.000 +0100</t>
  </si>
  <si>
    <t>Too Good To Be True V2</t>
  </si>
  <si>
    <t>ramesh.matta</t>
  </si>
  <si>
    <t>0.26666666666666666667</t>
  </si>
  <si>
    <t>2025-07-24 01:00:00.000 +0100</t>
  </si>
  <si>
    <t>0.55555555555555555556</t>
  </si>
  <si>
    <t>2025-07-28 01:00:00.000 +0100</t>
  </si>
  <si>
    <t>The Big Investor</t>
  </si>
  <si>
    <t>0.46666666666666666667</t>
  </si>
  <si>
    <t>2025-07-30 01:00:00.000 +0100</t>
  </si>
  <si>
    <t>2025-08-04 01:00:00.000 +0100</t>
  </si>
  <si>
    <t>Rumours</t>
  </si>
  <si>
    <t>2025-08-07 01:00:00.000 +0100</t>
  </si>
  <si>
    <t>2025-08-20 01:00:00.000 +0100</t>
  </si>
  <si>
    <t>0.13333333333333333333</t>
  </si>
  <si>
    <t>0.54545454545454545455</t>
  </si>
  <si>
    <t>2025-08-21 01:00:00.000 +0100</t>
  </si>
  <si>
    <t>0.18181818181818181818</t>
  </si>
  <si>
    <t>praveen.sadul</t>
  </si>
  <si>
    <t>2025-08-22 01:00:00.000 +0100</t>
  </si>
  <si>
    <t xml:space="preserve">Friday   </t>
  </si>
  <si>
    <t>First day blues</t>
  </si>
  <si>
    <t>anandaraj.mani</t>
  </si>
  <si>
    <t>0.11111111111111111111</t>
  </si>
  <si>
    <t>2025-08-29 01:00:00.000 +0100</t>
  </si>
  <si>
    <t>Missing Delivery</t>
  </si>
  <si>
    <t>2025-09-02 01:00:00.000 +0100</t>
  </si>
  <si>
    <t xml:space="preserve">Tuesday  </t>
  </si>
  <si>
    <t>Radio Silence</t>
  </si>
  <si>
    <t>2025-09-03 01:00:00.000 +0100</t>
  </si>
  <si>
    <t>vallabh.vyas</t>
  </si>
  <si>
    <t>2025-09-04 01:00:00.000 +0100</t>
  </si>
  <si>
    <t>Bezs Beatles Day! V2</t>
  </si>
  <si>
    <t>latif.khan</t>
  </si>
  <si>
    <t>2025-09-05 01:00:00.000 +0100</t>
  </si>
  <si>
    <t>0.60000000000000000000</t>
  </si>
  <si>
    <t>gowthamkumar.b</t>
  </si>
  <si>
    <t>2025-09-10 01:00:00.000 +0100</t>
  </si>
  <si>
    <t>0.80000000000000000000</t>
  </si>
  <si>
    <t>0.63636363636363636364</t>
  </si>
  <si>
    <t>2025-09-11 01:00:00.000 +0100</t>
  </si>
  <si>
    <t>2025-09-12 01:00:00.000 +0100</t>
  </si>
  <si>
    <t>Roblox</t>
  </si>
  <si>
    <t>2025-09-18 01:00:00.000 +0100</t>
  </si>
  <si>
    <t>0.16666666666666666667</t>
  </si>
  <si>
    <t>2025-09-19 01:00:00.000 +0100</t>
  </si>
  <si>
    <t>vaishnavi.b</t>
  </si>
  <si>
    <t>2025-09-24 01:00:00.000 +0100</t>
  </si>
  <si>
    <t>2025-09-25 01:00:00.000 +0100</t>
  </si>
  <si>
    <t>0.45454545454545454545</t>
  </si>
  <si>
    <t>2025-09-26 01:00:00.000 +0100</t>
  </si>
  <si>
    <t>0.73333333333333333333</t>
  </si>
  <si>
    <t>2025-09-29 01:00:00.000 +0100</t>
  </si>
  <si>
    <t>DEFCON 1</t>
  </si>
  <si>
    <t>2025-10-02 01:00:00.000 +0100</t>
  </si>
  <si>
    <t>2025-10-03 01:00:00.000 +0100</t>
  </si>
  <si>
    <t>The Big Investor V2</t>
  </si>
  <si>
    <t>2025-10-06 01:00:00.000 +0100</t>
  </si>
  <si>
    <t>gregg.winkel</t>
  </si>
  <si>
    <t>2025-10-08 01:00:00.000 +0100</t>
  </si>
  <si>
    <t>2025-10-09 01:00:00.000 +0100</t>
  </si>
  <si>
    <t>0.88888888888888888889</t>
  </si>
  <si>
    <t>2025-10-10 01:00:00.000 +0100</t>
  </si>
  <si>
    <t>2025-10-13 01:00:00.000 +0100</t>
  </si>
  <si>
    <t>2025-10-15 01:00:00.000 +0100</t>
  </si>
  <si>
    <t>2025-10-16 01:00:00.000 +0100</t>
  </si>
  <si>
    <t>0.86666666666666666667</t>
  </si>
  <si>
    <t>0.72727272727272727273</t>
  </si>
  <si>
    <t>2025-10-17 01:00:00.000 +0100</t>
  </si>
  <si>
    <t>2025-10-22 01:00:00.000 +0100</t>
  </si>
  <si>
    <t>2025-10-24 01:00:00.000 +0100</t>
  </si>
  <si>
    <t>2025-10-29 00:00:00.000 +0000</t>
  </si>
  <si>
    <t>2025-11-05 00:00:00.000 +0000</t>
  </si>
  <si>
    <t>2025-11-07 00:00:00.000 +0000</t>
  </si>
  <si>
    <t>2025-11-12 00:00:00.000 +0000</t>
  </si>
  <si>
    <t>2025-11-19 00:00:00.000 +0000</t>
  </si>
  <si>
    <t>The Chain</t>
  </si>
  <si>
    <t>2025-11-21 00:00:00.000 +0000</t>
  </si>
  <si>
    <t>2025-11-24 00:00:00.000 +0000</t>
  </si>
  <si>
    <t>The Switch</t>
  </si>
  <si>
    <t>2025-11-26 00:00:00.000 +0000</t>
  </si>
  <si>
    <t>2025-11-27 00:00:00.000 +0000</t>
  </si>
  <si>
    <t>2025-12-03 00:00:00.000 +0000</t>
  </si>
  <si>
    <t>2025-12-05 00:00:00.000 +0000</t>
  </si>
  <si>
    <t>ranjan.padhi</t>
  </si>
  <si>
    <t>2025-12-10 00:00:00.000 +0000</t>
  </si>
  <si>
    <t>2025-12-11 00:00:00.000 +0000</t>
  </si>
  <si>
    <t>chris.watts</t>
  </si>
  <si>
    <t>2025-12-12 00:00:00.000 +0000</t>
  </si>
  <si>
    <t>2025-12-19 00:00:00.000 +0000</t>
  </si>
  <si>
    <t>2026-01-08 00:00:00.000 +0000</t>
  </si>
  <si>
    <t>2026-01-12 00:00:00.000 +0000</t>
  </si>
  <si>
    <t>2026-01-14 00:00:00.000 +0000</t>
  </si>
  <si>
    <t>2026-01-15 00:00:00.000 +0000</t>
  </si>
  <si>
    <t>2026-01-16 00:00:00.000 +0000</t>
  </si>
  <si>
    <t>2026-01-21 00:00:00.000 +0000</t>
  </si>
  <si>
    <t>The Unknown Unknown</t>
  </si>
  <si>
    <t>2026-01-22 00:00:00.000 +0000</t>
  </si>
  <si>
    <t>2026-01-23 00:00:00.000 +0000</t>
  </si>
  <si>
    <t>2026-01-28 00:00:00.000 +0000</t>
  </si>
  <si>
    <t>2026-01-29 00:00:00.000 +0000</t>
  </si>
  <si>
    <t>2026-02-05 00:00:00.000 +0000</t>
  </si>
  <si>
    <t>2026-02-06 00:00:00.000 +0000</t>
  </si>
  <si>
    <t>2026-02-12 00:00:00.000 +0000</t>
  </si>
  <si>
    <t>2026-02-13 00:00:00.000 +0000</t>
  </si>
  <si>
    <t>Version confusion</t>
  </si>
  <si>
    <t>2026-02-19 00:00:00.000 +0000</t>
  </si>
  <si>
    <t>2026-02-20 00:00:00.000 +0000</t>
  </si>
  <si>
    <t>2026-02-23 00:00:00.000 +0000</t>
  </si>
  <si>
    <t>2026-02-26 00:00:00.000 +0000</t>
  </si>
  <si>
    <t>2026-02-27 00:00:00.000 +0000</t>
  </si>
  <si>
    <t>2026-03-04 00:00:00.000 +0000</t>
  </si>
  <si>
    <t>2026-03-12 00:00:00.000 +0000</t>
  </si>
  <si>
    <t>Cart-astrophe</t>
  </si>
  <si>
    <t>2026-03-16 00:00:00.000 +0000</t>
  </si>
  <si>
    <t>2026-03-18 00:00:00.000 +0000</t>
  </si>
  <si>
    <t>2026-03-19 00:00:00.000 +0000</t>
  </si>
  <si>
    <t>2026-03-20 00:00:00.000 +0000</t>
  </si>
  <si>
    <t>2026-03-23 00:00:00.000 +0000</t>
  </si>
  <si>
    <t>Details Matter</t>
  </si>
  <si>
    <t>2026-04-01 01:00:00.000 +0100</t>
  </si>
  <si>
    <t>2026-04-09 01:00:00.000 +0100</t>
  </si>
  <si>
    <t>month</t>
  </si>
  <si>
    <t>Row Labels</t>
  </si>
  <si>
    <t>Grand Total</t>
  </si>
  <si>
    <t>Count of session_start</t>
  </si>
  <si>
    <t>(Multiple Items)</t>
  </si>
  <si>
    <t>Attended</t>
  </si>
  <si>
    <t>It was difficult to give a score but this was insightful</t>
  </si>
  <si>
    <t>Ed</t>
  </si>
  <si>
    <t>Profile Report</t>
  </si>
  <si>
    <t>Domino's</t>
  </si>
  <si>
    <t>Chris</t>
  </si>
  <si>
    <t>Praveen acknowledged that he should have engaged the platform team earlier and run parallel investigations  and expressed confidence he now knows how to tackle the issue differently next time. He seemed satisfied with the experience, indicating he didn't feel the need to repeat the drill as he felt he'd understood what was needed.</t>
  </si>
  <si>
    <t>Charlene</t>
  </si>
  <si>
    <t>Version Confusion</t>
  </si>
  <si>
    <t>Praveen</t>
  </si>
  <si>
    <t>Mentioned that drills are exaclty like his job</t>
  </si>
  <si>
    <t>No Score</t>
  </si>
  <si>
    <t>He said he will fill in feedback form later</t>
  </si>
  <si>
    <t>Gowtham</t>
  </si>
  <si>
    <t>Will replace with something else from repo</t>
  </si>
  <si>
    <t>Poor feedback, focusing on gramatical errors and closure he did</t>
  </si>
  <si>
    <t>I like everything and that's why I'm here</t>
  </si>
  <si>
    <t>Vallabh</t>
  </si>
  <si>
    <t xml:space="preserve">Likes all of the resources we have to show her performance, and will be looking into them for the next session </t>
  </si>
  <si>
    <t>Matthew</t>
  </si>
  <si>
    <t>Vaishnavi</t>
  </si>
  <si>
    <t>checked</t>
  </si>
  <si>
    <t>Inc 420</t>
  </si>
  <si>
    <t>He wanted to go over his switch session, he was very happy about session as he was able to learn a lot and utilise the session very well</t>
  </si>
  <si>
    <t>Decided to go over PIR switch instead  as he wanted to do retro</t>
  </si>
  <si>
    <t>PIR on Switch</t>
  </si>
  <si>
    <t xml:space="preserve">Matthew should give her Demo with Bez Technical Drill, may Karan join at the end of call to get her feedback </t>
  </si>
  <si>
    <t>Matthew L</t>
  </si>
  <si>
    <t>Bez Technical Day</t>
  </si>
  <si>
    <t>Swetha</t>
  </si>
  <si>
    <t>"I have learned something new"</t>
  </si>
  <si>
    <t xml:space="preserve">@Mildred Ranque drill after PIR on details matter should be re do of version confusion as per notes
</t>
  </si>
  <si>
    <t>Pradeep</t>
  </si>
  <si>
    <t>Said the drill was "a good one" , might be a wee bit rusty after not playin for a while( was on holidays)</t>
  </si>
  <si>
    <t>I would agree with feedback, it does indeed mention the areas that were missed during the incident</t>
  </si>
  <si>
    <t>Mentioned tha this is  a good drill to practice grounding</t>
  </si>
  <si>
    <t>didn't watch the recordings, will talk about grounding next time</t>
  </si>
  <si>
    <t>Latif</t>
  </si>
  <si>
    <t xml:space="preserve">Enjoyed it. Had to rollback all 3 changes </t>
  </si>
  <si>
    <t>Rishi</t>
  </si>
  <si>
    <t>Cart-astroph</t>
  </si>
  <si>
    <t>Feedback</t>
  </si>
  <si>
    <t xml:space="preserve">Surprise to find Tanya not available. I should have thought to tagging Hamed earlier. Missed the correlation of 3 changes by not observing their deployment timings </t>
  </si>
  <si>
    <t xml:space="preserve">It was good. Expected t to be dev issue but it was infra </t>
  </si>
  <si>
    <t>Liked the drill and was able to figure out what drill was supposed to do and followed the learning objectives</t>
  </si>
  <si>
    <t>next session 20th march @Mildred Ranque he is away on his honeymoon trip</t>
  </si>
  <si>
    <t>These are definately helpfull compared to traditional PIR's</t>
  </si>
  <si>
    <t>Karan</t>
  </si>
  <si>
    <t>PIR on Unknown Unknown</t>
  </si>
  <si>
    <t>He can see how this drill can help with similar situations that have ocoured in switch since they have not experience anything like this before</t>
  </si>
  <si>
    <t>Ask about value</t>
  </si>
  <si>
    <t>We will need to go back to this drill.
needs to focus on driving the drill more himself and take lead</t>
  </si>
  <si>
    <t xml:space="preserve">Really liked the narrative, he sees where can improve for the next session </t>
  </si>
  <si>
    <t>The Chain,Grounding Workshop</t>
  </si>
  <si>
    <t>I had to discuss with him post drill what the problem was as he didn't get it. he realised he missed a key message at the start of the drill</t>
  </si>
  <si>
    <t>Ramesh</t>
  </si>
  <si>
    <t>loved the drill, loved the PIR , finds the session really insightful</t>
  </si>
  <si>
    <t>Found the sesion very insightful, they might integrate some aspects of our PIR for their RCA</t>
  </si>
  <si>
    <t xml:space="preserve">Liked the session today and says he learnt some good skills today </t>
  </si>
  <si>
    <t>Was asking me questions about her progress, so next session should be a profile session</t>
  </si>
  <si>
    <t>Next session should be a profile @mi</t>
  </si>
  <si>
    <t>Brilliant. How cleverly it broke my pattern of triaging - i always thought change would be reason like previous drills. This was awesome.</t>
  </si>
  <si>
    <t>Move to every 2 weeks</t>
  </si>
  <si>
    <t>Missing Delivery V2</t>
  </si>
  <si>
    <t xml:space="preserve">This is great - The UAT situation is real . Lot of surprising factors .
Help from Hamed was good </t>
  </si>
  <si>
    <t xml:space="preserve">@Karan Tell her this is ur new drill and we want your feedback, red carpet treatment </t>
  </si>
  <si>
    <t>Unknown Unknown</t>
  </si>
  <si>
    <t>Didn't expect this .Surprising that its a no issue - It fooled me . really caught me</t>
  </si>
  <si>
    <t>He is looking forward to see how he is doing compared to other team members, overall he liked the drill</t>
  </si>
  <si>
    <t>he liked seeing his current level and liked discussing where the training on the platform will take him. hasn't had any real incidents in the last few weeks so no real opportunity to showcase any uptime labs skills</t>
  </si>
  <si>
    <t>INC-399 users can't view reports</t>
  </si>
  <si>
    <t xml:space="preserve">Sees the values in our sessions, tight now there isnt sev 1's and this training helps keep them  fresh in their head </t>
  </si>
  <si>
    <t xml:space="preserve">Great one. Intentionally this forced me to go through logs , check architecture then form a working theory. </t>
  </si>
  <si>
    <t>The Big Investors</t>
  </si>
  <si>
    <t>She is going to play UU and prefer to skip PIR and join work call</t>
  </si>
  <si>
    <t>Naz</t>
  </si>
  <si>
    <t>Interview</t>
  </si>
  <si>
    <t>He is looking forward to PIR and practice more  grounding</t>
  </si>
  <si>
    <t>he finished it and loved it</t>
  </si>
  <si>
    <t>Bez Beatles Day V2</t>
  </si>
  <si>
    <t>He will send you an email about potentially changing his time for sessions, also he would like to have Karan for his next session :D</t>
  </si>
  <si>
    <t>Waiting for response to move to earlier time</t>
  </si>
  <si>
    <t>Good drill to practice and identify multiple issues within the incident</t>
  </si>
  <si>
    <t>Session plan? Discount Disaster or Detail Matter?</t>
  </si>
  <si>
    <t>said it was good experience and she is looking forward to PIR session in addition to find out more about her progres</t>
  </si>
  <si>
    <t>The Switch,Grounding Workshop</t>
  </si>
  <si>
    <t>Liked the drill and found the narrative very interesting</t>
  </si>
  <si>
    <t xml:space="preserve">Took a lot of time. Said he needs to learn so many things. </t>
  </si>
  <si>
    <t>Ranjan</t>
  </si>
  <si>
    <t xml:space="preserve">Realistic. Cascading failure - got the idea by drill's name . Good practice on deciding whether to save a bitcoin feature or completely roll it back </t>
  </si>
  <si>
    <t xml:space="preserve">Good one. Will think about the dependency in next drills </t>
  </si>
  <si>
    <t>the feedback form didn't work on his session so i asked for the score verbally, he said that he feels like he needs more time in the drill</t>
  </si>
  <si>
    <t>He seemed to really struggle with this drill. I would suggest an easier drill for him before progressing as I feel this session was too difficult for him</t>
  </si>
  <si>
    <t>This was amazing. He was able to form working theory by askign teams to check connections to network infra and made a logical decision on why not to go for switch restart.</t>
  </si>
  <si>
    <t>Yeshwanth</t>
  </si>
  <si>
    <t>was able to see the importance of sizing up and understand the importance of bringing in the right people in at the right time</t>
  </si>
  <si>
    <t>MM testing</t>
  </si>
  <si>
    <t xml:space="preserve">Interesting one. Have not seen such issues earlier in the drills. Restart of cartservice fixed the issue but later failed again </t>
  </si>
  <si>
    <t>he is looking forward to try fill in the PIR form sicnce he only contributes as rot cause identifier</t>
  </si>
  <si>
    <t>He needs to read what the team is telling him, he will get information then ask for it again a minute later</t>
  </si>
  <si>
    <t>he was surprised by how intuitive the characters were and is looking forward to playing another session</t>
  </si>
  <si>
    <t>Onboarding,Too Good To Be True</t>
  </si>
  <si>
    <t xml:space="preserve">Its good. Close to reality except the time frame provided to solve an incident. Prompted for logs, but no response on that. </t>
  </si>
  <si>
    <t>Ai and Rishi
Rishi has to go over org chart and /help, /incident again</t>
  </si>
  <si>
    <t xml:space="preserve">Definately was a good one. Always better to check the dependency but usually IM don't do that, the engg clarifies on this part. </t>
  </si>
  <si>
    <t>Grounding workshop pending for next time</t>
  </si>
  <si>
    <t xml:space="preserve">Surprised to see 2 incidents at the same time. Missed to question more in size up phase </t>
  </si>
  <si>
    <t>Please ask if they are working on Dec 19</t>
  </si>
  <si>
    <t>was slightly confused about 2 separate incident other than that , she liked it</t>
  </si>
  <si>
    <t>@Mildred Ranque She is okay to have sessions on 19th</t>
  </si>
  <si>
    <t>Intro</t>
  </si>
  <si>
    <t>Good one. Never get involved with network-related triaging, mostly the apps only. So it was tricky. And they escalate such issues to the network team itself</t>
  </si>
  <si>
    <t>He didn't actually start playing until 45 minutes into the session. next week we need to replay the same drill as the session just suddenly aborted in the middle of playing. Also he would need a soft demo of the tools and team</t>
  </si>
  <si>
    <t xml:space="preserve">Good one. 2 issues at the same time was something new and he felt he could've done better by creating 2 separate incidents and prioritize accordingly  </t>
  </si>
  <si>
    <t>Super effective. Handling 2 incidents was  something new</t>
  </si>
  <si>
    <t>Share data</t>
  </si>
  <si>
    <t>Knows where he can improve</t>
  </si>
  <si>
    <t>Was confused about how to proceed in the drill, everyone was busy but managed to completethe drill within 35 mins</t>
  </si>
  <si>
    <t>She time out and was not able to fill in the form</t>
  </si>
  <si>
    <t>It was surprising to have 2 incident s</t>
  </si>
  <si>
    <t>Had a good discussion about severity assigning and the business impact on the issue</t>
  </si>
  <si>
    <t>he struggled with this drill, he didn't undertsnad why certain solutions weren't working, I explained that this drill relies on being specific and sharing context with characters. Also he was rusty since he hadn't played in 3 weeks</t>
  </si>
  <si>
    <t>Highly insightful session. Till now his grades were because of his mindset before playing drills. He didn't had the clarity and thought more like a incident manager beyond SRE , and completely focused just on the resoltuion rather than the process and leadership around it. 
He understands the complete expectation and got his mindset conditioned to play next sessions. Also he committed about the consistency</t>
  </si>
  <si>
    <t>PIR on Defcon1,Profile Report</t>
  </si>
  <si>
    <t>PIR on Defcon1</t>
  </si>
  <si>
    <t xml:space="preserve">Good - I wasn't sure on how to replicate the issue </t>
  </si>
  <si>
    <t>Great issue .
Good - but issue was tricky - but good learning</t>
  </si>
  <si>
    <t xml:space="preserve">A beneficial retrospective session that was able to clarify a lot of uncertainties
can't think of  anything to get to 10, </t>
  </si>
  <si>
    <t>found the unresponsiveness from tanya frustrating, liked the pressure this generated and overall liked that this drill was different</t>
  </si>
  <si>
    <t>We have to repeat this in few months</t>
  </si>
  <si>
    <t>It was tough for him. Wasn't able to understand that there are 2 separate issue. Liked how it forced him to prioritize the incidents</t>
  </si>
  <si>
    <t>Constructive feedback was really good. Understood the ways on to improve further in the comms, checking changes</t>
  </si>
  <si>
    <t>He's not available on 5th Nov. Requested to do it week after 5th</t>
  </si>
  <si>
    <t>Liked the drill, can see his confidence improve form his first drill and likes the learnings he is gaining from these sessions</t>
  </si>
  <si>
    <t>felt the pressure of this session, sees she needs to improve her business coms.</t>
  </si>
  <si>
    <t>Defcon1</t>
  </si>
  <si>
    <t>Has more fun running the drills; this is probably why we got a lower score this time. in the next pir don't make her fill out any information just go through he timeline and show her where she can improve in different areas</t>
  </si>
  <si>
    <t xml:space="preserve">Good to know where he lacked and key decision making points </t>
  </si>
  <si>
    <t xml:space="preserve">Really a good drill. Learned a lot from this. Never experienced ransomware. </t>
  </si>
  <si>
    <t>Liked the drill but i can tell he needs a lot of work when updating business comms and coordinating the team</t>
  </si>
  <si>
    <t>Attendance is confirmed</t>
  </si>
  <si>
    <t xml:space="preserve">Nice drill. Learnt a lot. However he got timed out as hwe was bit slow but he liked the drill and in his experince he has got a bit of an idea about security policies which he was able to apply in this one </t>
  </si>
  <si>
    <t xml:space="preserve">Never had a ransomware attack before. It was intense, and the drill was really good that he was able to get so much learning out of this </t>
  </si>
  <si>
    <t>Felt that drill could be finished before forensics step, that impacted the score</t>
  </si>
  <si>
    <t>He has 2 timestamps one with 32 mins and one with 35 mins. He did all his check and wanted to close incident. @Rishikesh Kumar . Perhaps we can add end drill before forensics step</t>
  </si>
  <si>
    <t>It was a good one. But in his organization even they do such communications but the people are defined for these 3rd party communications. So he didn't had the same clarity in this OB setup who will be POC for 3rd party or how a communication is going to happen with them</t>
  </si>
  <si>
    <t>He is going to play Defcon1 next week, it is worth to mention to him</t>
  </si>
  <si>
    <t>Would like to see more opportunities for timeboxing</t>
  </si>
  <si>
    <t>Bez Beatles Day</t>
  </si>
  <si>
    <t>Gregg</t>
  </si>
  <si>
    <t xml:space="preserve">Good scenario, lot more difficult as outage was from loss of revenue </t>
  </si>
  <si>
    <t>Drew</t>
  </si>
  <si>
    <t>Loved the drill and made her think if they have something like this in place in case this happens to them</t>
  </si>
  <si>
    <t>Need to update 3 to -&gt; 10 as she didn't mean to score 3</t>
  </si>
  <si>
    <t xml:space="preserve">He enjoyed playing it. He was into ransomware attack earlier but not of this sort </t>
  </si>
  <si>
    <t>He enjoyed it and has seen such issues quite a lot where things happen only in local systems not on a wide scale</t>
  </si>
  <si>
    <t>Drill was very basic but it's good introductionary drill to start with</t>
  </si>
  <si>
    <t>Found this drill was a step up from what she previously played</t>
  </si>
  <si>
    <t xml:space="preserve">Realistic drill where its not always the rollback but sometimes fix has to be made. </t>
  </si>
  <si>
    <t>Found it challenging</t>
  </si>
  <si>
    <t>Good drill. He said it's of really great value. It will improve his way of handling incidents. And he feels his performance was not upto the mark , however these coachings are really making difference
What it'd take to get 10? 
He said he cant say much on this on what to improve in the drill. However , he feels its still very early , he's still trying to understand the platform and the characters</t>
  </si>
  <si>
    <t>This drill was really helpful. He had similar issue and then discussed his pain points which he was able to understand the solution to those with this drill</t>
  </si>
  <si>
    <t>Anandaraj</t>
  </si>
  <si>
    <t>She felt the pressure whilst playing the drill but understood the learnings from this session</t>
  </si>
  <si>
    <t>It was good sicne it was 3rd party issue .</t>
  </si>
  <si>
    <t>Last three sessions he was dealing with P1s. I said it's totally understandable if he can't make it, but to give us notice next time</t>
  </si>
  <si>
    <t>Good drill, lots of things to handle but liked the flow of the drill. Key thing for him to focus on is to avoid doing all the investigation themself, but rather allocate that to the team, as he missed key details in the chat</t>
  </si>
  <si>
    <t>Leon</t>
  </si>
  <si>
    <t xml:space="preserve">Interesting - Al characters were great - useful </t>
  </si>
  <si>
    <t xml:space="preserve">This session was beneficial and helpful. He will go through them again. </t>
  </si>
  <si>
    <t>it was a good drill , however chaos test in general is handled by platform team because it lies under reliability and performance. 
And also said that misconfigurations of chaos can't happen that way, there are guards setup for prod.</t>
  </si>
  <si>
    <t xml:space="preserve">Despite not completing the drill he learned a lot about the importance of engaging the whole team </t>
  </si>
  <si>
    <t xml:space="preserve">It was realistic and especially the pressure from management. 
She didn't specify what it'd take to get 10. </t>
  </si>
  <si>
    <t>It was pretty good - Close to reality and this is not due to change .</t>
  </si>
  <si>
    <t>He enjoyed playing it, it was quite easy compared to other ones but he tried to unlock all possible fixes for Tinus. Worked as a network engineer in past , he suggested VPN or ethernet , not browser . So this was a learning for him on how to pick up clues given by bots where Hamed did mention specific to browser</t>
  </si>
  <si>
    <t>he enjoyed the realism of interacting with the characters. Part of this score is his own personal performance as he felt he could have done better</t>
  </si>
  <si>
    <t>Couldn't think of anything that would get to 9/10 but will take the learnings from this drill to next session</t>
  </si>
  <si>
    <t>Move him to every 2 weeks</t>
  </si>
  <si>
    <t xml:space="preserve">He liked this drill specially because it wasn't change related - took onboard the feedback provided in regards to appropriate escalation times and learning about the team more </t>
  </si>
  <si>
    <t xml:space="preserve">This is good - This is real life scenario .
</t>
  </si>
  <si>
    <t xml:space="preserve">It was a good drill where he had to push Dan a lot. He learnt the importance of being assertive and backing up the question to people with data </t>
  </si>
  <si>
    <t xml:space="preserve">Liked the drill. all is new to him and he enjoys this </t>
  </si>
  <si>
    <t>Thought the characters not communicating often was quite strange(my fault in not letting him know that this drill is different) but enjoyed the challenge overall</t>
  </si>
  <si>
    <t>He liked the drill but didn't have too much time since he only had 30 minutes to run a drill and not really much time after for post session</t>
  </si>
  <si>
    <t>had to cut the session short since he only had 30 minutes, decided that it's worth playing an early drill since he was confident in his skills</t>
  </si>
  <si>
    <t xml:space="preserve">This is close to reality .
Character responses were prompt </t>
  </si>
  <si>
    <t>He said the drill was not too bad, I think the low score came from the fact that the drill wasn't surprising, he completed the drill really quickly,</t>
  </si>
  <si>
    <t>This is a very common we face in Dominos where people do not respond - But good learning</t>
  </si>
  <si>
    <t>None of the static content like - org chart, arch diagram and dev chart is opening in /help</t>
  </si>
  <si>
    <t>INC-281 slack help links need updating to new wordpress site</t>
  </si>
  <si>
    <t xml:space="preserve">Drill was good to play where it was the 3rd party issue and triggered with checking changes and have to rule out this possibility. 
What would it take to get 10?
By the left sidebar bar, there could've been a list of all characters that he can DM. So it was all about bringing an easy way for them to remember the org chart. Later, with a follow-up discussion, he understood why we need to keep everybody in the chat </t>
  </si>
  <si>
    <t xml:space="preserve">thought it was a great way to learn P1's 
I can tell he really liked the session and is looking forward to the next one </t>
  </si>
  <si>
    <t xml:space="preserve">Feels like a real incident .
I thought i was in real issue 
</t>
  </si>
  <si>
    <t xml:space="preserve">Enjoyed this session. Learned that it's not always a wider impact, could be one person as well. </t>
  </si>
  <si>
    <t>Found it stressful but very enjoyable</t>
  </si>
  <si>
    <t xml:space="preserve">This is great drill which we see in real life .
We used to see these type of issue in my previous company </t>
  </si>
  <si>
    <t>They had an incident last week</t>
  </si>
  <si>
    <t xml:space="preserve">It was a good one. He was able to size up properly, didn't check changes, and suggested to clear the cache much quicker 
</t>
  </si>
  <si>
    <t>Feroze Din</t>
  </si>
  <si>
    <t xml:space="preserve">Drill was good, feels that he could have used more time </t>
  </si>
  <si>
    <t>He likes playing our drills and found the scenario today challenged him as he knows that problems aren't only just change related</t>
  </si>
  <si>
    <t xml:space="preserve">He liked it and understood where it could've formed the working theory, not to check the changes. </t>
  </si>
  <si>
    <t>Why 10 ? :
UAT scripts running in PROD is a great real time example .
Learning - Impact assessment should be done at beginning .</t>
  </si>
  <si>
    <t>Liked the narrative and overall motive of the scenario. It was his first drill doing it independently. So took some time to grasp the roles and names. 
What it would take to get 10?
1. There could've been a designation written by the names of each character.
2. Responses were quite slow and did not pick up exact commands. Context - he asked to roll back the payment and checkout change both to Shay. Shay did his own, so he thought it was done for both</t>
  </si>
  <si>
    <t xml:space="preserve">Its was a good drill - he got to double check with Tanya on chaos test. He's a SRE but he's seeing the value and pain points of an Incident Manager. 
Why 10 ?
It's helping him in doing better communication. Handling high-stakes people. </t>
  </si>
  <si>
    <t xml:space="preserve">it was a good drill
is liking the sessions and the experience he is gaining from them. He is an SRE so all of this is new to him  </t>
  </si>
  <si>
    <t xml:space="preserve">Change was not correlating with errors .
What were the factors - This is great place to handle tough personality </t>
  </si>
  <si>
    <t xml:space="preserve">He didn't timed out on the drill but despite that felt he learned a lot, with how to manage frequent business updates and pushback from characters.
There was a lot of confusion on how to use the business comms channel as he was tagging shay and Bob in that channel. He may have needed a more comprehensive onboarding experience </t>
  </si>
  <si>
    <t xml:space="preserve">He found drill fun and interesting. For him being an IM is interesting as in Dominos he is SRE
  </t>
  </si>
  <si>
    <t>Felt good and its great to recall old drills and practice the drills</t>
  </si>
  <si>
    <t>Notes for Mildred</t>
  </si>
  <si>
    <t>Technical Issue Reason</t>
  </si>
  <si>
    <t>Technical Issues</t>
  </si>
  <si>
    <t>INC #</t>
  </si>
  <si>
    <t>Attendance Reason</t>
  </si>
  <si>
    <t>Attendance</t>
  </si>
  <si>
    <t>Feedback Notes</t>
  </si>
  <si>
    <t>Feedback Quality Score</t>
  </si>
  <si>
    <t>Session ID</t>
  </si>
  <si>
    <t>Score Notes</t>
  </si>
  <si>
    <t>GUOT</t>
  </si>
  <si>
    <t>Session Notes</t>
  </si>
  <si>
    <t>Star Guru</t>
  </si>
  <si>
    <t>Lead</t>
  </si>
  <si>
    <t>AI</t>
  </si>
  <si>
    <t>Session Plan</t>
  </si>
  <si>
    <t>Sessions Done</t>
  </si>
  <si>
    <t>Company</t>
  </si>
  <si>
    <t>Name</t>
  </si>
  <si>
    <t>Time</t>
  </si>
  <si>
    <t>Date</t>
  </si>
  <si>
    <t>Average of GUOT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</si>
</sst>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21" fontId="0" fillId="0" borderId="0" xfId="0" applyNumberFormat="1"/>
    <xf numFmtId="0" fontId="0" fillId="0" borderId="0" xfId="0" quotePrefix="1"/>
    <xf numFmtId="1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NumberFormat="1"/>
    <xf numFmtId="18"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[dominos_april26_usage.xlsx]GUOT 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GUOT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'GUOT pivot'!$B$3</c:f>
              <c:strCache>
                <c:ptCount val="1"/>
                <c:pt idx="0">
                  <c:v>Total</c:v>
                </c:pt>
              </c:strCache>
            </c:strRef>
          </c:tx>
          <c:spPr>
            <a:ln w="28575" cap="rnd">
              <a:solidFill>
                <a:schemeClr val="accent1"/>
              </a:solidFill>
              <a:round/>
            </a:ln>
            <a:effectLst/>
          </c:spPr>
          <c:marker>
            <c:symbol val="none"/>
          </c:marker>
          <c:cat>
            <c:strRef>
              <c:f>'GUOT pivot'!$A$4:$A$14</c:f>
              <c:strCache>
                <c:ptCount val="10"/>
                <c:pt idx="0">
                  <c:v>01/07/2025</c:v>
                </c:pt>
                <c:pt idx="1">
                  <c:v>01/08/2025</c:v>
                </c:pt>
                <c:pt idx="2">
                  <c:v>01/09/2025</c:v>
                </c:pt>
                <c:pt idx="3">
                  <c:v>01/10/2025</c:v>
                </c:pt>
                <c:pt idx="4">
                  <c:v>01/11/2025</c:v>
                </c:pt>
                <c:pt idx="5">
                  <c:v>01/12/2025</c:v>
                </c:pt>
                <c:pt idx="6">
                  <c:v>01/01/2026</c:v>
                </c:pt>
                <c:pt idx="7">
                  <c:v>01/02/2026</c:v>
                </c:pt>
                <c:pt idx="8">
                  <c:v>01/03/2026</c:v>
                </c:pt>
                <c:pt idx="9">
                  <c:v>01/04/2026</c:v>
                </c:pt>
              </c:strCache>
            </c:strRef>
          </c:cat>
          <c:val>
            <c:numRef>
              <c:f>'GUOT pivot'!$B$4:$B$14</c:f>
              <c:numCache>
                <c:formatCode>General</c:formatCode>
                <c:ptCount val="10"/>
                <c:pt idx="0">
                  <c:v>9.7777777777777786</c:v>
                </c:pt>
                <c:pt idx="1">
                  <c:v>9.6</c:v>
                </c:pt>
                <c:pt idx="2">
                  <c:v>9</c:v>
                </c:pt>
                <c:pt idx="3">
                  <c:v>9.304347826086957</c:v>
                </c:pt>
                <c:pt idx="4">
                  <c:v>9.6</c:v>
                </c:pt>
                <c:pt idx="5">
                  <c:v>9.3636363636363633</c:v>
                </c:pt>
                <c:pt idx="6">
                  <c:v>9.6666666666666661</c:v>
                </c:pt>
                <c:pt idx="7">
                  <c:v>9.3333333333333339</c:v>
                </c:pt>
                <c:pt idx="8">
                  <c:v>9.3000000000000007</c:v>
                </c:pt>
                <c:pt idx="9">
                  <c:v>8.6666666666666661</c:v>
                </c:pt>
              </c:numCache>
            </c:numRef>
          </c:val>
          <c:smooth val="0"/>
          <c:extLst>
            <c:ext xmlns:c16="http://schemas.microsoft.com/office/drawing/2014/chart" uri="{C3380CC4-5D6E-409C-BE32-E72D297353CC}">
              <c16:uniqueId val="{00000000-4577-D041-8D27-C862DB7D6175}"/>
            </c:ext>
          </c:extLst>
        </c:ser>
        <c:dLbls>
          <c:showLegendKey val="0"/>
          <c:showVal val="0"/>
          <c:showCatName val="0"/>
          <c:showSerName val="0"/>
          <c:showPercent val="0"/>
          <c:showBubbleSize val="0"/>
        </c:dLbls>
        <c:smooth val="0"/>
        <c:axId val="1199233151"/>
        <c:axId val="1199234943"/>
      </c:lineChart>
      <c:catAx>
        <c:axId val="119923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234943"/>
        <c:crosses val="autoZero"/>
        <c:auto val="1"/>
        <c:lblAlgn val="ctr"/>
        <c:lblOffset val="100"/>
        <c:noMultiLvlLbl val="0"/>
      </c:catAx>
      <c:valAx>
        <c:axId val="119923494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23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[dominos_april26_usage.xlsx]GUOT 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GUOT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'GUOT pivot'!$B$3</c:f>
              <c:strCache>
                <c:ptCount val="1"/>
                <c:pt idx="0">
                  <c:v>Total</c:v>
                </c:pt>
              </c:strCache>
            </c:strRef>
          </c:tx>
          <c:spPr>
            <a:ln w="28575" cap="rnd">
              <a:solidFill>
                <a:schemeClr val="accent1"/>
              </a:solidFill>
              <a:round/>
            </a:ln>
            <a:effectLst/>
          </c:spPr>
          <c:marker>
            <c:symbol val="none"/>
          </c:marker>
          <c:cat>
            <c:strRef>
              <c:f>'GUOT pivot'!$A$4:$A$14</c:f>
              <c:strCache>
                <c:ptCount val="10"/>
                <c:pt idx="0">
                  <c:v>01/07/2025</c:v>
                </c:pt>
                <c:pt idx="1">
                  <c:v>01/08/2025</c:v>
                </c:pt>
                <c:pt idx="2">
                  <c:v>01/09/2025</c:v>
                </c:pt>
                <c:pt idx="3">
                  <c:v>01/10/2025</c:v>
                </c:pt>
                <c:pt idx="4">
                  <c:v>01/11/2025</c:v>
                </c:pt>
                <c:pt idx="5">
                  <c:v>01/12/2025</c:v>
                </c:pt>
                <c:pt idx="6">
                  <c:v>01/01/2026</c:v>
                </c:pt>
                <c:pt idx="7">
                  <c:v>01/02/2026</c:v>
                </c:pt>
                <c:pt idx="8">
                  <c:v>01/03/2026</c:v>
                </c:pt>
                <c:pt idx="9">
                  <c:v>01/04/2026</c:v>
                </c:pt>
              </c:strCache>
            </c:strRef>
          </c:cat>
          <c:val>
            <c:numRef>
              <c:f>'GUOT pivot'!$B$4:$B$14</c:f>
              <c:numCache>
                <c:formatCode>General</c:formatCode>
                <c:ptCount val="10"/>
                <c:pt idx="0">
                  <c:v>9.7777777777777786</c:v>
                </c:pt>
                <c:pt idx="1">
                  <c:v>9.6</c:v>
                </c:pt>
                <c:pt idx="2">
                  <c:v>9</c:v>
                </c:pt>
                <c:pt idx="3">
                  <c:v>9.304347826086957</c:v>
                </c:pt>
                <c:pt idx="4">
                  <c:v>9.6</c:v>
                </c:pt>
                <c:pt idx="5">
                  <c:v>9.3636363636363633</c:v>
                </c:pt>
                <c:pt idx="6">
                  <c:v>9.6666666666666661</c:v>
                </c:pt>
                <c:pt idx="7">
                  <c:v>9.3333333333333339</c:v>
                </c:pt>
                <c:pt idx="8">
                  <c:v>9.3000000000000007</c:v>
                </c:pt>
                <c:pt idx="9">
                  <c:v>8.6666666666666661</c:v>
                </c:pt>
              </c:numCache>
            </c:numRef>
          </c:val>
          <c:smooth val="0"/>
          <c:extLst>
            <c:ext xmlns:c16="http://schemas.microsoft.com/office/drawing/2014/chart" uri="{C3380CC4-5D6E-409C-BE32-E72D297353CC}">
              <c16:uniqueId val="{00000000-B598-544E-BC89-10ED9868BB4D}"/>
            </c:ext>
          </c:extLst>
        </c:ser>
        <c:dLbls>
          <c:showLegendKey val="0"/>
          <c:showVal val="0"/>
          <c:showCatName val="0"/>
          <c:showSerName val="0"/>
          <c:showPercent val="0"/>
          <c:showBubbleSize val="0"/>
        </c:dLbls>
        <c:smooth val="0"/>
        <c:axId val="1199233151"/>
        <c:axId val="1199234943"/>
      </c:lineChart>
      <c:catAx>
        <c:axId val="119923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234943"/>
        <c:crosses val="autoZero"/>
        <c:auto val="1"/>
        <c:lblAlgn val="ctr"/>
        <c:lblOffset val="100"/>
        <c:noMultiLvlLbl val="0"/>
      </c:catAx>
      <c:valAx>
        <c:axId val="119923494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23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[dominos_april26_usage.xlsx]sessions 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Sessions (since jan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'sessions pivot'!$B$3</c:f>
              <c:strCache>
                <c:ptCount val="1"/>
                <c:pt idx="0">
                  <c:v>Total</c:v>
                </c:pt>
              </c:strCache>
            </c:strRef>
          </c:tx>
          <c:spPr>
            <a:solidFill>
              <a:schemeClr val="accent1"/>
            </a:solidFill>
            <a:ln>
              <a:noFill/>
            </a:ln>
            <a:effectLst/>
          </c:spPr>
          <c:invertIfNegative val="0"/>
          <c:cat>
            <c:strRef>
              <c:f>'sessions pivot'!$A$4:$A$15</c:f>
              <c:strCache>
                <c:ptCount val="11"/>
                <c:pt idx="0">
                  <c:v>chris.watts</c:v>
                </c:pt>
                <c:pt idx="1">
                  <c:v>vaishnavi.b</c:v>
                </c:pt>
                <c:pt idx="2">
                  <c:v>vallabh.vyas</c:v>
                </c:pt>
                <c:pt idx="3">
                  <c:v>gowthamkumar.b</c:v>
                </c:pt>
                <c:pt idx="4">
                  <c:v>pradeep.c</c:v>
                </c:pt>
                <c:pt idx="5">
                  <c:v>praveen.sadul</c:v>
                </c:pt>
                <c:pt idx="6">
                  <c:v>ranjan.padhi</c:v>
                </c:pt>
                <c:pt idx="7">
                  <c:v>latif.khan</c:v>
                </c:pt>
                <c:pt idx="8">
                  <c:v>swetha.nayudu</c:v>
                </c:pt>
                <c:pt idx="9">
                  <c:v>ramesh.matta</c:v>
                </c:pt>
                <c:pt idx="10">
                  <c:v>yeshwanth.tp</c:v>
                </c:pt>
              </c:strCache>
            </c:strRef>
          </c:cat>
          <c:val>
            <c:numRef>
              <c:f>'sessions pivot'!$B$4:$B$15</c:f>
              <c:numCache>
                <c:formatCode>General</c:formatCode>
                <c:ptCount val="11"/>
                <c:pt idx="0">
                  <c:v>8</c:v>
                </c:pt>
                <c:pt idx="1">
                  <c:v>5</c:v>
                </c:pt>
                <c:pt idx="2">
                  <c:v>5</c:v>
                </c:pt>
                <c:pt idx="3">
                  <c:v>4</c:v>
                </c:pt>
                <c:pt idx="4">
                  <c:v>4</c:v>
                </c:pt>
                <c:pt idx="5">
                  <c:v>4</c:v>
                </c:pt>
                <c:pt idx="6">
                  <c:v>3</c:v>
                </c:pt>
                <c:pt idx="7">
                  <c:v>3</c:v>
                </c:pt>
                <c:pt idx="8">
                  <c:v>3</c:v>
                </c:pt>
                <c:pt idx="9">
                  <c:v>3</c:v>
                </c:pt>
                <c:pt idx="10">
                  <c:v>2</c:v>
                </c:pt>
              </c:numCache>
            </c:numRef>
          </c:val>
          <c:extLst>
            <c:ext xmlns:c16="http://schemas.microsoft.com/office/drawing/2014/chart" uri="{C3380CC4-5D6E-409C-BE32-E72D297353CC}">
              <c16:uniqueId val="{00000000-2125-E440-8672-D6BEEE4DE5A2}"/>
            </c:ext>
          </c:extLst>
        </c:ser>
        <c:dLbls>
          <c:showLegendKey val="0"/>
          <c:showVal val="0"/>
          <c:showCatName val="0"/>
          <c:showSerName val="0"/>
          <c:showPercent val="0"/>
          <c:showBubbleSize val="0"/>
        </c:dLbls>
        <c:gapWidth val="219"/>
        <c:overlap val="-27"/>
        <c:axId val="1199248639"/>
        <c:axId val="1227193663"/>
      </c:barChart>
      <c:catAx>
        <c:axId val="119924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193663"/>
        <c:crosses val="autoZero"/>
        <c:auto val="1"/>
        <c:lblAlgn val="ctr"/>
        <c:lblOffset val="100"/>
        <c:noMultiLvlLbl val="0"/>
      </c:catAx>
      <c:valAx>
        <c:axId val="122719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24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[dominos_april26_usage.xlsx]sessions 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Sessions (since jan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'sessions pivot'!$B$3</c:f>
              <c:strCache>
                <c:ptCount val="1"/>
                <c:pt idx="0">
                  <c:v>Total</c:v>
                </c:pt>
              </c:strCache>
            </c:strRef>
          </c:tx>
          <c:spPr>
            <a:solidFill>
              <a:schemeClr val="accent1"/>
            </a:solidFill>
            <a:ln>
              <a:noFill/>
            </a:ln>
            <a:effectLst/>
          </c:spPr>
          <c:invertIfNegative val="0"/>
          <c:cat>
            <c:strRef>
              <c:f>'sessions pivot'!$A$4:$A$15</c:f>
              <c:strCache>
                <c:ptCount val="11"/>
                <c:pt idx="0">
                  <c:v>chris.watts</c:v>
                </c:pt>
                <c:pt idx="1">
                  <c:v>vaishnavi.b</c:v>
                </c:pt>
                <c:pt idx="2">
                  <c:v>vallabh.vyas</c:v>
                </c:pt>
                <c:pt idx="3">
                  <c:v>gowthamkumar.b</c:v>
                </c:pt>
                <c:pt idx="4">
                  <c:v>pradeep.c</c:v>
                </c:pt>
                <c:pt idx="5">
                  <c:v>praveen.sadul</c:v>
                </c:pt>
                <c:pt idx="6">
                  <c:v>ranjan.padhi</c:v>
                </c:pt>
                <c:pt idx="7">
                  <c:v>latif.khan</c:v>
                </c:pt>
                <c:pt idx="8">
                  <c:v>swetha.nayudu</c:v>
                </c:pt>
                <c:pt idx="9">
                  <c:v>ramesh.matta</c:v>
                </c:pt>
                <c:pt idx="10">
                  <c:v>yeshwanth.tp</c:v>
                </c:pt>
              </c:strCache>
            </c:strRef>
          </c:cat>
          <c:val>
            <c:numRef>
              <c:f>'sessions pivot'!$B$4:$B$15</c:f>
              <c:numCache>
                <c:formatCode>General</c:formatCode>
                <c:ptCount val="11"/>
                <c:pt idx="0">
                  <c:v>8</c:v>
                </c:pt>
                <c:pt idx="1">
                  <c:v>5</c:v>
                </c:pt>
                <c:pt idx="2">
                  <c:v>5</c:v>
                </c:pt>
                <c:pt idx="3">
                  <c:v>4</c:v>
                </c:pt>
                <c:pt idx="4">
                  <c:v>4</c:v>
                </c:pt>
                <c:pt idx="5">
                  <c:v>4</c:v>
                </c:pt>
                <c:pt idx="6">
                  <c:v>3</c:v>
                </c:pt>
                <c:pt idx="7">
                  <c:v>3</c:v>
                </c:pt>
                <c:pt idx="8">
                  <c:v>3</c:v>
                </c:pt>
                <c:pt idx="9">
                  <c:v>3</c:v>
                </c:pt>
                <c:pt idx="10">
                  <c:v>2</c:v>
                </c:pt>
              </c:numCache>
            </c:numRef>
          </c:val>
          <c:extLst>
            <c:ext xmlns:c16="http://schemas.microsoft.com/office/drawing/2014/chart" uri="{C3380CC4-5D6E-409C-BE32-E72D297353CC}">
              <c16:uniqueId val="{00000000-5A14-2E4B-BC97-EB93D263997E}"/>
            </c:ext>
          </c:extLst>
        </c:ser>
        <c:dLbls>
          <c:showLegendKey val="0"/>
          <c:showVal val="0"/>
          <c:showCatName val="0"/>
          <c:showSerName val="0"/>
          <c:showPercent val="0"/>
          <c:showBubbleSize val="0"/>
        </c:dLbls>
        <c:gapWidth val="219"/>
        <c:overlap val="-27"/>
        <c:axId val="1199248639"/>
        <c:axId val="1227193663"/>
      </c:barChart>
      <c:catAx>
        <c:axId val="119924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193663"/>
        <c:crosses val="autoZero"/>
        <c:auto val="1"/>
        <c:lblAlgn val="ctr"/>
        <c:lblOffset val="100"/>
        <c:noMultiLvlLbl val="0"/>
      </c:catAx>
      <c:valAx>
        <c:axId val="122719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24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431800</xdr:colOff>
      <xdr:row>6</xdr:row>
      <xdr:rowOff>95250</xdr:rowOff>
    </xdr:from>
    <xdr:to>
      <xdr:col>9</xdr:col>
      <xdr:colOff>50800</xdr:colOff>
      <xdr:row>19</xdr:row>
      <xdr:rowOff>196850</xdr:rowOff>
    </xdr:to>
    <xdr:graphicFrame macro="">
      <xdr:nvGraphicFramePr>
        <xdr:cNvPr id="2" name="Chart 1">
          <a:extLst>
            <a:ext uri="{FF2B5EF4-FFF2-40B4-BE49-F238E27FC236}">
              <a16:creationId xmlns:a16="http://schemas.microsoft.com/office/drawing/2014/main" id="{291D9B0F-7B51-AD48-C92E-1F400B34D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749300</xdr:colOff>
      <xdr:row>0</xdr:row>
      <xdr:rowOff>127000</xdr:rowOff>
    </xdr:from>
    <xdr:to>
      <xdr:col>13</xdr:col>
      <xdr:colOff>368300</xdr:colOff>
      <xdr:row>14</xdr:row>
      <xdr:rowOff>25400</xdr:rowOff>
    </xdr:to>
    <xdr:graphicFrame macro="">
      <xdr:nvGraphicFramePr>
        <xdr:cNvPr id="2" name="Chart 1">
          <a:extLst>
            <a:ext uri="{FF2B5EF4-FFF2-40B4-BE49-F238E27FC236}">
              <a16:creationId xmlns:a16="http://schemas.microsoft.com/office/drawing/2014/main" id="{2956A81B-83C4-A148-A742-243C92FF7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139700</xdr:rowOff>
    </xdr:from>
    <xdr:to>
      <xdr:col>6</xdr:col>
      <xdr:colOff>660400</xdr:colOff>
      <xdr:row>17</xdr:row>
      <xdr:rowOff>120650</xdr:rowOff>
    </xdr:to>
    <xdr:graphicFrame macro="">
      <xdr:nvGraphicFramePr>
        <xdr:cNvPr id="3" name="Chart 2">
          <a:extLst>
            <a:ext uri="{FF2B5EF4-FFF2-40B4-BE49-F238E27FC236}">
              <a16:creationId xmlns:a16="http://schemas.microsoft.com/office/drawing/2014/main" id="{0D9E0655-E121-D54C-B3EC-A180E8365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812800</xdr:colOff>
      <xdr:row>1</xdr:row>
      <xdr:rowOff>107950</xdr:rowOff>
    </xdr:from>
    <xdr:to>
      <xdr:col>9</xdr:col>
      <xdr:colOff>647700</xdr:colOff>
      <xdr:row>18</xdr:row>
      <xdr:rowOff>88900</xdr:rowOff>
    </xdr:to>
    <xdr:graphicFrame macro="">
      <xdr:nvGraphicFramePr>
        <xdr:cNvPr id="2" name="Chart 1">
          <a:extLst>
            <a:ext uri="{FF2B5EF4-FFF2-40B4-BE49-F238E27FC236}">
              <a16:creationId xmlns:a16="http://schemas.microsoft.com/office/drawing/2014/main" id="{59928725-38A3-5240-ED01-7001E74C8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art rimell" refreshedDate="46125.632476273146" createdVersion="8" refreshedVersion="8" minRefreshableVersion="3" recordCount="117" xr:uid="{C0662C10-3ACD-BA49-8559-E7B47C43E568}">
  <cacheSource type="worksheet">
    <worksheetSource ref="A1:AS1048576" sheet="dominos_sessions_for_dragging_a"/>
  </cacheSource>
  <cacheFields count="45">
    <cacheField name="session_start" numFmtId="0">
      <sharedItems containsBlank="1"/>
    </cacheField>
    <cacheField name="month" numFmtId="0">
      <sharedItems containsNonDate="0" containsDate="1" containsString="0" containsBlank="1" minDate="2025-07-01T00:00:00" maxDate="2026-04-02T00:00:00" count="11">
        <d v="2025-07-01T00:00:00"/>
        <d v="2025-08-01T00:00:00"/>
        <d v="2025-09-01T00:00:00"/>
        <d v="2025-10-01T00:00:00"/>
        <d v="2025-11-01T00:00:00"/>
        <d v="2025-12-01T00:00:00"/>
        <d v="2026-01-01T00:00:00"/>
        <d v="2026-02-01T00:00:00"/>
        <d v="2026-03-01T00:00:00"/>
        <d v="2026-04-01T00:00:00"/>
        <m/>
      </sharedItems>
    </cacheField>
    <cacheField name="day_of_week" numFmtId="0">
      <sharedItems containsBlank="1"/>
    </cacheField>
    <cacheField name="duration" numFmtId="0">
      <sharedItems containsNonDate="0" containsDate="1" containsString="0" containsBlank="1" minDate="1899-12-30T00:07:33" maxDate="1899-12-30T00:40:03"/>
    </cacheField>
    <cacheField name="level" numFmtId="0">
      <sharedItems containsString="0" containsBlank="1" containsNumber="1" containsInteger="1" minValue="3" maxValue="33"/>
    </cacheField>
    <cacheField name="name" numFmtId="0">
      <sharedItems containsBlank="1"/>
    </cacheField>
    <cacheField name="player" numFmtId="0">
      <sharedItems containsBlank="1" count="14">
        <s v="swetha.nayudu"/>
        <s v="yeshwanth.tp"/>
        <s v="pradeep.c"/>
        <s v="ramesh.matta"/>
        <s v="praveen.sadul"/>
        <s v="anandaraj.mani"/>
        <s v="vallabh.vyas"/>
        <s v="latif.khan"/>
        <s v="gowthamkumar.b"/>
        <s v="vaishnavi.b"/>
        <s v="gregg.winkel"/>
        <s v="ranjan.padhi"/>
        <s v="chris.watts"/>
        <m/>
      </sharedItems>
    </cacheField>
    <cacheField name="completion_status" numFmtId="0">
      <sharedItems containsBlank="1"/>
    </cacheField>
    <cacheField name="identify_scope" numFmtId="0">
      <sharedItems containsBlank="1"/>
    </cacheField>
    <cacheField name="incident_mechanics" numFmtId="0">
      <sharedItems containsBlank="1" containsMixedTypes="1" containsNumber="1" containsInteger="1" minValue="0" maxValue="0"/>
    </cacheField>
    <cacheField name="external_comms" numFmtId="0">
      <sharedItems containsBlank="1"/>
    </cacheField>
    <cacheField name="internal_comms" numFmtId="0">
      <sharedItems containsBlank="1" containsMixedTypes="1" containsNumber="1" containsInteger="1" minValue="0" maxValue="0"/>
    </cacheField>
    <cacheField name="commanding_the_incident" numFmtId="0">
      <sharedItems containsBlank="1" containsMixedTypes="1" containsNumber="1" containsInteger="1" minValue="0" maxValue="0"/>
    </cacheField>
    <cacheField name="Complexity: Ambiguous cues (multiple alternatives)" numFmtId="0">
      <sharedItems containsString="0" containsBlank="1" containsNumber="1" containsInteger="1" minValue="0" maxValue="1"/>
    </cacheField>
    <cacheField name="Complexity: Attention Demands" numFmtId="0">
      <sharedItems containsString="0" containsBlank="1" containsNumber="1" containsInteger="1" minValue="0" maxValue="1"/>
    </cacheField>
    <cacheField name="Complexity: Conflicting Advice" numFmtId="0">
      <sharedItems containsString="0" containsBlank="1" containsNumber="1" containsInteger="1" minValue="0" maxValue="1"/>
    </cacheField>
    <cacheField name="Complexity: Decreased access to team members" numFmtId="0">
      <sharedItems containsString="0" containsBlank="1" containsNumber="1" containsInteger="1" minValue="0" maxValue="1"/>
    </cacheField>
    <cacheField name="Complexity: Distributed information across individuals/organiza" numFmtId="0">
      <sharedItems containsString="0" containsBlank="1" containsNumber="1" containsInteger="1" minValue="0" maxValue="1"/>
    </cacheField>
    <cacheField name="Complexity: Doublebind situations (dilemmas)" numFmtId="0">
      <sharedItems containsString="0" containsBlank="1" containsNumber="1" containsInteger="1" minValue="0" maxValue="1"/>
    </cacheField>
    <cacheField name="Complexity: False prime explanations (garden path)" numFmtId="0">
      <sharedItems containsString="0" containsBlank="1" containsNumber="1" containsInteger="1" minValue="0" maxValue="1"/>
    </cacheField>
    <cacheField name="Complexity: Hidden coupling (effects at a distance; cascading e" numFmtId="0">
      <sharedItems containsString="0" containsBlank="1" containsNumber="1" containsInteger="1" minValue="0" maxValue="1"/>
    </cacheField>
    <cacheField name="Complexity: Implied relationship (red herring)" numFmtId="0">
      <sharedItems containsString="0" containsBlank="1" containsNumber="1" containsInteger="1" minValue="0" maxValue="1"/>
    </cacheField>
    <cacheField name="Complexity: Interdependencies amongst roles (someone needs some" numFmtId="0">
      <sharedItems containsString="0" containsBlank="1" containsNumber="1" containsInteger="1" minValue="0" maxValue="1"/>
    </cacheField>
    <cacheField name="Complexity: Lack of predefined plan" numFmtId="0">
      <sharedItems containsString="0" containsBlank="1" containsNumber="1" containsInteger="1" minValue="0" maxValue="1"/>
    </cacheField>
    <cacheField name="Complexity: Misleading indicators (low predictive value)" numFmtId="0">
      <sharedItems containsString="0" containsBlank="1" containsNumber="1" containsInteger="1" minValue="0" maxValue="1"/>
    </cacheField>
    <cacheField name="Complexity: Mismatch between prede fined plans or procedures an" numFmtId="0">
      <sharedItems containsString="0" containsBlank="1" containsNumber="1" containsInteger="1" minValue="0" maxValue="1"/>
    </cacheField>
    <cacheField name="Complexity: Missing Information" numFmtId="0">
      <sharedItems containsString="0" containsBlank="1" containsNumber="1" containsInteger="1" minValue="0" maxValue="1"/>
    </cacheField>
    <cacheField name="Complexity: Multi Party Dilema" numFmtId="0">
      <sharedItems containsString="0" containsBlank="1" containsNumber="1" containsInteger="1" minValue="0" maxValue="1"/>
    </cacheField>
    <cacheField name="Complexity: Multiple simultaneous influences (more than one exp" numFmtId="0">
      <sharedItems containsString="0" containsBlank="1" containsNumber="1" containsInteger="1" minValue="0" maxValue="0"/>
    </cacheField>
    <cacheField name="Complexity: Multiple simultaneous influences (multiple explanat" numFmtId="0">
      <sharedItems containsString="0" containsBlank="1" containsNumber="1" containsInteger="1" minValue="0" maxValue="1"/>
    </cacheField>
    <cacheField name="Complexity: Saturation" numFmtId="0">
      <sharedItems containsString="0" containsBlank="1" containsNumber="1" containsInteger="1" minValue="0" maxValue="1"/>
    </cacheField>
    <cacheField name="Complexity: Simultaneous seperate issues" numFmtId="0">
      <sharedItems containsString="0" containsBlank="1" containsNumber="1" containsInteger="1" minValue="0" maxValue="1"/>
    </cacheField>
    <cacheField name="Complexity: Stakeholder Interference" numFmtId="0">
      <sharedItems containsString="0" containsBlank="1" containsNumber="1" containsInteger="1" minValue="0" maxValue="1"/>
    </cacheField>
    <cacheField name="Complexity: Stereotype violations (not the usual suspect)" numFmtId="0">
      <sharedItems containsString="0" containsBlank="1" containsNumber="1" containsInteger="1" minValue="0" maxValue="1"/>
    </cacheField>
    <cacheField name="Complexity: Stress or fatigue" numFmtId="0">
      <sharedItems containsString="0" containsBlank="1" containsNumber="1" containsInteger="1" minValue="0" maxValue="1"/>
    </cacheField>
    <cacheField name="Complexity: Uncertain information (unreliable data)" numFmtId="0">
      <sharedItems containsString="0" containsBlank="1" containsNumber="1" containsInteger="1" minValue="0" maxValue="1"/>
    </cacheField>
    <cacheField name="Complexity: Unintended effects (managing side effects)" numFmtId="0">
      <sharedItems containsString="0" containsBlank="1" containsNumber="1" containsInteger="1" minValue="0" maxValue="1"/>
    </cacheField>
    <cacheField name="Complexity: Absence of strong signals (no alarms, no threshold" numFmtId="0">
      <sharedItems containsString="0" containsBlank="1" containsNumber="1" containsInteger="1" minValue="0" maxValue="1"/>
    </cacheField>
    <cacheField name="max" numFmtId="0">
      <sharedItems containsBlank="1"/>
    </cacheField>
    <cacheField name="Category: Detecting" numFmtId="0">
      <sharedItems containsString="0" containsBlank="1" containsNumber="1" containsInteger="1" minValue="0" maxValue="1"/>
    </cacheField>
    <cacheField name="Category: Sensemaking" numFmtId="0">
      <sharedItems containsString="0" containsBlank="1" containsNumber="1" containsInteger="1" minValue="0" maxValue="4"/>
    </cacheField>
    <cacheField name="Category: Planning" numFmtId="0">
      <sharedItems containsString="0" containsBlank="1" containsNumber="1" containsInteger="1" minValue="0" maxValue="2"/>
    </cacheField>
    <cacheField name="Category: Deciding" numFmtId="0">
      <sharedItems containsString="0" containsBlank="1" containsNumber="1" containsInteger="1" minValue="0" maxValue="2"/>
    </cacheField>
    <cacheField name="Category: Coordination" numFmtId="0">
      <sharedItems containsString="0" containsBlank="1" containsNumber="1" containsInteger="1" minValue="0" maxValue="2"/>
    </cacheField>
    <cacheField name="Category: Executing"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art rimell" refreshedDate="46125.635952777775" createdVersion="8" refreshedVersion="8" minRefreshableVersion="3" recordCount="155" xr:uid="{E982EF4D-8945-C64C-9DF8-72E1263DA3AC}">
  <cacheSource type="worksheet">
    <worksheetSource ref="A1:V1048576" sheet="GUOT"/>
  </cacheSource>
  <cacheFields count="22">
    <cacheField name="Date" numFmtId="0">
      <sharedItems containsNonDate="0" containsDate="1" containsString="0" containsBlank="1" minDate="2025-07-07T00:00:00" maxDate="2026-04-11T00:00:00"/>
    </cacheField>
    <cacheField name="month" numFmtId="0">
      <sharedItems containsNonDate="0" containsDate="1" containsString="0" containsBlank="1" minDate="2025-07-01T00:00:00" maxDate="2026-04-02T00:00:00" count="11">
        <d v="2025-07-01T00:00:00"/>
        <d v="2025-08-01T00:00:00"/>
        <d v="2025-09-01T00:00:00"/>
        <d v="2025-10-01T00:00:00"/>
        <d v="2025-11-01T00:00:00"/>
        <d v="2025-12-01T00:00:00"/>
        <d v="2026-01-01T00:00:00"/>
        <d v="2026-02-01T00:00:00"/>
        <d v="2026-03-01T00:00:00"/>
        <d v="2026-04-01T00:00:00"/>
        <m/>
      </sharedItems>
    </cacheField>
    <cacheField name="Time" numFmtId="0">
      <sharedItems containsNonDate="0" containsDate="1" containsString="0" containsBlank="1" minDate="1899-12-30T10:00:00" maxDate="1899-12-30T16:00:00"/>
    </cacheField>
    <cacheField name="Name" numFmtId="0">
      <sharedItems containsBlank="1"/>
    </cacheField>
    <cacheField name="Company" numFmtId="0">
      <sharedItems containsBlank="1"/>
    </cacheField>
    <cacheField name="Sessions Done" numFmtId="0">
      <sharedItems containsString="0" containsBlank="1" containsNumber="1" containsInteger="1" minValue="1" maxValue="18"/>
    </cacheField>
    <cacheField name="Session Plan" numFmtId="0">
      <sharedItems containsBlank="1"/>
    </cacheField>
    <cacheField name="AI" numFmtId="0">
      <sharedItems containsBlank="1"/>
    </cacheField>
    <cacheField name="Lead" numFmtId="0">
      <sharedItems containsBlank="1"/>
    </cacheField>
    <cacheField name="Star Guru" numFmtId="0">
      <sharedItems containsBlank="1"/>
    </cacheField>
    <cacheField name="Session Notes" numFmtId="0">
      <sharedItems containsBlank="1"/>
    </cacheField>
    <cacheField name="GUOT" numFmtId="0">
      <sharedItems containsBlank="1" containsMixedTypes="1" containsNumber="1" containsInteger="1" minValue="6" maxValue="10"/>
    </cacheField>
    <cacheField name="Score Notes" numFmtId="0">
      <sharedItems containsBlank="1" longText="1"/>
    </cacheField>
    <cacheField name="Session ID" numFmtId="0">
      <sharedItems containsString="0" containsBlank="1" containsNumber="1" containsInteger="1" minValue="4915" maxValue="8369"/>
    </cacheField>
    <cacheField name="Feedback Quality Score" numFmtId="0">
      <sharedItems containsBlank="1"/>
    </cacheField>
    <cacheField name="Feedback Notes" numFmtId="0">
      <sharedItems containsBlank="1"/>
    </cacheField>
    <cacheField name="Attendance" numFmtId="0">
      <sharedItems containsBlank="1"/>
    </cacheField>
    <cacheField name="Attendance Reason" numFmtId="0">
      <sharedItems containsNonDate="0" containsString="0" containsBlank="1"/>
    </cacheField>
    <cacheField name="INC #" numFmtId="0">
      <sharedItems containsBlank="1"/>
    </cacheField>
    <cacheField name="Technical Issues" numFmtId="0">
      <sharedItems containsBlank="1"/>
    </cacheField>
    <cacheField name="Technical Issue Reason" numFmtId="0">
      <sharedItems containsBlank="1"/>
    </cacheField>
    <cacheField name="Notes for Mildre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s v="2025-07-09 01:00:00.000 +0100"/>
    <x v="0"/>
    <s v="Wednesday"/>
    <d v="1899-12-30T00:13:29"/>
    <n v="3"/>
    <s v="Too Good To Be True"/>
    <x v="0"/>
    <s v="COMPLETED"/>
    <s v="0.33333333333333333333"/>
    <s v="1.00000000000000000000"/>
    <s v="0.83333333333333333333"/>
    <s v="0.40000000000000000000"/>
    <s v="0.09090909090909090909"/>
    <n v="0"/>
    <n v="0"/>
    <n v="1"/>
    <n v="0"/>
    <n v="0"/>
    <n v="0"/>
    <n v="0"/>
    <n v="0"/>
    <n v="0"/>
    <n v="0"/>
    <n v="0"/>
    <n v="0"/>
    <n v="0"/>
    <n v="0"/>
    <n v="0"/>
    <n v="0"/>
    <n v="0"/>
    <n v="0"/>
    <n v="0"/>
    <n v="0"/>
    <n v="0"/>
    <n v="0"/>
    <n v="1"/>
    <n v="0"/>
    <n v="0"/>
    <s v="-"/>
    <n v="0"/>
    <n v="1"/>
    <n v="2"/>
    <n v="0"/>
    <n v="0"/>
    <n v="0"/>
  </r>
  <r>
    <s v="2025-07-10 01:00:00.000 +0100"/>
    <x v="0"/>
    <s v="Thursday "/>
    <d v="1899-12-30T00:14:01"/>
    <n v="3"/>
    <s v="Too Good To Be True"/>
    <x v="1"/>
    <s v="COMPLETED"/>
    <s v="0.44444444444444444444"/>
    <s v="0.50000000000000000000"/>
    <s v="0.66666666666666666667"/>
    <s v="0.40000000000000000000"/>
    <s v="0.27272727272727272727"/>
    <n v="0"/>
    <n v="0"/>
    <n v="1"/>
    <n v="0"/>
    <n v="0"/>
    <n v="0"/>
    <n v="0"/>
    <n v="0"/>
    <n v="0"/>
    <n v="0"/>
    <n v="0"/>
    <n v="0"/>
    <n v="0"/>
    <n v="0"/>
    <n v="0"/>
    <n v="0"/>
    <n v="0"/>
    <n v="0"/>
    <n v="0"/>
    <n v="0"/>
    <n v="0"/>
    <n v="0"/>
    <n v="1"/>
    <n v="0"/>
    <n v="0"/>
    <s v="-"/>
    <n v="0"/>
    <n v="1"/>
    <n v="2"/>
    <n v="0"/>
    <n v="0"/>
    <n v="0"/>
  </r>
  <r>
    <s v="2025-07-14 01:00:00.000 +0100"/>
    <x v="0"/>
    <s v="Monday   "/>
    <d v="1899-12-30T00:16:59"/>
    <n v="3"/>
    <s v="Too Good To Be True"/>
    <x v="2"/>
    <s v="COMPLETED"/>
    <s v="0.77777777777777777778"/>
    <s v="1.00000000000000000000"/>
    <s v="0.66666666666666666667"/>
    <s v="0.53333333333333333333"/>
    <s v="0.36363636363636363636"/>
    <n v="0"/>
    <n v="0"/>
    <n v="1"/>
    <n v="0"/>
    <n v="0"/>
    <n v="0"/>
    <n v="0"/>
    <n v="0"/>
    <n v="0"/>
    <n v="0"/>
    <n v="0"/>
    <n v="0"/>
    <n v="0"/>
    <n v="0"/>
    <n v="0"/>
    <n v="0"/>
    <n v="0"/>
    <n v="0"/>
    <n v="0"/>
    <n v="0"/>
    <n v="0"/>
    <n v="0"/>
    <n v="1"/>
    <n v="0"/>
    <n v="0"/>
    <s v="-"/>
    <n v="0"/>
    <n v="1"/>
    <n v="2"/>
    <n v="0"/>
    <n v="0"/>
    <n v="0"/>
  </r>
  <r>
    <s v="2025-07-17 01:00:00.000 +0100"/>
    <x v="0"/>
    <s v="Thursday "/>
    <d v="1899-12-30T00:20:02"/>
    <n v="5"/>
    <s v="Bezs Beatles Day!"/>
    <x v="1"/>
    <s v="OUT_OF_TIME"/>
    <s v="0.22222222222222222222"/>
    <s v="1.00000000000000000000"/>
    <s v="0.66666666666666666667"/>
    <s v="0.20000000000000000000"/>
    <s v="0.09090909090909090909"/>
    <n v="0"/>
    <n v="0"/>
    <n v="1"/>
    <n v="0"/>
    <n v="0"/>
    <n v="0"/>
    <n v="0"/>
    <n v="0"/>
    <n v="0"/>
    <n v="0"/>
    <n v="0"/>
    <n v="1"/>
    <n v="0"/>
    <n v="0"/>
    <n v="0"/>
    <n v="0"/>
    <n v="0"/>
    <n v="0"/>
    <n v="0"/>
    <n v="0"/>
    <n v="0"/>
    <n v="0"/>
    <n v="0"/>
    <n v="0"/>
    <n v="0"/>
    <s v="-"/>
    <n v="0"/>
    <n v="1"/>
    <n v="1"/>
    <n v="0"/>
    <n v="0"/>
    <n v="0"/>
  </r>
  <r>
    <s v="2025-07-23 01:00:00.000 +0100"/>
    <x v="0"/>
    <s v="Wednesday"/>
    <d v="1899-12-30T00:15:40"/>
    <n v="5"/>
    <s v="Bezs Beatles Day!"/>
    <x v="0"/>
    <s v="COMPLETED"/>
    <s v="0.44444444444444444444"/>
    <s v="1.00000000000000000000"/>
    <s v="0.83333333333333333333"/>
    <s v="0.33333333333333333333"/>
    <s v="0.09090909090909090909"/>
    <n v="0"/>
    <n v="0"/>
    <n v="1"/>
    <n v="0"/>
    <n v="0"/>
    <n v="0"/>
    <n v="0"/>
    <n v="0"/>
    <n v="0"/>
    <n v="0"/>
    <n v="0"/>
    <n v="1"/>
    <n v="0"/>
    <n v="0"/>
    <n v="0"/>
    <n v="0"/>
    <n v="0"/>
    <n v="0"/>
    <n v="0"/>
    <n v="0"/>
    <n v="0"/>
    <n v="0"/>
    <n v="0"/>
    <n v="0"/>
    <n v="0"/>
    <s v="-"/>
    <n v="0"/>
    <n v="1"/>
    <n v="1"/>
    <n v="0"/>
    <n v="0"/>
    <n v="0"/>
  </r>
  <r>
    <s v="2025-07-23 01:00:00.000 +0100"/>
    <x v="0"/>
    <s v="Wednesday"/>
    <d v="1899-12-30T00:18:01"/>
    <n v="29"/>
    <s v="Too Good To Be True V2"/>
    <x v="3"/>
    <s v="COMPLETED"/>
    <s v="0.33333333333333333333"/>
    <s v="0.50000000000000000000"/>
    <s v="0.50000000000000000000"/>
    <s v="0.26666666666666666667"/>
    <s v="0.09090909090909090909"/>
    <n v="0"/>
    <n v="0"/>
    <n v="1"/>
    <n v="0"/>
    <n v="0"/>
    <n v="0"/>
    <n v="0"/>
    <n v="0"/>
    <n v="0"/>
    <n v="0"/>
    <n v="0"/>
    <n v="0"/>
    <n v="0"/>
    <n v="0"/>
    <n v="0"/>
    <n v="0"/>
    <n v="0"/>
    <n v="0"/>
    <n v="0"/>
    <n v="0"/>
    <n v="0"/>
    <n v="0"/>
    <n v="1"/>
    <n v="0"/>
    <n v="0"/>
    <s v="-"/>
    <n v="0"/>
    <n v="1"/>
    <n v="2"/>
    <n v="0"/>
    <n v="0"/>
    <n v="0"/>
  </r>
  <r>
    <s v="2025-07-24 01:00:00.000 +0100"/>
    <x v="0"/>
    <s v="Thursday "/>
    <d v="1899-12-30T00:20:02"/>
    <n v="5"/>
    <s v="Bezs Beatles Day!"/>
    <x v="2"/>
    <s v="OUT_OF_TIME"/>
    <s v="0.55555555555555555556"/>
    <s v="1.00000000000000000000"/>
    <s v="0.83333333333333333333"/>
    <s v="0.40000000000000000000"/>
    <s v="0.36363636363636363636"/>
    <n v="0"/>
    <n v="0"/>
    <n v="1"/>
    <n v="0"/>
    <n v="0"/>
    <n v="0"/>
    <n v="0"/>
    <n v="0"/>
    <n v="0"/>
    <n v="0"/>
    <n v="0"/>
    <n v="1"/>
    <n v="0"/>
    <n v="0"/>
    <n v="0"/>
    <n v="0"/>
    <n v="0"/>
    <n v="0"/>
    <n v="0"/>
    <n v="0"/>
    <n v="0"/>
    <n v="0"/>
    <n v="0"/>
    <n v="0"/>
    <n v="0"/>
    <s v="-"/>
    <n v="0"/>
    <n v="1"/>
    <n v="1"/>
    <n v="0"/>
    <n v="0"/>
    <n v="0"/>
  </r>
  <r>
    <s v="2025-07-28 01:00:00.000 +0100"/>
    <x v="0"/>
    <s v="Monday   "/>
    <d v="1899-12-30T00:20:46"/>
    <n v="6"/>
    <s v="The Big Investor"/>
    <x v="2"/>
    <s v="COMPLETED"/>
    <s v="0.44444444444444444444"/>
    <s v="0.50000000000000000000"/>
    <s v="0.83333333333333333333"/>
    <s v="0.46666666666666666667"/>
    <s v="0.27272727272727272727"/>
    <n v="0"/>
    <n v="0"/>
    <n v="0"/>
    <n v="0"/>
    <n v="0"/>
    <n v="0"/>
    <n v="0"/>
    <n v="0"/>
    <n v="1"/>
    <n v="0"/>
    <n v="0"/>
    <n v="0"/>
    <n v="0"/>
    <n v="0"/>
    <n v="0"/>
    <n v="0"/>
    <n v="0"/>
    <n v="0"/>
    <n v="0"/>
    <n v="1"/>
    <n v="1"/>
    <n v="1"/>
    <n v="0"/>
    <n v="0"/>
    <n v="0"/>
    <s v="-"/>
    <n v="0"/>
    <n v="2"/>
    <n v="0"/>
    <n v="2"/>
    <n v="0"/>
    <n v="0"/>
  </r>
  <r>
    <s v="2025-07-30 01:00:00.000 +0100"/>
    <x v="0"/>
    <s v="Wednesday"/>
    <d v="1899-12-30T00:20:02"/>
    <n v="5"/>
    <s v="Bezs Beatles Day!"/>
    <x v="3"/>
    <s v="OUT_OF_TIME"/>
    <s v="0.33333333333333333333"/>
    <s v="1.00000000000000000000"/>
    <s v="0.50000000000000000000"/>
    <s v="0.33333333333333333333"/>
    <s v="0.27272727272727272727"/>
    <n v="0"/>
    <n v="0"/>
    <n v="1"/>
    <n v="0"/>
    <n v="0"/>
    <n v="0"/>
    <n v="0"/>
    <n v="0"/>
    <n v="0"/>
    <n v="0"/>
    <n v="0"/>
    <n v="1"/>
    <n v="0"/>
    <n v="0"/>
    <n v="0"/>
    <n v="0"/>
    <n v="0"/>
    <n v="0"/>
    <n v="0"/>
    <n v="0"/>
    <n v="0"/>
    <n v="0"/>
    <n v="0"/>
    <n v="0"/>
    <n v="0"/>
    <s v="-"/>
    <n v="0"/>
    <n v="1"/>
    <n v="1"/>
    <n v="0"/>
    <n v="0"/>
    <n v="0"/>
  </r>
  <r>
    <s v="2025-07-30 01:00:00.000 +0100"/>
    <x v="0"/>
    <s v="Wednesday"/>
    <d v="1899-12-30T00:17:15"/>
    <n v="6"/>
    <s v="The Big Investor"/>
    <x v="0"/>
    <s v="COMPLETED"/>
    <s v="0.55555555555555555556"/>
    <s v="1.00000000000000000000"/>
    <s v="0.66666666666666666667"/>
    <s v="0.33333333333333333333"/>
    <s v="0.36363636363636363636"/>
    <n v="0"/>
    <n v="0"/>
    <n v="0"/>
    <n v="0"/>
    <n v="0"/>
    <n v="0"/>
    <n v="0"/>
    <n v="0"/>
    <n v="1"/>
    <n v="0"/>
    <n v="0"/>
    <n v="0"/>
    <n v="0"/>
    <n v="0"/>
    <n v="0"/>
    <n v="0"/>
    <n v="0"/>
    <n v="0"/>
    <n v="0"/>
    <n v="1"/>
    <n v="1"/>
    <n v="1"/>
    <n v="0"/>
    <n v="0"/>
    <n v="0"/>
    <s v="-"/>
    <n v="0"/>
    <n v="2"/>
    <n v="0"/>
    <n v="2"/>
    <n v="0"/>
    <n v="0"/>
  </r>
  <r>
    <s v="2025-08-04 01:00:00.000 +0100"/>
    <x v="1"/>
    <s v="Monday   "/>
    <d v="1899-12-30T00:19:31"/>
    <n v="7"/>
    <s v="Rumours"/>
    <x v="2"/>
    <s v="COMPLETED"/>
    <s v="0.55555555555555555556"/>
    <s v="1.00000000000000000000"/>
    <s v="0.50000000000000000000"/>
    <s v="0.20000000000000000000"/>
    <s v="0.09090909090909090909"/>
    <n v="0"/>
    <n v="0"/>
    <n v="0"/>
    <n v="0"/>
    <n v="0"/>
    <n v="0"/>
    <n v="1"/>
    <n v="0"/>
    <n v="1"/>
    <n v="0"/>
    <n v="0"/>
    <n v="0"/>
    <n v="0"/>
    <n v="0"/>
    <n v="0"/>
    <n v="0"/>
    <n v="0"/>
    <n v="0"/>
    <n v="0"/>
    <n v="0"/>
    <n v="0"/>
    <n v="1"/>
    <n v="0"/>
    <n v="0"/>
    <n v="0"/>
    <s v="-"/>
    <n v="0"/>
    <n v="2"/>
    <n v="0"/>
    <n v="1"/>
    <n v="0"/>
    <n v="0"/>
  </r>
  <r>
    <s v="2025-08-07 01:00:00.000 +0100"/>
    <x v="1"/>
    <s v="Thursday "/>
    <d v="1899-12-30T00:20:01"/>
    <n v="6"/>
    <s v="The Big Investor"/>
    <x v="1"/>
    <s v="OUT_OF_TIME"/>
    <s v="0.22222222222222222222"/>
    <s v="1.00000000000000000000"/>
    <s v="0.50000000000000000000"/>
    <s v="0.26666666666666666667"/>
    <s v="0.09090909090909090909"/>
    <n v="0"/>
    <n v="0"/>
    <n v="0"/>
    <n v="0"/>
    <n v="0"/>
    <n v="0"/>
    <n v="0"/>
    <n v="0"/>
    <n v="1"/>
    <n v="0"/>
    <n v="0"/>
    <n v="0"/>
    <n v="0"/>
    <n v="0"/>
    <n v="0"/>
    <n v="0"/>
    <n v="0"/>
    <n v="0"/>
    <n v="0"/>
    <n v="1"/>
    <n v="1"/>
    <n v="1"/>
    <n v="0"/>
    <n v="0"/>
    <n v="0"/>
    <s v="-"/>
    <n v="0"/>
    <n v="2"/>
    <n v="0"/>
    <n v="2"/>
    <n v="0"/>
    <n v="0"/>
  </r>
  <r>
    <s v="2025-08-07 01:00:00.000 +0100"/>
    <x v="1"/>
    <s v="Thursday "/>
    <d v="1899-12-30T00:20:01"/>
    <n v="6"/>
    <s v="The Big Investor"/>
    <x v="3"/>
    <s v="OUT_OF_TIME"/>
    <s v="0.33333333333333333333"/>
    <s v="1.00000000000000000000"/>
    <s v="0.33333333333333333333"/>
    <s v="0.26666666666666666667"/>
    <s v="0.09090909090909090909"/>
    <n v="0"/>
    <n v="0"/>
    <n v="0"/>
    <n v="0"/>
    <n v="0"/>
    <n v="0"/>
    <n v="0"/>
    <n v="0"/>
    <n v="1"/>
    <n v="0"/>
    <n v="0"/>
    <n v="0"/>
    <n v="0"/>
    <n v="0"/>
    <n v="0"/>
    <n v="0"/>
    <n v="0"/>
    <n v="0"/>
    <n v="0"/>
    <n v="1"/>
    <n v="1"/>
    <n v="1"/>
    <n v="0"/>
    <n v="0"/>
    <n v="0"/>
    <s v="-"/>
    <n v="0"/>
    <n v="2"/>
    <n v="0"/>
    <n v="2"/>
    <n v="0"/>
    <n v="0"/>
  </r>
  <r>
    <s v="2025-08-20 01:00:00.000 +0100"/>
    <x v="1"/>
    <s v="Wednesday"/>
    <d v="1899-12-30T00:07:33"/>
    <n v="7"/>
    <s v="Rumours"/>
    <x v="3"/>
    <s v="COMPLETED"/>
    <s v="0.55555555555555555556"/>
    <s v="1.00000000000000000000"/>
    <s v="0.50000000000000000000"/>
    <s v="0.13333333333333333333"/>
    <s v="0.27272727272727272727"/>
    <n v="0"/>
    <n v="0"/>
    <n v="0"/>
    <n v="0"/>
    <n v="0"/>
    <n v="0"/>
    <n v="1"/>
    <n v="0"/>
    <n v="1"/>
    <n v="0"/>
    <n v="0"/>
    <n v="0"/>
    <n v="0"/>
    <n v="0"/>
    <n v="0"/>
    <n v="0"/>
    <n v="0"/>
    <n v="0"/>
    <n v="0"/>
    <n v="0"/>
    <n v="0"/>
    <n v="1"/>
    <n v="0"/>
    <n v="0"/>
    <n v="0"/>
    <s v="-"/>
    <n v="0"/>
    <n v="2"/>
    <n v="0"/>
    <n v="1"/>
    <n v="0"/>
    <n v="0"/>
  </r>
  <r>
    <s v="2025-08-20 01:00:00.000 +0100"/>
    <x v="1"/>
    <s v="Wednesday"/>
    <d v="1899-12-30T00:12:27"/>
    <n v="7"/>
    <s v="Rumours"/>
    <x v="0"/>
    <s v="COMPLETED"/>
    <s v="0.66666666666666666667"/>
    <s v="1.00000000000000000000"/>
    <s v="0.83333333333333333333"/>
    <s v="0.33333333333333333333"/>
    <s v="0.54545454545454545455"/>
    <n v="0"/>
    <n v="0"/>
    <n v="0"/>
    <n v="0"/>
    <n v="0"/>
    <n v="0"/>
    <n v="1"/>
    <n v="0"/>
    <n v="1"/>
    <n v="0"/>
    <n v="0"/>
    <n v="0"/>
    <n v="0"/>
    <n v="0"/>
    <n v="0"/>
    <n v="0"/>
    <n v="0"/>
    <n v="0"/>
    <n v="0"/>
    <n v="0"/>
    <n v="0"/>
    <n v="1"/>
    <n v="0"/>
    <n v="0"/>
    <n v="0"/>
    <s v="-"/>
    <n v="0"/>
    <n v="2"/>
    <n v="0"/>
    <n v="1"/>
    <n v="0"/>
    <n v="0"/>
  </r>
  <r>
    <s v="2025-08-21 01:00:00.000 +0100"/>
    <x v="1"/>
    <s v="Thursday "/>
    <d v="1899-12-30T00:19:06"/>
    <n v="7"/>
    <s v="Rumours"/>
    <x v="1"/>
    <s v="COMPLETED"/>
    <s v="0.44444444444444444444"/>
    <s v="0.50000000000000000000"/>
    <s v="0.33333333333333333333"/>
    <s v="0.26666666666666666667"/>
    <s v="0.18181818181818181818"/>
    <n v="0"/>
    <n v="0"/>
    <n v="0"/>
    <n v="0"/>
    <n v="0"/>
    <n v="0"/>
    <n v="1"/>
    <n v="0"/>
    <n v="1"/>
    <n v="0"/>
    <n v="0"/>
    <n v="0"/>
    <n v="0"/>
    <n v="0"/>
    <n v="0"/>
    <n v="0"/>
    <n v="0"/>
    <n v="0"/>
    <n v="0"/>
    <n v="0"/>
    <n v="0"/>
    <n v="1"/>
    <n v="0"/>
    <n v="0"/>
    <n v="0"/>
    <s v="-"/>
    <n v="0"/>
    <n v="2"/>
    <n v="0"/>
    <n v="1"/>
    <n v="0"/>
    <n v="0"/>
  </r>
  <r>
    <s v="2025-08-21 01:00:00.000 +0100"/>
    <x v="1"/>
    <s v="Thursday "/>
    <d v="1899-12-30T00:20:33"/>
    <n v="29"/>
    <s v="Too Good To Be True V2"/>
    <x v="4"/>
    <s v="COMPLETED"/>
    <s v="0.55555555555555555556"/>
    <s v="1.00000000000000000000"/>
    <s v="0.66666666666666666667"/>
    <s v="0.46666666666666666667"/>
    <s v="0.18181818181818181818"/>
    <n v="0"/>
    <n v="0"/>
    <n v="1"/>
    <n v="0"/>
    <n v="0"/>
    <n v="0"/>
    <n v="0"/>
    <n v="0"/>
    <n v="0"/>
    <n v="0"/>
    <n v="0"/>
    <n v="0"/>
    <n v="0"/>
    <n v="0"/>
    <n v="0"/>
    <n v="0"/>
    <n v="0"/>
    <n v="0"/>
    <n v="0"/>
    <n v="0"/>
    <n v="0"/>
    <n v="0"/>
    <n v="1"/>
    <n v="0"/>
    <n v="0"/>
    <s v="-"/>
    <n v="0"/>
    <n v="1"/>
    <n v="2"/>
    <n v="0"/>
    <n v="0"/>
    <n v="0"/>
  </r>
  <r>
    <s v="2025-08-22 01:00:00.000 +0100"/>
    <x v="1"/>
    <s v="Friday   "/>
    <d v="1899-12-30T00:15:01"/>
    <n v="27"/>
    <s v="First day blues"/>
    <x v="5"/>
    <s v="OUT_OF_TIME"/>
    <s v="0.11111111111111111111"/>
    <s v="0.50000000000000000000"/>
    <s v="0.33333333333333333333"/>
    <s v="0.26666666666666666667"/>
    <s v="0.18181818181818181818"/>
    <n v="0"/>
    <n v="0"/>
    <n v="1"/>
    <n v="0"/>
    <n v="0"/>
    <n v="0"/>
    <n v="0"/>
    <n v="0"/>
    <n v="0"/>
    <n v="0"/>
    <n v="0"/>
    <n v="0"/>
    <n v="0"/>
    <n v="0"/>
    <n v="0"/>
    <n v="0"/>
    <n v="0"/>
    <n v="0"/>
    <n v="0"/>
    <n v="0"/>
    <n v="0"/>
    <n v="0"/>
    <n v="0"/>
    <n v="0"/>
    <n v="0"/>
    <s v="-"/>
    <n v="0"/>
    <n v="0"/>
    <n v="1"/>
    <n v="0"/>
    <n v="0"/>
    <n v="0"/>
  </r>
  <r>
    <s v="2025-08-29 01:00:00.000 +0100"/>
    <x v="1"/>
    <s v="Friday   "/>
    <d v="1899-12-30T00:15:40"/>
    <n v="14"/>
    <s v="Missing Delivery"/>
    <x v="3"/>
    <s v="COMPLETED"/>
    <s v="0.44444444444444444444"/>
    <s v="1.00000000000000000000"/>
    <s v="0.50000000000000000000"/>
    <s v="0.20000000000000000000"/>
    <s v="0.27272727272727272727"/>
    <n v="0"/>
    <n v="0"/>
    <n v="0"/>
    <n v="0"/>
    <n v="0"/>
    <n v="0"/>
    <n v="0"/>
    <n v="0"/>
    <n v="1"/>
    <n v="1"/>
    <n v="0"/>
    <n v="0"/>
    <n v="0"/>
    <n v="0"/>
    <n v="1"/>
    <n v="0"/>
    <n v="0"/>
    <n v="0"/>
    <n v="0"/>
    <n v="0"/>
    <n v="0"/>
    <n v="0"/>
    <n v="0"/>
    <n v="0"/>
    <n v="0"/>
    <s v="-"/>
    <n v="1"/>
    <n v="2"/>
    <n v="1"/>
    <n v="1"/>
    <n v="2"/>
    <n v="1"/>
  </r>
  <r>
    <s v="2025-09-02 01:00:00.000 +0100"/>
    <x v="2"/>
    <s v="Tuesday  "/>
    <d v="1899-12-30T00:18:53"/>
    <n v="16"/>
    <s v="Radio Silence"/>
    <x v="2"/>
    <s v="COMPLETED"/>
    <s v="0.66666666666666666667"/>
    <s v="1.00000000000000000000"/>
    <s v="0.66666666666666666667"/>
    <s v="0.33333333333333333333"/>
    <s v="0.18181818181818181818"/>
    <n v="0"/>
    <n v="0"/>
    <n v="0"/>
    <n v="1"/>
    <n v="0"/>
    <n v="0"/>
    <n v="0"/>
    <n v="0"/>
    <n v="0"/>
    <n v="0"/>
    <n v="0"/>
    <n v="0"/>
    <n v="0"/>
    <n v="1"/>
    <n v="0"/>
    <n v="0"/>
    <n v="0"/>
    <n v="0"/>
    <n v="0"/>
    <n v="0"/>
    <n v="0"/>
    <n v="0"/>
    <n v="0"/>
    <n v="0"/>
    <n v="0"/>
    <s v="-"/>
    <n v="0"/>
    <n v="1"/>
    <n v="0"/>
    <n v="0"/>
    <n v="1"/>
    <n v="0"/>
  </r>
  <r>
    <s v="2025-09-03 01:00:00.000 +0100"/>
    <x v="2"/>
    <s v="Wednesday"/>
    <d v="1899-12-30T00:10:47"/>
    <n v="29"/>
    <s v="Too Good To Be True V2"/>
    <x v="6"/>
    <s v="COMPLETED"/>
    <s v="0.44444444444444444444"/>
    <s v="1.00000000000000000000"/>
    <s v="0.50000000000000000000"/>
    <s v="0.33333333333333333333"/>
    <s v="0.18181818181818181818"/>
    <n v="0"/>
    <n v="0"/>
    <n v="1"/>
    <n v="0"/>
    <n v="0"/>
    <n v="0"/>
    <n v="0"/>
    <n v="0"/>
    <n v="0"/>
    <n v="0"/>
    <n v="0"/>
    <n v="0"/>
    <n v="0"/>
    <n v="0"/>
    <n v="0"/>
    <n v="0"/>
    <n v="0"/>
    <n v="0"/>
    <n v="0"/>
    <n v="0"/>
    <n v="0"/>
    <n v="0"/>
    <n v="1"/>
    <n v="0"/>
    <n v="0"/>
    <s v="-"/>
    <n v="0"/>
    <n v="1"/>
    <n v="2"/>
    <n v="0"/>
    <n v="0"/>
    <n v="0"/>
  </r>
  <r>
    <s v="2025-09-04 01:00:00.000 +0100"/>
    <x v="2"/>
    <s v="Thursday "/>
    <d v="1899-12-30T00:12:57"/>
    <n v="31"/>
    <s v="Bezs Beatles Day! V2"/>
    <x v="7"/>
    <s v="COMPLETED"/>
    <s v="0.22222222222222222222"/>
    <s v="1.00000000000000000000"/>
    <s v="0.66666666666666666667"/>
    <s v="0.26666666666666666667"/>
    <s v="0.09090909090909090909"/>
    <n v="0"/>
    <n v="0"/>
    <n v="1"/>
    <n v="0"/>
    <n v="0"/>
    <n v="0"/>
    <n v="0"/>
    <n v="0"/>
    <n v="0"/>
    <n v="0"/>
    <n v="0"/>
    <n v="1"/>
    <n v="0"/>
    <n v="0"/>
    <n v="0"/>
    <n v="0"/>
    <n v="0"/>
    <n v="0"/>
    <n v="0"/>
    <n v="0"/>
    <n v="0"/>
    <n v="0"/>
    <n v="0"/>
    <n v="0"/>
    <n v="0"/>
    <s v="-"/>
    <n v="0"/>
    <n v="1"/>
    <n v="1"/>
    <n v="0"/>
    <n v="0"/>
    <n v="0"/>
  </r>
  <r>
    <s v="2025-09-04 01:00:00.000 +0100"/>
    <x v="2"/>
    <s v="Thursday "/>
    <d v="1899-12-30T00:20:02"/>
    <n v="31"/>
    <s v="Bezs Beatles Day! V2"/>
    <x v="4"/>
    <s v="OUT_OF_TIME"/>
    <s v="0.66666666666666666667"/>
    <s v="1.00000000000000000000"/>
    <s v="0.66666666666666666667"/>
    <s v="0.26666666666666666667"/>
    <n v="0"/>
    <n v="0"/>
    <n v="0"/>
    <n v="1"/>
    <n v="0"/>
    <n v="0"/>
    <n v="0"/>
    <n v="0"/>
    <n v="0"/>
    <n v="0"/>
    <n v="0"/>
    <n v="0"/>
    <n v="1"/>
    <n v="0"/>
    <n v="0"/>
    <n v="0"/>
    <n v="0"/>
    <n v="0"/>
    <n v="0"/>
    <n v="0"/>
    <n v="0"/>
    <n v="0"/>
    <n v="0"/>
    <n v="0"/>
    <n v="0"/>
    <n v="0"/>
    <s v="-"/>
    <n v="0"/>
    <n v="1"/>
    <n v="1"/>
    <n v="0"/>
    <n v="0"/>
    <n v="0"/>
  </r>
  <r>
    <s v="2025-09-05 01:00:00.000 +0100"/>
    <x v="2"/>
    <s v="Friday   "/>
    <d v="1899-12-30T00:20:01"/>
    <n v="31"/>
    <s v="Bezs Beatles Day! V2"/>
    <x v="5"/>
    <s v="OUT_OF_TIME"/>
    <s v="0.44444444444444444444"/>
    <s v="0.50000000000000000000"/>
    <s v="0.50000000000000000000"/>
    <s v="0.60000000000000000000"/>
    <s v="0.27272727272727272727"/>
    <n v="0"/>
    <n v="0"/>
    <n v="1"/>
    <n v="0"/>
    <n v="0"/>
    <n v="0"/>
    <n v="0"/>
    <n v="0"/>
    <n v="0"/>
    <n v="0"/>
    <n v="0"/>
    <n v="1"/>
    <n v="0"/>
    <n v="0"/>
    <n v="0"/>
    <n v="0"/>
    <n v="0"/>
    <n v="0"/>
    <n v="0"/>
    <n v="0"/>
    <n v="0"/>
    <n v="0"/>
    <n v="0"/>
    <n v="0"/>
    <n v="0"/>
    <s v="-"/>
    <n v="0"/>
    <n v="1"/>
    <n v="1"/>
    <n v="0"/>
    <n v="0"/>
    <n v="0"/>
  </r>
  <r>
    <s v="2025-09-05 01:00:00.000 +0100"/>
    <x v="2"/>
    <s v="Friday   "/>
    <d v="1899-12-30T00:20:01"/>
    <n v="16"/>
    <s v="Radio Silence"/>
    <x v="3"/>
    <s v="OUT_OF_TIME"/>
    <s v="0.22222222222222222222"/>
    <s v="1.00000000000000000000"/>
    <s v="0.50000000000000000000"/>
    <s v="0.33333333333333333333"/>
    <s v="0.27272727272727272727"/>
    <n v="0"/>
    <n v="0"/>
    <n v="0"/>
    <n v="1"/>
    <n v="0"/>
    <n v="0"/>
    <n v="0"/>
    <n v="0"/>
    <n v="0"/>
    <n v="0"/>
    <n v="0"/>
    <n v="0"/>
    <n v="0"/>
    <n v="1"/>
    <n v="0"/>
    <n v="0"/>
    <n v="0"/>
    <n v="0"/>
    <n v="0"/>
    <n v="0"/>
    <n v="0"/>
    <n v="0"/>
    <n v="0"/>
    <n v="0"/>
    <n v="0"/>
    <s v="-"/>
    <n v="0"/>
    <n v="1"/>
    <n v="0"/>
    <n v="0"/>
    <n v="1"/>
    <n v="0"/>
  </r>
  <r>
    <s v="2025-09-05 01:00:00.000 +0100"/>
    <x v="2"/>
    <s v="Friday   "/>
    <d v="1899-12-30T00:18:59"/>
    <n v="29"/>
    <s v="Too Good To Be True V2"/>
    <x v="8"/>
    <s v="COMPLETED"/>
    <s v="0.44444444444444444444"/>
    <s v="1.00000000000000000000"/>
    <s v="0.50000000000000000000"/>
    <s v="0.26666666666666666667"/>
    <s v="0.27272727272727272727"/>
    <n v="0"/>
    <n v="0"/>
    <n v="1"/>
    <n v="0"/>
    <n v="0"/>
    <n v="0"/>
    <n v="0"/>
    <n v="0"/>
    <n v="0"/>
    <n v="0"/>
    <n v="0"/>
    <n v="0"/>
    <n v="0"/>
    <n v="0"/>
    <n v="0"/>
    <n v="0"/>
    <n v="0"/>
    <n v="0"/>
    <n v="0"/>
    <n v="0"/>
    <n v="0"/>
    <n v="0"/>
    <n v="1"/>
    <n v="0"/>
    <n v="0"/>
    <s v="-"/>
    <n v="0"/>
    <n v="1"/>
    <n v="2"/>
    <n v="0"/>
    <n v="0"/>
    <n v="0"/>
  </r>
  <r>
    <s v="2025-09-10 01:00:00.000 +0100"/>
    <x v="2"/>
    <s v="Wednesday"/>
    <d v="1899-12-30T00:18:49"/>
    <n v="31"/>
    <s v="Bezs Beatles Day! V2"/>
    <x v="6"/>
    <s v="COMPLETED"/>
    <s v="0.44444444444444444444"/>
    <s v="1.00000000000000000000"/>
    <s v="0.66666666666666666667"/>
    <s v="0.33333333333333333333"/>
    <s v="0.09090909090909090909"/>
    <n v="0"/>
    <n v="0"/>
    <n v="1"/>
    <n v="0"/>
    <n v="0"/>
    <n v="0"/>
    <n v="0"/>
    <n v="0"/>
    <n v="0"/>
    <n v="0"/>
    <n v="0"/>
    <n v="1"/>
    <n v="0"/>
    <n v="0"/>
    <n v="0"/>
    <n v="0"/>
    <n v="0"/>
    <n v="0"/>
    <n v="0"/>
    <n v="0"/>
    <n v="0"/>
    <n v="0"/>
    <n v="0"/>
    <n v="0"/>
    <n v="0"/>
    <s v="-"/>
    <n v="0"/>
    <n v="1"/>
    <n v="1"/>
    <n v="0"/>
    <n v="0"/>
    <n v="0"/>
  </r>
  <r>
    <s v="2025-09-10 01:00:00.000 +0100"/>
    <x v="2"/>
    <s v="Wednesday"/>
    <d v="1899-12-30T00:15:54"/>
    <n v="14"/>
    <s v="Missing Delivery"/>
    <x v="0"/>
    <s v="COMPLETED"/>
    <s v="0.77777777777777777778"/>
    <s v="1.00000000000000000000"/>
    <s v="0.66666666666666666667"/>
    <s v="0.80000000000000000000"/>
    <s v="0.63636363636363636364"/>
    <n v="0"/>
    <n v="0"/>
    <n v="0"/>
    <n v="0"/>
    <n v="0"/>
    <n v="0"/>
    <n v="0"/>
    <n v="0"/>
    <n v="1"/>
    <n v="1"/>
    <n v="0"/>
    <n v="0"/>
    <n v="0"/>
    <n v="0"/>
    <n v="1"/>
    <n v="0"/>
    <n v="0"/>
    <n v="0"/>
    <n v="0"/>
    <n v="0"/>
    <n v="0"/>
    <n v="0"/>
    <n v="0"/>
    <n v="0"/>
    <n v="0"/>
    <s v="-"/>
    <n v="1"/>
    <n v="2"/>
    <n v="1"/>
    <n v="1"/>
    <n v="2"/>
    <n v="1"/>
  </r>
  <r>
    <s v="2025-09-11 01:00:00.000 +0100"/>
    <x v="2"/>
    <s v="Thursday "/>
    <d v="1899-12-30T00:19:12"/>
    <n v="6"/>
    <s v="The Big Investor"/>
    <x v="7"/>
    <s v="COMPLETED"/>
    <s v="0.33333333333333333333"/>
    <s v="1.00000000000000000000"/>
    <s v="0.33333333333333333333"/>
    <s v="0.46666666666666666667"/>
    <s v="0.27272727272727272727"/>
    <n v="0"/>
    <n v="0"/>
    <n v="0"/>
    <n v="0"/>
    <n v="0"/>
    <n v="0"/>
    <n v="0"/>
    <n v="0"/>
    <n v="1"/>
    <n v="0"/>
    <n v="0"/>
    <n v="0"/>
    <n v="0"/>
    <n v="0"/>
    <n v="0"/>
    <n v="0"/>
    <n v="0"/>
    <n v="0"/>
    <n v="0"/>
    <n v="1"/>
    <n v="1"/>
    <n v="1"/>
    <n v="0"/>
    <n v="0"/>
    <n v="0"/>
    <s v="-"/>
    <n v="0"/>
    <n v="2"/>
    <n v="0"/>
    <n v="2"/>
    <n v="0"/>
    <n v="0"/>
  </r>
  <r>
    <s v="2025-09-12 01:00:00.000 +0100"/>
    <x v="2"/>
    <s v="Friday   "/>
    <d v="1899-12-30T00:20:01"/>
    <n v="4"/>
    <s v="Roblox"/>
    <x v="3"/>
    <s v="OUT_OF_TIME"/>
    <s v="0.22222222222222222222"/>
    <s v="1.00000000000000000000"/>
    <s v="0.33333333333333333333"/>
    <s v="0.26666666666666666667"/>
    <s v="0.18181818181818181818"/>
    <n v="1"/>
    <n v="0"/>
    <n v="0"/>
    <n v="0"/>
    <n v="0"/>
    <n v="0"/>
    <n v="0"/>
    <n v="0"/>
    <n v="0"/>
    <n v="0"/>
    <n v="0"/>
    <n v="0"/>
    <n v="0"/>
    <n v="0"/>
    <n v="1"/>
    <n v="0"/>
    <n v="1"/>
    <n v="0"/>
    <n v="1"/>
    <n v="0"/>
    <n v="0"/>
    <n v="0"/>
    <n v="0"/>
    <n v="0"/>
    <n v="0"/>
    <s v="-"/>
    <n v="1"/>
    <n v="4"/>
    <n v="1"/>
    <n v="1"/>
    <n v="1"/>
    <n v="1"/>
  </r>
  <r>
    <s v="2025-09-12 01:00:00.000 +0100"/>
    <x v="2"/>
    <s v="Friday   "/>
    <d v="1899-12-30T00:18:30"/>
    <n v="31"/>
    <s v="Bezs Beatles Day! V2"/>
    <x v="8"/>
    <s v="COMPLETED"/>
    <s v="0.55555555555555555556"/>
    <s v="1.00000000000000000000"/>
    <s v="0.33333333333333333333"/>
    <s v="0.26666666666666666667"/>
    <s v="0.09090909090909090909"/>
    <n v="0"/>
    <n v="0"/>
    <n v="1"/>
    <n v="0"/>
    <n v="0"/>
    <n v="0"/>
    <n v="0"/>
    <n v="0"/>
    <n v="0"/>
    <n v="0"/>
    <n v="0"/>
    <n v="1"/>
    <n v="0"/>
    <n v="0"/>
    <n v="0"/>
    <n v="0"/>
    <n v="0"/>
    <n v="0"/>
    <n v="0"/>
    <n v="0"/>
    <n v="0"/>
    <n v="0"/>
    <n v="0"/>
    <n v="0"/>
    <n v="0"/>
    <s v="-"/>
    <n v="0"/>
    <n v="1"/>
    <n v="1"/>
    <n v="0"/>
    <n v="0"/>
    <n v="0"/>
  </r>
  <r>
    <s v="2025-09-18 01:00:00.000 +0100"/>
    <x v="2"/>
    <s v="Thursday "/>
    <d v="1899-12-30T00:13:10"/>
    <n v="7"/>
    <s v="Rumours"/>
    <x v="7"/>
    <s v="COMPLETED"/>
    <s v="0.44444444444444444444"/>
    <s v="0.50000000000000000000"/>
    <s v="0.16666666666666666667"/>
    <s v="0.46666666666666666667"/>
    <s v="0.27272727272727272727"/>
    <n v="0"/>
    <n v="0"/>
    <n v="0"/>
    <n v="0"/>
    <n v="0"/>
    <n v="0"/>
    <n v="1"/>
    <n v="0"/>
    <n v="1"/>
    <n v="0"/>
    <n v="0"/>
    <n v="0"/>
    <n v="0"/>
    <n v="0"/>
    <n v="0"/>
    <n v="0"/>
    <n v="0"/>
    <n v="0"/>
    <n v="0"/>
    <n v="0"/>
    <n v="0"/>
    <n v="1"/>
    <n v="0"/>
    <n v="0"/>
    <n v="0"/>
    <s v="-"/>
    <n v="0"/>
    <n v="2"/>
    <n v="0"/>
    <n v="1"/>
    <n v="0"/>
    <n v="0"/>
  </r>
  <r>
    <s v="2025-09-18 01:00:00.000 +0100"/>
    <x v="2"/>
    <s v="Thursday "/>
    <d v="1899-12-30T00:20:01"/>
    <n v="6"/>
    <s v="The Big Investor"/>
    <x v="4"/>
    <s v="OUT_OF_TIME"/>
    <s v="0.55555555555555555556"/>
    <s v="1.00000000000000000000"/>
    <s v="0.83333333333333333333"/>
    <s v="0.46666666666666666667"/>
    <s v="0.27272727272727272727"/>
    <n v="0"/>
    <n v="0"/>
    <n v="0"/>
    <n v="0"/>
    <n v="0"/>
    <n v="0"/>
    <n v="0"/>
    <n v="0"/>
    <n v="1"/>
    <n v="0"/>
    <n v="0"/>
    <n v="0"/>
    <n v="0"/>
    <n v="0"/>
    <n v="0"/>
    <n v="0"/>
    <n v="0"/>
    <n v="0"/>
    <n v="0"/>
    <n v="1"/>
    <n v="1"/>
    <n v="1"/>
    <n v="0"/>
    <n v="0"/>
    <n v="0"/>
    <s v="-"/>
    <n v="0"/>
    <n v="2"/>
    <n v="0"/>
    <n v="2"/>
    <n v="0"/>
    <n v="0"/>
  </r>
  <r>
    <s v="2025-09-19 01:00:00.000 +0100"/>
    <x v="2"/>
    <s v="Friday   "/>
    <d v="1899-12-30T00:24:54"/>
    <n v="29"/>
    <s v="Too Good To Be True V2"/>
    <x v="9"/>
    <s v="COMPLETED"/>
    <s v="0.55555555555555555556"/>
    <s v="1.00000000000000000000"/>
    <s v="0.50000000000000000000"/>
    <s v="0.20000000000000000000"/>
    <n v="0"/>
    <n v="0"/>
    <n v="0"/>
    <n v="1"/>
    <n v="0"/>
    <n v="0"/>
    <n v="0"/>
    <n v="0"/>
    <n v="0"/>
    <n v="0"/>
    <n v="0"/>
    <n v="0"/>
    <n v="0"/>
    <n v="0"/>
    <n v="0"/>
    <n v="0"/>
    <n v="0"/>
    <n v="0"/>
    <n v="0"/>
    <n v="0"/>
    <n v="0"/>
    <n v="0"/>
    <n v="0"/>
    <n v="1"/>
    <n v="0"/>
    <n v="0"/>
    <s v="-"/>
    <n v="0"/>
    <n v="1"/>
    <n v="2"/>
    <n v="0"/>
    <n v="0"/>
    <n v="0"/>
  </r>
  <r>
    <s v="2025-09-19 01:00:00.000 +0100"/>
    <x v="2"/>
    <s v="Friday   "/>
    <d v="1899-12-30T00:20:02"/>
    <n v="6"/>
    <s v="The Big Investor"/>
    <x v="5"/>
    <s v="OUT_OF_TIME"/>
    <s v="0.66666666666666666667"/>
    <s v="1.00000000000000000000"/>
    <s v="0.33333333333333333333"/>
    <s v="0.33333333333333333333"/>
    <s v="0.18181818181818181818"/>
    <n v="0"/>
    <n v="0"/>
    <n v="0"/>
    <n v="0"/>
    <n v="0"/>
    <n v="0"/>
    <n v="0"/>
    <n v="0"/>
    <n v="1"/>
    <n v="0"/>
    <n v="0"/>
    <n v="0"/>
    <n v="0"/>
    <n v="0"/>
    <n v="0"/>
    <n v="0"/>
    <n v="0"/>
    <n v="0"/>
    <n v="0"/>
    <n v="1"/>
    <n v="1"/>
    <n v="1"/>
    <n v="0"/>
    <n v="0"/>
    <n v="0"/>
    <s v="-"/>
    <n v="0"/>
    <n v="2"/>
    <n v="0"/>
    <n v="2"/>
    <n v="0"/>
    <n v="0"/>
  </r>
  <r>
    <s v="2025-09-24 01:00:00.000 +0100"/>
    <x v="2"/>
    <s v="Wednesday"/>
    <d v="1899-12-30T00:18:37"/>
    <n v="6"/>
    <s v="The Big Investor"/>
    <x v="6"/>
    <s v="COMPLETED"/>
    <s v="0.44444444444444444444"/>
    <s v="1.00000000000000000000"/>
    <s v="0.66666666666666666667"/>
    <s v="0.33333333333333333333"/>
    <s v="0.18181818181818181818"/>
    <n v="0"/>
    <n v="0"/>
    <n v="0"/>
    <n v="0"/>
    <n v="0"/>
    <n v="0"/>
    <n v="0"/>
    <n v="0"/>
    <n v="1"/>
    <n v="0"/>
    <n v="0"/>
    <n v="0"/>
    <n v="0"/>
    <n v="0"/>
    <n v="0"/>
    <n v="0"/>
    <n v="0"/>
    <n v="0"/>
    <n v="0"/>
    <n v="1"/>
    <n v="1"/>
    <n v="1"/>
    <n v="0"/>
    <n v="0"/>
    <n v="0"/>
    <s v="-"/>
    <n v="0"/>
    <n v="2"/>
    <n v="0"/>
    <n v="2"/>
    <n v="0"/>
    <n v="0"/>
  </r>
  <r>
    <s v="2025-09-25 01:00:00.000 +0100"/>
    <x v="2"/>
    <s v="Thursday "/>
    <d v="1899-12-30T00:18:28"/>
    <n v="14"/>
    <s v="Missing Delivery"/>
    <x v="7"/>
    <s v="COMPLETED"/>
    <s v="0.66666666666666666667"/>
    <s v="1.00000000000000000000"/>
    <s v="0.50000000000000000000"/>
    <s v="0.46666666666666666667"/>
    <s v="0.36363636363636363636"/>
    <n v="0"/>
    <n v="0"/>
    <n v="0"/>
    <n v="0"/>
    <n v="0"/>
    <n v="0"/>
    <n v="0"/>
    <n v="0"/>
    <n v="1"/>
    <n v="1"/>
    <n v="0"/>
    <n v="0"/>
    <n v="0"/>
    <n v="0"/>
    <n v="1"/>
    <n v="0"/>
    <n v="0"/>
    <n v="0"/>
    <n v="0"/>
    <n v="0"/>
    <n v="0"/>
    <n v="0"/>
    <n v="0"/>
    <n v="0"/>
    <n v="0"/>
    <s v="-"/>
    <n v="1"/>
    <n v="2"/>
    <n v="1"/>
    <n v="1"/>
    <n v="2"/>
    <n v="1"/>
  </r>
  <r>
    <s v="2025-09-25 01:00:00.000 +0100"/>
    <x v="2"/>
    <s v="Thursday "/>
    <d v="1899-12-30T00:25:02"/>
    <n v="14"/>
    <s v="Missing Delivery"/>
    <x v="1"/>
    <s v="OUT_OF_TIME"/>
    <s v="0.66666666666666666667"/>
    <s v="1.00000000000000000000"/>
    <s v="0.83333333333333333333"/>
    <s v="0.66666666666666666667"/>
    <s v="0.45454545454545454545"/>
    <n v="0"/>
    <n v="0"/>
    <n v="0"/>
    <n v="0"/>
    <n v="0"/>
    <n v="0"/>
    <n v="0"/>
    <n v="0"/>
    <n v="1"/>
    <n v="1"/>
    <n v="0"/>
    <n v="0"/>
    <n v="0"/>
    <n v="0"/>
    <n v="1"/>
    <n v="0"/>
    <n v="0"/>
    <n v="0"/>
    <n v="0"/>
    <n v="0"/>
    <n v="0"/>
    <n v="0"/>
    <n v="0"/>
    <n v="0"/>
    <n v="0"/>
    <s v="-"/>
    <n v="1"/>
    <n v="2"/>
    <n v="1"/>
    <n v="1"/>
    <n v="2"/>
    <n v="1"/>
  </r>
  <r>
    <s v="2025-09-25 01:00:00.000 +0100"/>
    <x v="2"/>
    <s v="Thursday "/>
    <d v="1899-12-30T00:25:01"/>
    <n v="14"/>
    <s v="Missing Delivery"/>
    <x v="4"/>
    <s v="OUT_OF_TIME"/>
    <s v="0.55555555555555555556"/>
    <s v="1.00000000000000000000"/>
    <s v="0.33333333333333333333"/>
    <s v="0.40000000000000000000"/>
    <s v="0.36363636363636363636"/>
    <n v="0"/>
    <n v="0"/>
    <n v="0"/>
    <n v="0"/>
    <n v="0"/>
    <n v="0"/>
    <n v="0"/>
    <n v="0"/>
    <n v="1"/>
    <n v="1"/>
    <n v="0"/>
    <n v="0"/>
    <n v="0"/>
    <n v="0"/>
    <n v="1"/>
    <n v="0"/>
    <n v="0"/>
    <n v="0"/>
    <n v="0"/>
    <n v="0"/>
    <n v="0"/>
    <n v="0"/>
    <n v="0"/>
    <n v="0"/>
    <n v="0"/>
    <s v="-"/>
    <n v="1"/>
    <n v="2"/>
    <n v="1"/>
    <n v="1"/>
    <n v="2"/>
    <n v="1"/>
  </r>
  <r>
    <s v="2025-09-26 01:00:00.000 +0100"/>
    <x v="2"/>
    <s v="Friday   "/>
    <d v="1899-12-30T00:19:01"/>
    <n v="31"/>
    <s v="Bezs Beatles Day! V2"/>
    <x v="9"/>
    <s v="COMPLETED"/>
    <s v="0.66666666666666666667"/>
    <s v="1.00000000000000000000"/>
    <s v="0.66666666666666666667"/>
    <s v="0.53333333333333333333"/>
    <s v="0.18181818181818181818"/>
    <n v="0"/>
    <n v="0"/>
    <n v="1"/>
    <n v="0"/>
    <n v="0"/>
    <n v="0"/>
    <n v="0"/>
    <n v="0"/>
    <n v="0"/>
    <n v="0"/>
    <n v="0"/>
    <n v="1"/>
    <n v="0"/>
    <n v="0"/>
    <n v="0"/>
    <n v="0"/>
    <n v="0"/>
    <n v="0"/>
    <n v="0"/>
    <n v="0"/>
    <n v="0"/>
    <n v="0"/>
    <n v="0"/>
    <n v="0"/>
    <n v="0"/>
    <s v="-"/>
    <n v="0"/>
    <n v="1"/>
    <n v="1"/>
    <n v="0"/>
    <n v="0"/>
    <n v="0"/>
  </r>
  <r>
    <s v="2025-09-26 01:00:00.000 +0100"/>
    <x v="2"/>
    <s v="Friday   "/>
    <d v="1899-12-30T00:24:19"/>
    <n v="14"/>
    <s v="Missing Delivery"/>
    <x v="5"/>
    <s v="COMPLETED"/>
    <s v="0.77777777777777777778"/>
    <s v="1.00000000000000000000"/>
    <s v="0.66666666666666666667"/>
    <s v="0.73333333333333333333"/>
    <s v="0.54545454545454545455"/>
    <n v="0"/>
    <n v="0"/>
    <n v="0"/>
    <n v="0"/>
    <n v="0"/>
    <n v="0"/>
    <n v="0"/>
    <n v="0"/>
    <n v="1"/>
    <n v="1"/>
    <n v="0"/>
    <n v="0"/>
    <n v="0"/>
    <n v="0"/>
    <n v="1"/>
    <n v="0"/>
    <n v="0"/>
    <n v="0"/>
    <n v="0"/>
    <n v="0"/>
    <n v="0"/>
    <n v="0"/>
    <n v="0"/>
    <n v="0"/>
    <n v="0"/>
    <s v="-"/>
    <n v="1"/>
    <n v="2"/>
    <n v="1"/>
    <n v="1"/>
    <n v="2"/>
    <n v="1"/>
  </r>
  <r>
    <s v="2025-09-26 01:00:00.000 +0100"/>
    <x v="2"/>
    <s v="Friday   "/>
    <d v="1899-12-30T00:20:26"/>
    <n v="6"/>
    <s v="The Big Investor"/>
    <x v="8"/>
    <s v="COMPLETED"/>
    <s v="0.55555555555555555556"/>
    <s v="1.00000000000000000000"/>
    <s v="0.66666666666666666667"/>
    <s v="0.46666666666666666667"/>
    <s v="0.18181818181818181818"/>
    <n v="0"/>
    <n v="0"/>
    <n v="0"/>
    <n v="0"/>
    <n v="0"/>
    <n v="0"/>
    <n v="0"/>
    <n v="0"/>
    <n v="1"/>
    <n v="0"/>
    <n v="0"/>
    <n v="0"/>
    <n v="0"/>
    <n v="0"/>
    <n v="0"/>
    <n v="0"/>
    <n v="0"/>
    <n v="0"/>
    <n v="0"/>
    <n v="1"/>
    <n v="1"/>
    <n v="1"/>
    <n v="0"/>
    <n v="0"/>
    <n v="0"/>
    <s v="-"/>
    <n v="0"/>
    <n v="2"/>
    <n v="0"/>
    <n v="2"/>
    <n v="0"/>
    <n v="0"/>
  </r>
  <r>
    <s v="2025-09-29 01:00:00.000 +0100"/>
    <x v="2"/>
    <s v="Monday   "/>
    <d v="1899-12-30T00:40:02"/>
    <n v="30"/>
    <s v="DEFCON 1"/>
    <x v="2"/>
    <s v="OUT_OF_TIME"/>
    <s v="0.33333333333333333333"/>
    <s v="1.00000000000000000000"/>
    <s v="0.50000000000000000000"/>
    <s v="0.26666666666666666667"/>
    <s v="0.27272727272727272727"/>
    <n v="0"/>
    <n v="1"/>
    <n v="0"/>
    <n v="0"/>
    <n v="0"/>
    <n v="1"/>
    <n v="0"/>
    <n v="0"/>
    <n v="0"/>
    <n v="0"/>
    <n v="1"/>
    <n v="0"/>
    <n v="0"/>
    <n v="0"/>
    <n v="0"/>
    <n v="0"/>
    <n v="0"/>
    <n v="1"/>
    <n v="0"/>
    <n v="0"/>
    <n v="0"/>
    <n v="0"/>
    <n v="0"/>
    <n v="0"/>
    <n v="0"/>
    <s v="-"/>
    <n v="1"/>
    <n v="2"/>
    <n v="2"/>
    <n v="2"/>
    <n v="2"/>
    <n v="0"/>
  </r>
  <r>
    <s v="2025-10-02 01:00:00.000 +0100"/>
    <x v="3"/>
    <s v="Thursday "/>
    <d v="1899-12-30T00:16:17"/>
    <n v="16"/>
    <s v="Radio Silence"/>
    <x v="7"/>
    <s v="COMPLETED"/>
    <s v="0.33333333333333333333"/>
    <s v="1.00000000000000000000"/>
    <s v="0.66666666666666666667"/>
    <s v="0.33333333333333333333"/>
    <s v="0.18181818181818181818"/>
    <n v="0"/>
    <n v="0"/>
    <n v="0"/>
    <n v="1"/>
    <n v="0"/>
    <n v="0"/>
    <n v="0"/>
    <n v="0"/>
    <n v="0"/>
    <n v="0"/>
    <n v="0"/>
    <n v="0"/>
    <n v="0"/>
    <n v="1"/>
    <n v="0"/>
    <n v="0"/>
    <n v="0"/>
    <n v="0"/>
    <n v="0"/>
    <n v="0"/>
    <n v="0"/>
    <n v="0"/>
    <n v="0"/>
    <n v="0"/>
    <n v="0"/>
    <s v="-"/>
    <n v="0"/>
    <n v="1"/>
    <n v="0"/>
    <n v="0"/>
    <n v="1"/>
    <n v="0"/>
  </r>
  <r>
    <s v="2025-10-03 01:00:00.000 +0100"/>
    <x v="3"/>
    <s v="Friday   "/>
    <d v="1899-12-30T00:20:02"/>
    <n v="32"/>
    <s v="The Big Investor V2"/>
    <x v="9"/>
    <s v="OUT_OF_TIME"/>
    <s v="0.66666666666666666667"/>
    <s v="1.00000000000000000000"/>
    <s v="0.50000000000000000000"/>
    <s v="0.33333333333333333333"/>
    <s v="0.18181818181818181818"/>
    <n v="0"/>
    <n v="0"/>
    <n v="0"/>
    <n v="0"/>
    <n v="0"/>
    <n v="0"/>
    <n v="1"/>
    <n v="1"/>
    <n v="0"/>
    <n v="0"/>
    <n v="0"/>
    <n v="0"/>
    <n v="0"/>
    <n v="0"/>
    <n v="0"/>
    <n v="0"/>
    <n v="0"/>
    <n v="0"/>
    <n v="0"/>
    <n v="0"/>
    <n v="0"/>
    <n v="0"/>
    <n v="0"/>
    <n v="0"/>
    <n v="0"/>
    <s v="-"/>
    <n v="0"/>
    <n v="2"/>
    <n v="0"/>
    <n v="0"/>
    <n v="0"/>
    <n v="0"/>
  </r>
  <r>
    <s v="2025-10-06 01:00:00.000 +0100"/>
    <x v="3"/>
    <s v="Monday   "/>
    <d v="1899-12-30T00:13:02"/>
    <n v="29"/>
    <s v="Too Good To Be True V2"/>
    <x v="10"/>
    <s v="COMPLETED"/>
    <s v="0.66666666666666666667"/>
    <n v="0"/>
    <s v="0.50000000000000000000"/>
    <s v="0.80000000000000000000"/>
    <s v="0.45454545454545454545"/>
    <n v="0"/>
    <n v="0"/>
    <n v="1"/>
    <n v="0"/>
    <n v="0"/>
    <n v="0"/>
    <n v="0"/>
    <n v="0"/>
    <n v="0"/>
    <n v="0"/>
    <n v="0"/>
    <n v="0"/>
    <n v="0"/>
    <n v="0"/>
    <n v="0"/>
    <n v="0"/>
    <n v="0"/>
    <n v="0"/>
    <n v="0"/>
    <n v="0"/>
    <n v="0"/>
    <n v="0"/>
    <n v="1"/>
    <n v="0"/>
    <n v="0"/>
    <s v="-"/>
    <n v="0"/>
    <n v="1"/>
    <n v="2"/>
    <n v="0"/>
    <n v="0"/>
    <n v="0"/>
  </r>
  <r>
    <s v="2025-10-08 01:00:00.000 +0100"/>
    <x v="3"/>
    <s v="Wednesday"/>
    <d v="1899-12-30T00:16:09"/>
    <n v="7"/>
    <s v="Rumours"/>
    <x v="6"/>
    <s v="COMPLETED"/>
    <s v="0.22222222222222222222"/>
    <s v="0.50000000000000000000"/>
    <s v="0.33333333333333333333"/>
    <s v="0.13333333333333333333"/>
    <s v="0.09090909090909090909"/>
    <n v="0"/>
    <n v="0"/>
    <n v="0"/>
    <n v="0"/>
    <n v="0"/>
    <n v="0"/>
    <n v="1"/>
    <n v="0"/>
    <n v="1"/>
    <n v="0"/>
    <n v="0"/>
    <n v="0"/>
    <n v="0"/>
    <n v="0"/>
    <n v="0"/>
    <n v="0"/>
    <n v="0"/>
    <n v="0"/>
    <n v="0"/>
    <n v="0"/>
    <n v="0"/>
    <n v="1"/>
    <n v="0"/>
    <n v="0"/>
    <n v="0"/>
    <s v="-"/>
    <n v="0"/>
    <n v="2"/>
    <n v="0"/>
    <n v="1"/>
    <n v="0"/>
    <n v="0"/>
  </r>
  <r>
    <s v="2025-10-08 01:00:00.000 +0100"/>
    <x v="3"/>
    <s v="Wednesday"/>
    <d v="1899-12-30T00:39:00"/>
    <n v="30"/>
    <s v="DEFCON 1"/>
    <x v="3"/>
    <s v="COMPLETED"/>
    <s v="0.33333333333333333333"/>
    <s v="1.00000000000000000000"/>
    <s v="0.50000000000000000000"/>
    <s v="0.26666666666666666667"/>
    <s v="0.27272727272727272727"/>
    <n v="0"/>
    <n v="1"/>
    <n v="0"/>
    <n v="0"/>
    <n v="0"/>
    <n v="1"/>
    <n v="0"/>
    <n v="0"/>
    <n v="0"/>
    <n v="0"/>
    <n v="1"/>
    <n v="0"/>
    <n v="0"/>
    <n v="0"/>
    <n v="0"/>
    <n v="0"/>
    <n v="0"/>
    <n v="1"/>
    <n v="0"/>
    <n v="0"/>
    <n v="0"/>
    <n v="0"/>
    <n v="0"/>
    <n v="0"/>
    <n v="0"/>
    <s v="-"/>
    <n v="1"/>
    <n v="2"/>
    <n v="2"/>
    <n v="2"/>
    <n v="2"/>
    <n v="0"/>
  </r>
  <r>
    <s v="2025-10-08 01:00:00.000 +0100"/>
    <x v="3"/>
    <s v="Wednesday"/>
    <d v="1899-12-30T00:30:59"/>
    <n v="30"/>
    <s v="DEFCON 1"/>
    <x v="0"/>
    <s v="COMPLETED"/>
    <s v="0.44444444444444444444"/>
    <n v="0"/>
    <s v="0.16666666666666666667"/>
    <s v="0.73333333333333333333"/>
    <s v="0.54545454545454545455"/>
    <n v="0"/>
    <n v="1"/>
    <n v="0"/>
    <n v="0"/>
    <n v="0"/>
    <n v="1"/>
    <n v="0"/>
    <n v="0"/>
    <n v="0"/>
    <n v="0"/>
    <n v="1"/>
    <n v="0"/>
    <n v="0"/>
    <n v="0"/>
    <n v="0"/>
    <n v="0"/>
    <n v="0"/>
    <n v="1"/>
    <n v="0"/>
    <n v="0"/>
    <n v="0"/>
    <n v="0"/>
    <n v="0"/>
    <n v="0"/>
    <n v="0"/>
    <s v="-"/>
    <n v="1"/>
    <n v="2"/>
    <n v="2"/>
    <n v="2"/>
    <n v="2"/>
    <n v="0"/>
  </r>
  <r>
    <s v="2025-10-08 01:00:00.000 +0100"/>
    <x v="3"/>
    <s v="Wednesday"/>
    <d v="1899-12-30T00:20:02"/>
    <n v="7"/>
    <s v="Rumours"/>
    <x v="4"/>
    <s v="OUT_OF_TIME"/>
    <s v="0.33333333333333333333"/>
    <s v="1.00000000000000000000"/>
    <s v="0.16666666666666666667"/>
    <n v="0"/>
    <n v="0"/>
    <n v="0"/>
    <n v="0"/>
    <n v="0"/>
    <n v="0"/>
    <n v="0"/>
    <n v="0"/>
    <n v="1"/>
    <n v="0"/>
    <n v="1"/>
    <n v="0"/>
    <n v="0"/>
    <n v="0"/>
    <n v="0"/>
    <n v="0"/>
    <n v="0"/>
    <n v="0"/>
    <n v="0"/>
    <n v="0"/>
    <n v="0"/>
    <n v="0"/>
    <n v="0"/>
    <n v="1"/>
    <n v="0"/>
    <n v="0"/>
    <n v="0"/>
    <s v="-"/>
    <n v="0"/>
    <n v="2"/>
    <n v="0"/>
    <n v="1"/>
    <n v="0"/>
    <n v="0"/>
  </r>
  <r>
    <s v="2025-10-09 01:00:00.000 +0100"/>
    <x v="3"/>
    <s v="Thursday "/>
    <d v="1899-12-30T00:20:02"/>
    <n v="16"/>
    <s v="Radio Silence"/>
    <x v="1"/>
    <s v="OUT_OF_TIME"/>
    <s v="0.88888888888888888889"/>
    <s v="1.00000000000000000000"/>
    <s v="0.50000000000000000000"/>
    <s v="0.46666666666666666667"/>
    <s v="0.45454545454545454545"/>
    <n v="0"/>
    <n v="0"/>
    <n v="0"/>
    <n v="1"/>
    <n v="0"/>
    <n v="0"/>
    <n v="0"/>
    <n v="0"/>
    <n v="0"/>
    <n v="0"/>
    <n v="0"/>
    <n v="0"/>
    <n v="0"/>
    <n v="1"/>
    <n v="0"/>
    <n v="0"/>
    <n v="0"/>
    <n v="0"/>
    <n v="0"/>
    <n v="0"/>
    <n v="0"/>
    <n v="0"/>
    <n v="0"/>
    <n v="0"/>
    <n v="0"/>
    <s v="-"/>
    <n v="0"/>
    <n v="1"/>
    <n v="0"/>
    <n v="0"/>
    <n v="1"/>
    <n v="0"/>
  </r>
  <r>
    <s v="2025-10-10 01:00:00.000 +0100"/>
    <x v="3"/>
    <s v="Friday   "/>
    <d v="1899-12-30T00:22:53"/>
    <n v="14"/>
    <s v="Missing Delivery"/>
    <x v="9"/>
    <s v="COMPLETED"/>
    <s v="0.77777777777777777778"/>
    <s v="1.00000000000000000000"/>
    <s v="0.83333333333333333333"/>
    <s v="0.80000000000000000000"/>
    <s v="0.63636363636363636364"/>
    <n v="0"/>
    <n v="0"/>
    <n v="0"/>
    <n v="0"/>
    <n v="0"/>
    <n v="0"/>
    <n v="0"/>
    <n v="0"/>
    <n v="1"/>
    <n v="1"/>
    <n v="0"/>
    <n v="0"/>
    <n v="0"/>
    <n v="0"/>
    <n v="1"/>
    <n v="0"/>
    <n v="0"/>
    <n v="0"/>
    <n v="0"/>
    <n v="0"/>
    <n v="0"/>
    <n v="0"/>
    <n v="0"/>
    <n v="0"/>
    <n v="0"/>
    <s v="-"/>
    <n v="1"/>
    <n v="2"/>
    <n v="1"/>
    <n v="1"/>
    <n v="2"/>
    <n v="1"/>
  </r>
  <r>
    <s v="2025-10-13 01:00:00.000 +0100"/>
    <x v="3"/>
    <s v="Monday   "/>
    <d v="1899-12-30T00:18:29"/>
    <n v="31"/>
    <s v="Bezs Beatles Day! V2"/>
    <x v="10"/>
    <s v="COMPLETED"/>
    <s v="0.55555555555555555556"/>
    <s v="1.00000000000000000000"/>
    <s v="0.66666666666666666667"/>
    <s v="0.53333333333333333333"/>
    <s v="0.09090909090909090909"/>
    <n v="0"/>
    <n v="0"/>
    <n v="1"/>
    <n v="0"/>
    <n v="0"/>
    <n v="0"/>
    <n v="0"/>
    <n v="0"/>
    <n v="0"/>
    <n v="0"/>
    <n v="0"/>
    <n v="1"/>
    <n v="0"/>
    <n v="0"/>
    <n v="0"/>
    <n v="0"/>
    <n v="0"/>
    <n v="0"/>
    <n v="0"/>
    <n v="0"/>
    <n v="0"/>
    <n v="0"/>
    <n v="0"/>
    <n v="0"/>
    <n v="0"/>
    <s v="-"/>
    <n v="0"/>
    <n v="1"/>
    <n v="1"/>
    <n v="0"/>
    <n v="0"/>
    <n v="0"/>
  </r>
  <r>
    <s v="2025-10-15 01:00:00.000 +0100"/>
    <x v="3"/>
    <s v="Wednesday"/>
    <d v="1899-12-30T00:23:01"/>
    <n v="14"/>
    <s v="Missing Delivery"/>
    <x v="6"/>
    <s v="COMPLETED"/>
    <s v="0.66666666666666666667"/>
    <s v="1.00000000000000000000"/>
    <s v="0.66666666666666666667"/>
    <s v="0.46666666666666666667"/>
    <s v="0.36363636363636363636"/>
    <n v="0"/>
    <n v="0"/>
    <n v="0"/>
    <n v="0"/>
    <n v="0"/>
    <n v="0"/>
    <n v="0"/>
    <n v="0"/>
    <n v="1"/>
    <n v="1"/>
    <n v="0"/>
    <n v="0"/>
    <n v="0"/>
    <n v="0"/>
    <n v="1"/>
    <n v="0"/>
    <n v="0"/>
    <n v="0"/>
    <n v="0"/>
    <n v="0"/>
    <n v="0"/>
    <n v="0"/>
    <n v="0"/>
    <n v="0"/>
    <n v="0"/>
    <s v="-"/>
    <n v="1"/>
    <n v="2"/>
    <n v="1"/>
    <n v="1"/>
    <n v="2"/>
    <n v="1"/>
  </r>
  <r>
    <s v="2025-10-16 01:00:00.000 +0100"/>
    <x v="3"/>
    <s v="Thursday "/>
    <d v="1899-12-30T00:36:23"/>
    <n v="30"/>
    <s v="DEFCON 1"/>
    <x v="7"/>
    <s v="COMPLETED"/>
    <s v="0.88888888888888888889"/>
    <s v="0.50000000000000000000"/>
    <s v="0.50000000000000000000"/>
    <s v="0.86666666666666666667"/>
    <s v="0.72727272727272727273"/>
    <n v="0"/>
    <n v="1"/>
    <n v="0"/>
    <n v="0"/>
    <n v="0"/>
    <n v="1"/>
    <n v="0"/>
    <n v="0"/>
    <n v="0"/>
    <n v="0"/>
    <n v="1"/>
    <n v="0"/>
    <n v="0"/>
    <n v="0"/>
    <n v="0"/>
    <n v="0"/>
    <n v="0"/>
    <n v="1"/>
    <n v="0"/>
    <n v="0"/>
    <n v="0"/>
    <n v="0"/>
    <n v="0"/>
    <n v="0"/>
    <n v="0"/>
    <s v="-"/>
    <n v="1"/>
    <n v="2"/>
    <n v="2"/>
    <n v="2"/>
    <n v="2"/>
    <n v="0"/>
  </r>
  <r>
    <s v="2025-10-16 01:00:00.000 +0100"/>
    <x v="3"/>
    <s v="Thursday "/>
    <d v="1899-12-30T00:39:38"/>
    <n v="30"/>
    <s v="DEFCON 1"/>
    <x v="1"/>
    <s v="COMPLETED"/>
    <s v="0.66666666666666666667"/>
    <s v="1.00000000000000000000"/>
    <s v="0.50000000000000000000"/>
    <s v="0.53333333333333333333"/>
    <s v="0.45454545454545454545"/>
    <n v="0"/>
    <n v="1"/>
    <n v="0"/>
    <n v="0"/>
    <n v="0"/>
    <n v="1"/>
    <n v="0"/>
    <n v="0"/>
    <n v="0"/>
    <n v="0"/>
    <n v="1"/>
    <n v="0"/>
    <n v="0"/>
    <n v="0"/>
    <n v="0"/>
    <n v="0"/>
    <n v="0"/>
    <n v="1"/>
    <n v="0"/>
    <n v="0"/>
    <n v="0"/>
    <n v="0"/>
    <n v="0"/>
    <n v="0"/>
    <n v="0"/>
    <s v="-"/>
    <n v="1"/>
    <n v="2"/>
    <n v="2"/>
    <n v="2"/>
    <n v="2"/>
    <n v="0"/>
  </r>
  <r>
    <s v="2025-10-16 01:00:00.000 +0100"/>
    <x v="3"/>
    <s v="Thursday "/>
    <d v="1899-12-30T00:40:03"/>
    <n v="30"/>
    <s v="DEFCON 1"/>
    <x v="4"/>
    <s v="OUT_OF_TIME"/>
    <s v="0.44444444444444444444"/>
    <s v="0.50000000000000000000"/>
    <s v="0.66666666666666666667"/>
    <s v="0.53333333333333333333"/>
    <s v="0.36363636363636363636"/>
    <n v="0"/>
    <n v="1"/>
    <n v="0"/>
    <n v="0"/>
    <n v="0"/>
    <n v="1"/>
    <n v="0"/>
    <n v="0"/>
    <n v="0"/>
    <n v="0"/>
    <n v="1"/>
    <n v="0"/>
    <n v="0"/>
    <n v="0"/>
    <n v="0"/>
    <n v="0"/>
    <n v="0"/>
    <n v="1"/>
    <n v="0"/>
    <n v="0"/>
    <n v="0"/>
    <n v="0"/>
    <n v="0"/>
    <n v="0"/>
    <n v="0"/>
    <s v="-"/>
    <n v="1"/>
    <n v="2"/>
    <n v="2"/>
    <n v="2"/>
    <n v="2"/>
    <n v="0"/>
  </r>
  <r>
    <s v="2025-10-17 01:00:00.000 +0100"/>
    <x v="3"/>
    <s v="Friday   "/>
    <d v="1899-12-30T00:18:52"/>
    <n v="7"/>
    <s v="Rumours"/>
    <x v="8"/>
    <s v="COMPLETED"/>
    <s v="0.66666666666666666667"/>
    <s v="1.00000000000000000000"/>
    <s v="0.50000000000000000000"/>
    <s v="0.40000000000000000000"/>
    <s v="0.18181818181818181818"/>
    <n v="0"/>
    <n v="0"/>
    <n v="0"/>
    <n v="0"/>
    <n v="0"/>
    <n v="0"/>
    <n v="1"/>
    <n v="0"/>
    <n v="1"/>
    <n v="0"/>
    <n v="0"/>
    <n v="0"/>
    <n v="0"/>
    <n v="0"/>
    <n v="0"/>
    <n v="0"/>
    <n v="0"/>
    <n v="0"/>
    <n v="0"/>
    <n v="0"/>
    <n v="0"/>
    <n v="1"/>
    <n v="0"/>
    <n v="0"/>
    <n v="0"/>
    <s v="-"/>
    <n v="0"/>
    <n v="2"/>
    <n v="0"/>
    <n v="1"/>
    <n v="0"/>
    <n v="0"/>
  </r>
  <r>
    <s v="2025-10-22 01:00:00.000 +0100"/>
    <x v="3"/>
    <s v="Wednesday"/>
    <d v="1899-12-30T00:39:54"/>
    <n v="30"/>
    <s v="DEFCON 1"/>
    <x v="6"/>
    <s v="COMPLETED"/>
    <s v="0.77777777777777777778"/>
    <s v="1.00000000000000000000"/>
    <s v="0.50000000000000000000"/>
    <s v="0.53333333333333333333"/>
    <s v="0.27272727272727272727"/>
    <n v="0"/>
    <n v="1"/>
    <n v="0"/>
    <n v="0"/>
    <n v="0"/>
    <n v="1"/>
    <n v="0"/>
    <n v="0"/>
    <n v="0"/>
    <n v="0"/>
    <n v="1"/>
    <n v="0"/>
    <n v="0"/>
    <n v="0"/>
    <n v="0"/>
    <n v="0"/>
    <n v="0"/>
    <n v="1"/>
    <n v="0"/>
    <n v="0"/>
    <n v="0"/>
    <n v="0"/>
    <n v="0"/>
    <n v="0"/>
    <n v="0"/>
    <s v="-"/>
    <n v="1"/>
    <n v="2"/>
    <n v="2"/>
    <n v="2"/>
    <n v="2"/>
    <n v="0"/>
  </r>
  <r>
    <s v="2025-10-24 01:00:00.000 +0100"/>
    <x v="3"/>
    <s v="Friday   "/>
    <d v="1899-12-30T00:38:12"/>
    <n v="30"/>
    <s v="DEFCON 1"/>
    <x v="9"/>
    <s v="COMPLETED"/>
    <s v="0.55555555555555555556"/>
    <s v="1.00000000000000000000"/>
    <s v="0.83333333333333333333"/>
    <s v="0.66666666666666666667"/>
    <s v="0.63636363636363636364"/>
    <n v="0"/>
    <n v="1"/>
    <n v="0"/>
    <n v="0"/>
    <n v="0"/>
    <n v="1"/>
    <n v="0"/>
    <n v="0"/>
    <n v="0"/>
    <n v="0"/>
    <n v="1"/>
    <n v="0"/>
    <n v="0"/>
    <n v="0"/>
    <n v="0"/>
    <n v="0"/>
    <n v="0"/>
    <n v="1"/>
    <n v="0"/>
    <n v="0"/>
    <n v="0"/>
    <n v="0"/>
    <n v="0"/>
    <n v="0"/>
    <n v="0"/>
    <s v="-"/>
    <n v="1"/>
    <n v="2"/>
    <n v="2"/>
    <n v="2"/>
    <n v="2"/>
    <n v="0"/>
  </r>
  <r>
    <s v="2025-10-24 01:00:00.000 +0100"/>
    <x v="3"/>
    <s v="Friday   "/>
    <d v="1899-12-30T00:17:02"/>
    <n v="14"/>
    <s v="Missing Delivery"/>
    <x v="8"/>
    <s v="COMPLETED"/>
    <s v="0.55555555555555555556"/>
    <s v="1.00000000000000000000"/>
    <s v="0.50000000000000000000"/>
    <s v="0.33333333333333333333"/>
    <s v="0.18181818181818181818"/>
    <n v="0"/>
    <n v="0"/>
    <n v="0"/>
    <n v="0"/>
    <n v="0"/>
    <n v="0"/>
    <n v="0"/>
    <n v="0"/>
    <n v="1"/>
    <n v="1"/>
    <n v="0"/>
    <n v="0"/>
    <n v="0"/>
    <n v="0"/>
    <n v="1"/>
    <n v="0"/>
    <n v="0"/>
    <n v="0"/>
    <n v="0"/>
    <n v="0"/>
    <n v="0"/>
    <n v="0"/>
    <n v="0"/>
    <n v="0"/>
    <n v="0"/>
    <s v="-"/>
    <n v="1"/>
    <n v="2"/>
    <n v="1"/>
    <n v="1"/>
    <n v="2"/>
    <n v="1"/>
  </r>
  <r>
    <s v="2025-10-29 00:00:00.000 +0000"/>
    <x v="3"/>
    <s v="Wednesday"/>
    <d v="1899-12-30T00:20:02"/>
    <n v="4"/>
    <s v="Roblox"/>
    <x v="2"/>
    <s v="OUT_OF_TIME"/>
    <s v="0.55555555555555555556"/>
    <s v="0.50000000000000000000"/>
    <s v="0.66666666666666666667"/>
    <s v="0.26666666666666666667"/>
    <s v="0.09090909090909090909"/>
    <n v="1"/>
    <n v="0"/>
    <n v="0"/>
    <n v="0"/>
    <n v="0"/>
    <n v="0"/>
    <n v="0"/>
    <n v="0"/>
    <n v="0"/>
    <n v="0"/>
    <n v="0"/>
    <n v="0"/>
    <n v="0"/>
    <n v="0"/>
    <n v="1"/>
    <n v="0"/>
    <n v="1"/>
    <n v="0"/>
    <n v="1"/>
    <n v="0"/>
    <n v="0"/>
    <n v="0"/>
    <n v="0"/>
    <n v="0"/>
    <n v="0"/>
    <s v="-"/>
    <n v="1"/>
    <n v="4"/>
    <n v="1"/>
    <n v="1"/>
    <n v="1"/>
    <n v="1"/>
  </r>
  <r>
    <s v="2025-11-05 00:00:00.000 +0000"/>
    <x v="4"/>
    <s v="Wednesday"/>
    <d v="1899-12-30T00:20:01"/>
    <n v="16"/>
    <s v="Radio Silence"/>
    <x v="0"/>
    <s v="OUT_OF_TIME"/>
    <s v="0.44444444444444444444"/>
    <s v="0.50000000000000000000"/>
    <s v="0.66666666666666666667"/>
    <s v="0.26666666666666666667"/>
    <s v="0.09090909090909090909"/>
    <n v="0"/>
    <n v="0"/>
    <n v="0"/>
    <n v="1"/>
    <n v="0"/>
    <n v="0"/>
    <n v="0"/>
    <n v="0"/>
    <n v="0"/>
    <n v="0"/>
    <n v="0"/>
    <n v="0"/>
    <n v="0"/>
    <n v="1"/>
    <n v="0"/>
    <n v="0"/>
    <n v="0"/>
    <n v="0"/>
    <n v="0"/>
    <n v="0"/>
    <n v="0"/>
    <n v="0"/>
    <n v="0"/>
    <n v="0"/>
    <n v="0"/>
    <s v="-"/>
    <n v="0"/>
    <n v="1"/>
    <n v="0"/>
    <n v="0"/>
    <n v="1"/>
    <n v="0"/>
  </r>
  <r>
    <s v="2025-11-07 00:00:00.000 +0000"/>
    <x v="4"/>
    <s v="Friday   "/>
    <d v="1899-12-30T00:17:43"/>
    <n v="16"/>
    <s v="Radio Silence"/>
    <x v="8"/>
    <s v="COMPLETED"/>
    <s v="0.77777777777777777778"/>
    <s v="1.00000000000000000000"/>
    <s v="0.66666666666666666667"/>
    <s v="0.60000000000000000000"/>
    <s v="0.36363636363636363636"/>
    <n v="0"/>
    <n v="0"/>
    <n v="0"/>
    <n v="1"/>
    <n v="0"/>
    <n v="0"/>
    <n v="0"/>
    <n v="0"/>
    <n v="0"/>
    <n v="0"/>
    <n v="0"/>
    <n v="0"/>
    <n v="0"/>
    <n v="1"/>
    <n v="0"/>
    <n v="0"/>
    <n v="0"/>
    <n v="0"/>
    <n v="0"/>
    <n v="0"/>
    <n v="0"/>
    <n v="0"/>
    <n v="0"/>
    <n v="0"/>
    <n v="0"/>
    <s v="-"/>
    <n v="0"/>
    <n v="1"/>
    <n v="0"/>
    <n v="0"/>
    <n v="1"/>
    <n v="0"/>
  </r>
  <r>
    <s v="2025-11-12 00:00:00.000 +0000"/>
    <x v="4"/>
    <s v="Wednesday"/>
    <d v="1899-12-30T00:17:07"/>
    <n v="16"/>
    <s v="Radio Silence"/>
    <x v="6"/>
    <s v="COMPLETED"/>
    <s v="0.77777777777777777778"/>
    <s v="1.00000000000000000000"/>
    <s v="0.83333333333333333333"/>
    <s v="0.80000000000000000000"/>
    <s v="0.54545454545454545455"/>
    <n v="0"/>
    <n v="0"/>
    <n v="0"/>
    <n v="1"/>
    <n v="0"/>
    <n v="0"/>
    <n v="0"/>
    <n v="0"/>
    <n v="0"/>
    <n v="0"/>
    <n v="0"/>
    <n v="0"/>
    <n v="0"/>
    <n v="1"/>
    <n v="0"/>
    <n v="0"/>
    <n v="0"/>
    <n v="0"/>
    <n v="0"/>
    <n v="0"/>
    <n v="0"/>
    <n v="0"/>
    <n v="0"/>
    <n v="0"/>
    <n v="0"/>
    <s v="-"/>
    <n v="0"/>
    <n v="1"/>
    <n v="0"/>
    <n v="0"/>
    <n v="1"/>
    <n v="0"/>
  </r>
  <r>
    <s v="2025-11-19 00:00:00.000 +0000"/>
    <x v="4"/>
    <s v="Wednesday"/>
    <d v="1899-12-30T00:25:02"/>
    <n v="8"/>
    <s v="The Chain"/>
    <x v="3"/>
    <s v="OUT_OF_TIME"/>
    <s v="0.66666666666666666667"/>
    <s v="1.00000000000000000000"/>
    <s v="0.50000000000000000000"/>
    <s v="0.66666666666666666667"/>
    <s v="0.45454545454545454545"/>
    <n v="0"/>
    <n v="0"/>
    <n v="0"/>
    <n v="0"/>
    <n v="0"/>
    <n v="0"/>
    <n v="0"/>
    <n v="1"/>
    <n v="0"/>
    <n v="0"/>
    <n v="0"/>
    <n v="0"/>
    <n v="1"/>
    <n v="0"/>
    <n v="0"/>
    <n v="0"/>
    <n v="0"/>
    <n v="0"/>
    <n v="0"/>
    <n v="0"/>
    <n v="0"/>
    <n v="0"/>
    <n v="0"/>
    <n v="1"/>
    <n v="0"/>
    <s v="-"/>
    <n v="0"/>
    <n v="1"/>
    <n v="2"/>
    <n v="0"/>
    <n v="0"/>
    <n v="1"/>
  </r>
  <r>
    <s v="2025-11-19 00:00:00.000 +0000"/>
    <x v="4"/>
    <s v="Wednesday"/>
    <d v="1899-12-30T00:20:01"/>
    <n v="16"/>
    <s v="Radio Silence"/>
    <x v="4"/>
    <s v="OUT_OF_TIME"/>
    <s v="0.44444444444444444444"/>
    <s v="1.00000000000000000000"/>
    <s v="0.66666666666666666667"/>
    <s v="0.46666666666666666667"/>
    <s v="0.09090909090909090909"/>
    <n v="0"/>
    <n v="0"/>
    <n v="0"/>
    <n v="1"/>
    <n v="0"/>
    <n v="0"/>
    <n v="0"/>
    <n v="0"/>
    <n v="0"/>
    <n v="0"/>
    <n v="0"/>
    <n v="0"/>
    <n v="0"/>
    <n v="1"/>
    <n v="0"/>
    <n v="0"/>
    <n v="0"/>
    <n v="0"/>
    <n v="0"/>
    <n v="0"/>
    <n v="0"/>
    <n v="0"/>
    <n v="0"/>
    <n v="0"/>
    <n v="0"/>
    <s v="-"/>
    <n v="0"/>
    <n v="1"/>
    <n v="0"/>
    <n v="0"/>
    <n v="1"/>
    <n v="0"/>
  </r>
  <r>
    <s v="2025-11-19 00:00:00.000 +0000"/>
    <x v="4"/>
    <s v="Wednesday"/>
    <d v="1899-12-30T00:17:57"/>
    <n v="4"/>
    <s v="Roblox"/>
    <x v="0"/>
    <s v="COMPLETED"/>
    <s v="0.66666666666666666667"/>
    <s v="1.00000000000000000000"/>
    <s v="0.66666666666666666667"/>
    <s v="0.33333333333333333333"/>
    <s v="0.09090909090909090909"/>
    <n v="1"/>
    <n v="0"/>
    <n v="0"/>
    <n v="0"/>
    <n v="0"/>
    <n v="0"/>
    <n v="0"/>
    <n v="0"/>
    <n v="0"/>
    <n v="0"/>
    <n v="0"/>
    <n v="0"/>
    <n v="0"/>
    <n v="0"/>
    <n v="1"/>
    <n v="0"/>
    <n v="1"/>
    <n v="0"/>
    <n v="1"/>
    <n v="0"/>
    <n v="0"/>
    <n v="0"/>
    <n v="0"/>
    <n v="0"/>
    <n v="0"/>
    <s v="-"/>
    <n v="1"/>
    <n v="4"/>
    <n v="1"/>
    <n v="1"/>
    <n v="1"/>
    <n v="1"/>
  </r>
  <r>
    <s v="2025-11-21 00:00:00.000 +0000"/>
    <x v="4"/>
    <s v="Friday   "/>
    <d v="1899-12-30T00:20:01"/>
    <n v="16"/>
    <s v="Radio Silence"/>
    <x v="9"/>
    <s v="OUT_OF_TIME"/>
    <s v="0.66666666666666666667"/>
    <s v="1.00000000000000000000"/>
    <s v="0.66666666666666666667"/>
    <s v="0.40000000000000000000"/>
    <s v="0.18181818181818181818"/>
    <n v="0"/>
    <n v="0"/>
    <n v="0"/>
    <n v="1"/>
    <n v="0"/>
    <n v="0"/>
    <n v="0"/>
    <n v="0"/>
    <n v="0"/>
    <n v="0"/>
    <n v="0"/>
    <n v="0"/>
    <n v="0"/>
    <n v="1"/>
    <n v="0"/>
    <n v="0"/>
    <n v="0"/>
    <n v="0"/>
    <n v="0"/>
    <n v="0"/>
    <n v="0"/>
    <n v="0"/>
    <n v="0"/>
    <n v="0"/>
    <n v="0"/>
    <s v="-"/>
    <n v="0"/>
    <n v="1"/>
    <n v="0"/>
    <n v="0"/>
    <n v="1"/>
    <n v="0"/>
  </r>
  <r>
    <s v="2025-11-24 00:00:00.000 +0000"/>
    <x v="4"/>
    <s v="Monday   "/>
    <d v="1899-12-30T00:25:02"/>
    <n v="18"/>
    <s v="The Switch"/>
    <x v="2"/>
    <s v="OUT_OF_TIME"/>
    <s v="0.55555555555555555556"/>
    <s v="1.00000000000000000000"/>
    <s v="0.83333333333333333333"/>
    <s v="0.53333333333333333333"/>
    <s v="0.54545454545454545455"/>
    <n v="0"/>
    <n v="0"/>
    <n v="0"/>
    <n v="0"/>
    <n v="1"/>
    <n v="0"/>
    <n v="1"/>
    <n v="1"/>
    <n v="0"/>
    <n v="0"/>
    <n v="0"/>
    <n v="1"/>
    <n v="0"/>
    <n v="0"/>
    <n v="0"/>
    <n v="0"/>
    <n v="0"/>
    <n v="0"/>
    <n v="0"/>
    <n v="0"/>
    <n v="0"/>
    <n v="0"/>
    <n v="0"/>
    <n v="1"/>
    <n v="0"/>
    <s v="-"/>
    <n v="0"/>
    <n v="3"/>
    <n v="1"/>
    <n v="0"/>
    <n v="1"/>
    <n v="1"/>
  </r>
  <r>
    <s v="2025-11-26 00:00:00.000 +0000"/>
    <x v="4"/>
    <s v="Wednesday"/>
    <d v="1899-12-30T00:18:33"/>
    <n v="4"/>
    <s v="Roblox"/>
    <x v="6"/>
    <s v="COMPLETED"/>
    <s v="0.44444444444444444444"/>
    <s v="1.00000000000000000000"/>
    <s v="0.66666666666666666667"/>
    <s v="0.33333333333333333333"/>
    <s v="0.09090909090909090909"/>
    <n v="1"/>
    <n v="0"/>
    <n v="0"/>
    <n v="0"/>
    <n v="0"/>
    <n v="0"/>
    <n v="0"/>
    <n v="0"/>
    <n v="0"/>
    <n v="0"/>
    <n v="0"/>
    <n v="0"/>
    <n v="0"/>
    <n v="0"/>
    <n v="1"/>
    <n v="0"/>
    <n v="1"/>
    <n v="0"/>
    <n v="1"/>
    <n v="0"/>
    <n v="0"/>
    <n v="0"/>
    <n v="0"/>
    <n v="0"/>
    <n v="0"/>
    <s v="-"/>
    <n v="1"/>
    <n v="4"/>
    <n v="1"/>
    <n v="1"/>
    <n v="1"/>
    <n v="1"/>
  </r>
  <r>
    <s v="2025-11-27 00:00:00.000 +0000"/>
    <x v="4"/>
    <s v="Thursday "/>
    <d v="1899-12-30T00:20:01"/>
    <n v="4"/>
    <s v="Roblox"/>
    <x v="1"/>
    <s v="OUT_OF_TIME"/>
    <s v="0.44444444444444444444"/>
    <s v="0.50000000000000000000"/>
    <s v="0.66666666666666666667"/>
    <s v="0.53333333333333333333"/>
    <s v="0.36363636363636363636"/>
    <n v="1"/>
    <n v="0"/>
    <n v="0"/>
    <n v="0"/>
    <n v="0"/>
    <n v="0"/>
    <n v="0"/>
    <n v="0"/>
    <n v="0"/>
    <n v="0"/>
    <n v="0"/>
    <n v="0"/>
    <n v="0"/>
    <n v="0"/>
    <n v="1"/>
    <n v="0"/>
    <n v="1"/>
    <n v="0"/>
    <n v="1"/>
    <n v="0"/>
    <n v="0"/>
    <n v="0"/>
    <n v="0"/>
    <n v="0"/>
    <n v="0"/>
    <s v="-"/>
    <n v="1"/>
    <n v="4"/>
    <n v="1"/>
    <n v="1"/>
    <n v="1"/>
    <n v="1"/>
  </r>
  <r>
    <s v="2025-12-03 00:00:00.000 +0000"/>
    <x v="5"/>
    <s v="Wednesday"/>
    <d v="1899-12-30T00:25:18"/>
    <n v="18"/>
    <s v="The Switch"/>
    <x v="3"/>
    <s v="COMPLETED"/>
    <s v="0.55555555555555555556"/>
    <s v="1.00000000000000000000"/>
    <s v="0.66666666666666666667"/>
    <s v="0.46666666666666666667"/>
    <s v="0.45454545454545454545"/>
    <n v="0"/>
    <n v="0"/>
    <n v="0"/>
    <n v="0"/>
    <n v="1"/>
    <n v="0"/>
    <n v="1"/>
    <n v="1"/>
    <n v="0"/>
    <n v="0"/>
    <n v="0"/>
    <n v="1"/>
    <n v="0"/>
    <n v="0"/>
    <n v="0"/>
    <n v="0"/>
    <n v="0"/>
    <n v="0"/>
    <n v="0"/>
    <n v="0"/>
    <n v="0"/>
    <n v="0"/>
    <n v="0"/>
    <n v="1"/>
    <n v="0"/>
    <s v="-"/>
    <n v="0"/>
    <n v="3"/>
    <n v="1"/>
    <n v="0"/>
    <n v="1"/>
    <n v="1"/>
  </r>
  <r>
    <s v="2025-12-05 00:00:00.000 +0000"/>
    <x v="5"/>
    <s v="Friday   "/>
    <d v="1899-12-30T00:20:01"/>
    <n v="5"/>
    <s v="Bezs Beatles Day!"/>
    <x v="11"/>
    <s v="OUT_OF_TIME"/>
    <s v="0.33333333333333333333"/>
    <s v="0.50000000000000000000"/>
    <s v="0.33333333333333333333"/>
    <s v="0.20000000000000000000"/>
    <n v="0"/>
    <n v="0"/>
    <n v="0"/>
    <n v="1"/>
    <n v="0"/>
    <n v="0"/>
    <n v="0"/>
    <n v="0"/>
    <n v="0"/>
    <n v="0"/>
    <n v="0"/>
    <n v="0"/>
    <n v="1"/>
    <n v="0"/>
    <n v="0"/>
    <n v="0"/>
    <n v="0"/>
    <n v="0"/>
    <n v="0"/>
    <n v="0"/>
    <n v="0"/>
    <n v="0"/>
    <n v="0"/>
    <n v="0"/>
    <n v="0"/>
    <n v="0"/>
    <s v="-"/>
    <n v="0"/>
    <n v="1"/>
    <n v="1"/>
    <n v="0"/>
    <n v="0"/>
    <n v="0"/>
  </r>
  <r>
    <s v="2025-12-05 00:00:00.000 +0000"/>
    <x v="5"/>
    <s v="Friday   "/>
    <d v="1899-12-30T00:20:01"/>
    <n v="4"/>
    <s v="Roblox"/>
    <x v="9"/>
    <s v="OUT_OF_TIME"/>
    <s v="0.55555555555555555556"/>
    <s v="0.50000000000000000000"/>
    <s v="0.33333333333333333333"/>
    <s v="0.40000000000000000000"/>
    <s v="0.09090909090909090909"/>
    <n v="1"/>
    <n v="0"/>
    <n v="0"/>
    <n v="0"/>
    <n v="0"/>
    <n v="0"/>
    <n v="0"/>
    <n v="0"/>
    <n v="0"/>
    <n v="0"/>
    <n v="0"/>
    <n v="0"/>
    <n v="0"/>
    <n v="0"/>
    <n v="1"/>
    <n v="0"/>
    <n v="1"/>
    <n v="0"/>
    <n v="1"/>
    <n v="0"/>
    <n v="0"/>
    <n v="0"/>
    <n v="0"/>
    <n v="0"/>
    <n v="0"/>
    <s v="-"/>
    <n v="1"/>
    <n v="4"/>
    <n v="1"/>
    <n v="1"/>
    <n v="1"/>
    <n v="1"/>
  </r>
  <r>
    <s v="2025-12-05 00:00:00.000 +0000"/>
    <x v="5"/>
    <s v="Friday   "/>
    <d v="1899-12-30T00:20:01"/>
    <n v="4"/>
    <s v="Roblox"/>
    <x v="8"/>
    <s v="COMPLETED"/>
    <s v="0.55555555555555555556"/>
    <s v="1.00000000000000000000"/>
    <s v="0.66666666666666666667"/>
    <s v="0.20000000000000000000"/>
    <n v="0"/>
    <n v="1"/>
    <n v="0"/>
    <n v="0"/>
    <n v="0"/>
    <n v="0"/>
    <n v="0"/>
    <n v="0"/>
    <n v="0"/>
    <n v="0"/>
    <n v="0"/>
    <n v="0"/>
    <n v="0"/>
    <n v="0"/>
    <n v="0"/>
    <n v="1"/>
    <n v="0"/>
    <n v="1"/>
    <n v="0"/>
    <n v="1"/>
    <n v="0"/>
    <n v="0"/>
    <n v="0"/>
    <n v="0"/>
    <n v="0"/>
    <n v="0"/>
    <s v="-"/>
    <n v="1"/>
    <n v="4"/>
    <n v="1"/>
    <n v="1"/>
    <n v="1"/>
    <n v="1"/>
  </r>
  <r>
    <s v="2025-12-10 00:00:00.000 +0000"/>
    <x v="5"/>
    <s v="Wednesday"/>
    <d v="1899-12-30T00:19:26"/>
    <n v="8"/>
    <s v="The Chain"/>
    <x v="0"/>
    <s v="COMPLETED"/>
    <s v="0.44444444444444444444"/>
    <s v="1.00000000000000000000"/>
    <s v="0.50000000000000000000"/>
    <s v="0.40000000000000000000"/>
    <s v="0.27272727272727272727"/>
    <n v="0"/>
    <n v="0"/>
    <n v="0"/>
    <n v="0"/>
    <n v="0"/>
    <n v="0"/>
    <n v="0"/>
    <n v="1"/>
    <n v="0"/>
    <n v="0"/>
    <n v="0"/>
    <n v="0"/>
    <n v="1"/>
    <n v="0"/>
    <n v="0"/>
    <n v="0"/>
    <n v="0"/>
    <n v="0"/>
    <n v="0"/>
    <n v="0"/>
    <n v="0"/>
    <n v="0"/>
    <n v="0"/>
    <n v="1"/>
    <n v="0"/>
    <s v="-"/>
    <n v="0"/>
    <n v="1"/>
    <n v="2"/>
    <n v="0"/>
    <n v="0"/>
    <n v="1"/>
  </r>
  <r>
    <s v="2025-12-11 00:00:00.000 +0000"/>
    <x v="5"/>
    <s v="Thursday "/>
    <d v="1899-12-30T00:20:01"/>
    <n v="5"/>
    <s v="Bezs Beatles Day!"/>
    <x v="11"/>
    <s v="OUT_OF_TIME"/>
    <s v="0.66666666666666666667"/>
    <s v="0.50000000000000000000"/>
    <s v="0.33333333333333333333"/>
    <s v="0.33333333333333333333"/>
    <s v="0.18181818181818181818"/>
    <n v="0"/>
    <n v="0"/>
    <n v="1"/>
    <n v="0"/>
    <n v="0"/>
    <n v="0"/>
    <n v="0"/>
    <n v="0"/>
    <n v="0"/>
    <n v="0"/>
    <n v="0"/>
    <n v="1"/>
    <n v="0"/>
    <n v="0"/>
    <n v="0"/>
    <n v="0"/>
    <n v="0"/>
    <n v="0"/>
    <n v="0"/>
    <n v="0"/>
    <n v="0"/>
    <n v="0"/>
    <n v="0"/>
    <n v="0"/>
    <n v="0"/>
    <s v="-"/>
    <n v="0"/>
    <n v="1"/>
    <n v="1"/>
    <n v="0"/>
    <n v="0"/>
    <n v="0"/>
  </r>
  <r>
    <s v="2025-12-11 00:00:00.000 +0000"/>
    <x v="5"/>
    <s v="Thursday "/>
    <d v="1899-12-30T00:19:51"/>
    <n v="29"/>
    <s v="Too Good To Be True V2"/>
    <x v="12"/>
    <s v="COMPLETED"/>
    <s v="0.55555555555555555556"/>
    <s v="1.00000000000000000000"/>
    <s v="0.66666666666666666667"/>
    <s v="0.26666666666666666667"/>
    <s v="0.09090909090909090909"/>
    <n v="0"/>
    <n v="0"/>
    <n v="1"/>
    <n v="0"/>
    <n v="0"/>
    <n v="0"/>
    <n v="0"/>
    <n v="0"/>
    <n v="0"/>
    <n v="0"/>
    <n v="0"/>
    <n v="0"/>
    <n v="0"/>
    <n v="0"/>
    <n v="0"/>
    <n v="0"/>
    <n v="0"/>
    <n v="0"/>
    <n v="0"/>
    <n v="0"/>
    <n v="0"/>
    <n v="0"/>
    <n v="1"/>
    <n v="0"/>
    <n v="0"/>
    <s v="-"/>
    <n v="0"/>
    <n v="1"/>
    <n v="2"/>
    <n v="0"/>
    <n v="0"/>
    <n v="0"/>
  </r>
  <r>
    <s v="2025-12-12 00:00:00.000 +0000"/>
    <x v="5"/>
    <s v="Friday   "/>
    <d v="1899-12-30T00:25:01"/>
    <n v="8"/>
    <s v="The Chain"/>
    <x v="1"/>
    <s v="OUT_OF_TIME"/>
    <s v="0.55555555555555555556"/>
    <s v="1.00000000000000000000"/>
    <s v="0.33333333333333333333"/>
    <s v="0.33333333333333333333"/>
    <s v="0.18181818181818181818"/>
    <n v="0"/>
    <n v="0"/>
    <n v="0"/>
    <n v="0"/>
    <n v="0"/>
    <n v="0"/>
    <n v="0"/>
    <n v="1"/>
    <n v="0"/>
    <n v="0"/>
    <n v="0"/>
    <n v="0"/>
    <n v="1"/>
    <n v="0"/>
    <n v="0"/>
    <n v="0"/>
    <n v="0"/>
    <n v="0"/>
    <n v="0"/>
    <n v="0"/>
    <n v="0"/>
    <n v="0"/>
    <n v="0"/>
    <n v="1"/>
    <n v="0"/>
    <s v="-"/>
    <n v="0"/>
    <n v="1"/>
    <n v="2"/>
    <n v="0"/>
    <n v="0"/>
    <n v="1"/>
  </r>
  <r>
    <s v="2025-12-19 00:00:00.000 +0000"/>
    <x v="5"/>
    <s v="Friday   "/>
    <d v="1899-12-30T00:25:19"/>
    <n v="8"/>
    <s v="The Chain"/>
    <x v="9"/>
    <s v="COMPLETED"/>
    <s v="0.44444444444444444444"/>
    <s v="0.50000000000000000000"/>
    <s v="0.66666666666666666667"/>
    <s v="0.60000000000000000000"/>
    <s v="0.36363636363636363636"/>
    <n v="0"/>
    <n v="0"/>
    <n v="0"/>
    <n v="0"/>
    <n v="0"/>
    <n v="0"/>
    <n v="0"/>
    <n v="1"/>
    <n v="0"/>
    <n v="0"/>
    <n v="0"/>
    <n v="0"/>
    <n v="1"/>
    <n v="0"/>
    <n v="0"/>
    <n v="0"/>
    <n v="0"/>
    <n v="0"/>
    <n v="0"/>
    <n v="0"/>
    <n v="0"/>
    <n v="0"/>
    <n v="0"/>
    <n v="1"/>
    <n v="0"/>
    <s v="-"/>
    <n v="0"/>
    <n v="1"/>
    <n v="2"/>
    <n v="0"/>
    <n v="0"/>
    <n v="1"/>
  </r>
  <r>
    <s v="2025-12-19 00:00:00.000 +0000"/>
    <x v="5"/>
    <s v="Friday   "/>
    <d v="1899-12-30T00:25:02"/>
    <n v="18"/>
    <s v="The Switch"/>
    <x v="8"/>
    <s v="OUT_OF_TIME"/>
    <s v="0.33333333333333333333"/>
    <s v="0.50000000000000000000"/>
    <s v="0.66666666666666666667"/>
    <s v="0.40000000000000000000"/>
    <s v="0.18181818181818181818"/>
    <n v="0"/>
    <n v="0"/>
    <n v="0"/>
    <n v="0"/>
    <n v="1"/>
    <n v="0"/>
    <n v="1"/>
    <n v="1"/>
    <n v="0"/>
    <n v="0"/>
    <n v="0"/>
    <n v="1"/>
    <n v="0"/>
    <n v="0"/>
    <n v="0"/>
    <n v="0"/>
    <n v="0"/>
    <n v="0"/>
    <n v="0"/>
    <n v="0"/>
    <n v="0"/>
    <n v="0"/>
    <n v="0"/>
    <n v="1"/>
    <n v="0"/>
    <s v="-"/>
    <n v="0"/>
    <n v="3"/>
    <n v="1"/>
    <n v="0"/>
    <n v="1"/>
    <n v="1"/>
  </r>
  <r>
    <s v="2026-01-08 00:00:00.000 +0000"/>
    <x v="6"/>
    <s v="Thursday "/>
    <d v="1899-12-30T00:24:22"/>
    <n v="18"/>
    <s v="The Switch"/>
    <x v="1"/>
    <s v="COMPLETED"/>
    <s v="0.66666666666666666667"/>
    <s v="1.00000000000000000000"/>
    <s v="0.66666666666666666667"/>
    <s v="0.46666666666666666667"/>
    <s v="0.27272727272727272727"/>
    <n v="0"/>
    <n v="0"/>
    <n v="0"/>
    <n v="0"/>
    <n v="1"/>
    <n v="0"/>
    <n v="1"/>
    <n v="1"/>
    <n v="0"/>
    <n v="0"/>
    <n v="0"/>
    <n v="1"/>
    <n v="0"/>
    <n v="0"/>
    <n v="0"/>
    <n v="0"/>
    <n v="0"/>
    <n v="0"/>
    <n v="0"/>
    <n v="0"/>
    <n v="0"/>
    <n v="0"/>
    <n v="0"/>
    <n v="1"/>
    <n v="0"/>
    <s v="-"/>
    <n v="0"/>
    <n v="3"/>
    <n v="1"/>
    <n v="0"/>
    <n v="1"/>
    <n v="1"/>
  </r>
  <r>
    <s v="2026-01-08 00:00:00.000 +0000"/>
    <x v="6"/>
    <s v="Thursday "/>
    <d v="1899-12-30T00:20:01"/>
    <n v="4"/>
    <s v="Roblox"/>
    <x v="4"/>
    <s v="OUT_OF_TIME"/>
    <s v="0.33333333333333333333"/>
    <s v="0.50000000000000000000"/>
    <s v="0.66666666666666666667"/>
    <s v="0.26666666666666666667"/>
    <s v="0.09090909090909090909"/>
    <n v="1"/>
    <n v="0"/>
    <n v="0"/>
    <n v="0"/>
    <n v="0"/>
    <n v="0"/>
    <n v="0"/>
    <n v="0"/>
    <n v="0"/>
    <n v="0"/>
    <n v="0"/>
    <n v="0"/>
    <n v="0"/>
    <n v="0"/>
    <n v="1"/>
    <n v="0"/>
    <n v="1"/>
    <n v="0"/>
    <n v="1"/>
    <n v="0"/>
    <n v="0"/>
    <n v="0"/>
    <n v="0"/>
    <n v="0"/>
    <n v="0"/>
    <s v="-"/>
    <n v="1"/>
    <n v="4"/>
    <n v="1"/>
    <n v="1"/>
    <n v="1"/>
    <n v="1"/>
  </r>
  <r>
    <s v="2026-01-12 00:00:00.000 +0000"/>
    <x v="6"/>
    <s v="Monday   "/>
    <d v="1899-12-30T00:25:02"/>
    <n v="8"/>
    <s v="The Chain"/>
    <x v="2"/>
    <s v="OUT_OF_TIME"/>
    <s v="0.66666666666666666667"/>
    <s v="0.50000000000000000000"/>
    <s v="0.33333333333333333333"/>
    <s v="0.33333333333333333333"/>
    <s v="0.18181818181818181818"/>
    <n v="0"/>
    <n v="0"/>
    <n v="0"/>
    <n v="0"/>
    <n v="0"/>
    <n v="0"/>
    <n v="0"/>
    <n v="1"/>
    <n v="0"/>
    <n v="0"/>
    <n v="0"/>
    <n v="0"/>
    <n v="1"/>
    <n v="0"/>
    <n v="0"/>
    <n v="0"/>
    <n v="0"/>
    <n v="0"/>
    <n v="0"/>
    <n v="0"/>
    <n v="0"/>
    <n v="0"/>
    <n v="0"/>
    <n v="1"/>
    <n v="0"/>
    <s v="-"/>
    <n v="0"/>
    <n v="1"/>
    <n v="2"/>
    <n v="0"/>
    <n v="0"/>
    <n v="1"/>
  </r>
  <r>
    <s v="2026-01-14 00:00:00.000 +0000"/>
    <x v="6"/>
    <s v="Wednesday"/>
    <d v="1899-12-30T00:24:03"/>
    <n v="8"/>
    <s v="The Chain"/>
    <x v="6"/>
    <s v="COMPLETED"/>
    <s v="0.55555555555555555556"/>
    <s v="1.00000000000000000000"/>
    <s v="0.66666666666666666667"/>
    <s v="0.60000000000000000000"/>
    <s v="0.36363636363636363636"/>
    <n v="0"/>
    <n v="0"/>
    <n v="0"/>
    <n v="0"/>
    <n v="0"/>
    <n v="0"/>
    <n v="0"/>
    <n v="1"/>
    <n v="0"/>
    <n v="0"/>
    <n v="0"/>
    <n v="0"/>
    <n v="1"/>
    <n v="0"/>
    <n v="0"/>
    <n v="0"/>
    <n v="0"/>
    <n v="0"/>
    <n v="0"/>
    <n v="0"/>
    <n v="0"/>
    <n v="0"/>
    <n v="0"/>
    <n v="1"/>
    <n v="0"/>
    <s v="-"/>
    <n v="0"/>
    <n v="1"/>
    <n v="2"/>
    <n v="0"/>
    <n v="0"/>
    <n v="1"/>
  </r>
  <r>
    <s v="2026-01-15 00:00:00.000 +0000"/>
    <x v="6"/>
    <s v="Thursday "/>
    <d v="1899-12-30T00:20:01"/>
    <n v="32"/>
    <s v="The Big Investor V2"/>
    <x v="11"/>
    <s v="OUT_OF_TIME"/>
    <s v="0.44444444444444444444"/>
    <s v="0.50000000000000000000"/>
    <s v="0.33333333333333333333"/>
    <s v="0.26666666666666666667"/>
    <s v="0.18181818181818181818"/>
    <n v="0"/>
    <n v="0"/>
    <n v="0"/>
    <n v="0"/>
    <n v="0"/>
    <n v="0"/>
    <n v="1"/>
    <n v="1"/>
    <n v="0"/>
    <n v="0"/>
    <n v="0"/>
    <n v="0"/>
    <n v="0"/>
    <n v="0"/>
    <n v="0"/>
    <n v="0"/>
    <n v="0"/>
    <n v="0"/>
    <n v="0"/>
    <n v="0"/>
    <n v="0"/>
    <n v="0"/>
    <n v="0"/>
    <n v="0"/>
    <n v="0"/>
    <s v="-"/>
    <n v="0"/>
    <n v="2"/>
    <n v="0"/>
    <n v="0"/>
    <n v="0"/>
    <n v="0"/>
  </r>
  <r>
    <s v="2026-01-16 00:00:00.000 +0000"/>
    <x v="6"/>
    <s v="Friday   "/>
    <d v="1899-12-30T00:20:01"/>
    <n v="5"/>
    <s v="Bezs Beatles Day! V2"/>
    <x v="12"/>
    <s v="OUT_OF_TIME"/>
    <s v="0.33333333333333333333"/>
    <s v="1.00000000000000000000"/>
    <s v="0.33333333333333333333"/>
    <s v="0.40000000000000000000"/>
    <s v="0.36363636363636363636"/>
    <n v="0"/>
    <n v="0"/>
    <n v="1"/>
    <n v="0"/>
    <n v="0"/>
    <n v="0"/>
    <n v="0"/>
    <n v="0"/>
    <n v="0"/>
    <n v="0"/>
    <n v="0"/>
    <n v="1"/>
    <n v="0"/>
    <n v="0"/>
    <n v="0"/>
    <n v="0"/>
    <n v="0"/>
    <n v="0"/>
    <n v="0"/>
    <n v="0"/>
    <n v="0"/>
    <n v="0"/>
    <n v="0"/>
    <n v="0"/>
    <n v="0"/>
    <s v="-"/>
    <n v="0"/>
    <n v="1"/>
    <n v="1"/>
    <n v="0"/>
    <n v="0"/>
    <n v="0"/>
  </r>
  <r>
    <s v="2026-01-16 00:00:00.000 +0000"/>
    <x v="6"/>
    <s v="Friday   "/>
    <d v="1899-12-30T00:25:02"/>
    <n v="18"/>
    <s v="The Switch"/>
    <x v="9"/>
    <s v="OUT_OF_TIME"/>
    <s v="0.44444444444444444444"/>
    <s v="1.00000000000000000000"/>
    <s v="0.33333333333333333333"/>
    <s v="0.20000000000000000000"/>
    <s v="0.09090909090909090909"/>
    <n v="0"/>
    <n v="0"/>
    <n v="0"/>
    <n v="0"/>
    <n v="1"/>
    <n v="0"/>
    <n v="1"/>
    <n v="1"/>
    <n v="0"/>
    <n v="0"/>
    <n v="0"/>
    <n v="1"/>
    <n v="0"/>
    <n v="0"/>
    <n v="0"/>
    <n v="0"/>
    <n v="0"/>
    <n v="0"/>
    <n v="0"/>
    <n v="0"/>
    <n v="0"/>
    <n v="0"/>
    <n v="0"/>
    <n v="1"/>
    <n v="0"/>
    <s v="-"/>
    <n v="0"/>
    <n v="3"/>
    <n v="1"/>
    <n v="0"/>
    <n v="1"/>
    <n v="1"/>
  </r>
  <r>
    <s v="2026-01-16 00:00:00.000 +0000"/>
    <x v="6"/>
    <s v="Friday   "/>
    <d v="1899-12-30T00:20:41"/>
    <n v="18"/>
    <s v="The Switch"/>
    <x v="0"/>
    <s v="COMPLETED"/>
    <s v="0.77777777777777777778"/>
    <s v="1.00000000000000000000"/>
    <s v="0.66666666666666666667"/>
    <s v="0.66666666666666666667"/>
    <s v="0.45454545454545454545"/>
    <n v="0"/>
    <n v="0"/>
    <n v="0"/>
    <n v="0"/>
    <n v="1"/>
    <n v="0"/>
    <n v="1"/>
    <n v="1"/>
    <n v="0"/>
    <n v="0"/>
    <n v="0"/>
    <n v="1"/>
    <n v="0"/>
    <n v="0"/>
    <n v="0"/>
    <n v="0"/>
    <n v="0"/>
    <n v="0"/>
    <n v="0"/>
    <n v="0"/>
    <n v="0"/>
    <n v="0"/>
    <n v="0"/>
    <n v="1"/>
    <n v="0"/>
    <s v="-"/>
    <n v="0"/>
    <n v="3"/>
    <n v="1"/>
    <n v="0"/>
    <n v="1"/>
    <n v="1"/>
  </r>
  <r>
    <s v="2026-01-21 00:00:00.000 +0000"/>
    <x v="6"/>
    <s v="Wednesday"/>
    <d v="1899-12-30T00:27:57"/>
    <n v="33"/>
    <s v="The Unknown Unknown"/>
    <x v="3"/>
    <s v="COMPLETED"/>
    <s v="0.33333333333333333333"/>
    <s v="1.00000000000000000000"/>
    <s v="0.66666666666666666667"/>
    <s v="0.20000000000000000000"/>
    <n v="0"/>
    <n v="0"/>
    <n v="0"/>
    <n v="1"/>
    <n v="0"/>
    <n v="0"/>
    <n v="1"/>
    <n v="0"/>
    <n v="0"/>
    <n v="0"/>
    <n v="0"/>
    <n v="0"/>
    <n v="0"/>
    <n v="0"/>
    <n v="0"/>
    <n v="0"/>
    <n v="0"/>
    <n v="0"/>
    <n v="0"/>
    <n v="0"/>
    <n v="0"/>
    <n v="0"/>
    <n v="0"/>
    <n v="0"/>
    <n v="0"/>
    <n v="1"/>
    <s v="-"/>
    <n v="1"/>
    <n v="0"/>
    <n v="1"/>
    <n v="1"/>
    <n v="0"/>
    <n v="0"/>
  </r>
  <r>
    <s v="2026-01-22 00:00:00.000 +0000"/>
    <x v="6"/>
    <s v="Thursday "/>
    <d v="1899-12-30T00:20:01"/>
    <n v="4"/>
    <s v="Roblox"/>
    <x v="7"/>
    <s v="OUT_OF_TIME"/>
    <s v="0.66666666666666666667"/>
    <n v="0"/>
    <s v="0.33333333333333333333"/>
    <s v="0.66666666666666666667"/>
    <s v="0.36363636363636363636"/>
    <n v="1"/>
    <n v="0"/>
    <n v="0"/>
    <n v="0"/>
    <n v="0"/>
    <n v="0"/>
    <n v="0"/>
    <n v="0"/>
    <n v="0"/>
    <n v="0"/>
    <n v="0"/>
    <n v="0"/>
    <n v="0"/>
    <n v="0"/>
    <n v="1"/>
    <n v="0"/>
    <n v="1"/>
    <n v="0"/>
    <n v="1"/>
    <n v="0"/>
    <n v="0"/>
    <n v="0"/>
    <n v="0"/>
    <n v="0"/>
    <n v="0"/>
    <s v="-"/>
    <n v="1"/>
    <n v="4"/>
    <n v="1"/>
    <n v="1"/>
    <n v="1"/>
    <n v="1"/>
  </r>
  <r>
    <s v="2026-01-23 00:00:00.000 +0000"/>
    <x v="6"/>
    <s v="Friday   "/>
    <d v="1899-12-30T00:15:26"/>
    <n v="5"/>
    <s v="Bezs Beatles Day! V2"/>
    <x v="12"/>
    <s v="COMPLETED"/>
    <s v="0.44444444444444444444"/>
    <s v="0.50000000000000000000"/>
    <s v="0.66666666666666666667"/>
    <s v="0.66666666666666666667"/>
    <s v="0.27272727272727272727"/>
    <n v="0"/>
    <n v="0"/>
    <n v="1"/>
    <n v="0"/>
    <n v="0"/>
    <n v="0"/>
    <n v="0"/>
    <n v="0"/>
    <n v="0"/>
    <n v="0"/>
    <n v="0"/>
    <n v="1"/>
    <n v="0"/>
    <n v="0"/>
    <n v="0"/>
    <n v="0"/>
    <n v="0"/>
    <n v="0"/>
    <n v="0"/>
    <n v="0"/>
    <n v="0"/>
    <n v="0"/>
    <n v="0"/>
    <n v="0"/>
    <n v="0"/>
    <s v="-"/>
    <n v="0"/>
    <n v="1"/>
    <n v="1"/>
    <n v="0"/>
    <n v="0"/>
    <n v="0"/>
  </r>
  <r>
    <s v="2026-01-28 00:00:00.000 +0000"/>
    <x v="6"/>
    <s v="Wednesday"/>
    <d v="1899-12-30T00:22:33"/>
    <n v="18"/>
    <s v="The Switch"/>
    <x v="6"/>
    <s v="COMPLETED"/>
    <s v="0.44444444444444444444"/>
    <s v="1.00000000000000000000"/>
    <s v="0.83333333333333333333"/>
    <s v="0.46666666666666666667"/>
    <s v="0.27272727272727272727"/>
    <n v="0"/>
    <n v="0"/>
    <n v="0"/>
    <n v="0"/>
    <n v="1"/>
    <n v="0"/>
    <n v="1"/>
    <n v="1"/>
    <n v="0"/>
    <n v="0"/>
    <n v="0"/>
    <n v="1"/>
    <n v="0"/>
    <n v="0"/>
    <n v="0"/>
    <n v="0"/>
    <n v="0"/>
    <n v="0"/>
    <n v="0"/>
    <n v="0"/>
    <n v="0"/>
    <n v="0"/>
    <n v="0"/>
    <n v="1"/>
    <n v="0"/>
    <s v="-"/>
    <n v="0"/>
    <n v="3"/>
    <n v="1"/>
    <n v="0"/>
    <n v="1"/>
    <n v="1"/>
  </r>
  <r>
    <s v="2026-01-29 00:00:00.000 +0000"/>
    <x v="6"/>
    <s v="Thursday "/>
    <d v="1899-12-30T00:18:22"/>
    <n v="32"/>
    <s v="The Big Investor V2"/>
    <x v="12"/>
    <s v="COMPLETED"/>
    <s v="0.44444444444444444444"/>
    <s v="0.50000000000000000000"/>
    <s v="0.50000000000000000000"/>
    <s v="0.40000000000000000000"/>
    <s v="0.18181818181818181818"/>
    <n v="0"/>
    <n v="0"/>
    <n v="0"/>
    <n v="0"/>
    <n v="0"/>
    <n v="0"/>
    <n v="1"/>
    <n v="1"/>
    <n v="0"/>
    <n v="0"/>
    <n v="0"/>
    <n v="0"/>
    <n v="0"/>
    <n v="0"/>
    <n v="0"/>
    <n v="0"/>
    <n v="0"/>
    <n v="0"/>
    <n v="0"/>
    <n v="0"/>
    <n v="0"/>
    <n v="0"/>
    <n v="0"/>
    <n v="0"/>
    <n v="0"/>
    <s v="-"/>
    <n v="0"/>
    <n v="2"/>
    <n v="0"/>
    <n v="0"/>
    <n v="0"/>
    <n v="0"/>
  </r>
  <r>
    <s v="2026-02-05 00:00:00.000 +0000"/>
    <x v="7"/>
    <s v="Thursday "/>
    <d v="1899-12-30T00:21:37"/>
    <n v="18"/>
    <s v="The Switch"/>
    <x v="7"/>
    <s v="COMPLETED"/>
    <s v="0.66666666666666666667"/>
    <s v="0.50000000000000000000"/>
    <s v="0.33333333333333333333"/>
    <s v="0.66666666666666666667"/>
    <s v="0.45454545454545454545"/>
    <n v="0"/>
    <n v="0"/>
    <n v="0"/>
    <n v="0"/>
    <n v="1"/>
    <n v="0"/>
    <n v="1"/>
    <n v="1"/>
    <n v="0"/>
    <n v="0"/>
    <n v="0"/>
    <n v="1"/>
    <n v="0"/>
    <n v="0"/>
    <n v="0"/>
    <n v="0"/>
    <n v="0"/>
    <n v="0"/>
    <n v="0"/>
    <n v="0"/>
    <n v="0"/>
    <n v="0"/>
    <n v="0"/>
    <n v="1"/>
    <n v="0"/>
    <s v="-"/>
    <n v="0"/>
    <n v="3"/>
    <n v="1"/>
    <n v="0"/>
    <n v="1"/>
    <n v="1"/>
  </r>
  <r>
    <s v="2026-02-06 00:00:00.000 +0000"/>
    <x v="7"/>
    <s v="Friday   "/>
    <d v="1899-12-30T00:14:33"/>
    <n v="7"/>
    <s v="Rumours"/>
    <x v="12"/>
    <s v="COMPLETED"/>
    <s v="0.55555555555555555556"/>
    <s v="1.00000000000000000000"/>
    <s v="0.33333333333333333333"/>
    <s v="0.13333333333333333333"/>
    <n v="0"/>
    <n v="0"/>
    <n v="0"/>
    <n v="0"/>
    <n v="0"/>
    <n v="0"/>
    <n v="0"/>
    <n v="1"/>
    <n v="0"/>
    <n v="1"/>
    <n v="0"/>
    <n v="0"/>
    <n v="0"/>
    <n v="0"/>
    <n v="0"/>
    <n v="0"/>
    <n v="0"/>
    <n v="0"/>
    <n v="0"/>
    <n v="0"/>
    <n v="0"/>
    <n v="0"/>
    <n v="1"/>
    <n v="0"/>
    <n v="0"/>
    <n v="0"/>
    <s v="-"/>
    <n v="0"/>
    <n v="2"/>
    <n v="0"/>
    <n v="1"/>
    <n v="0"/>
    <n v="0"/>
  </r>
  <r>
    <s v="2026-02-12 00:00:00.000 +0000"/>
    <x v="7"/>
    <s v="Thursday "/>
    <d v="1899-12-30T00:28:12"/>
    <n v="33"/>
    <s v="The Unknown Unknown"/>
    <x v="0"/>
    <s v="COMPLETED"/>
    <s v="0.66666666666666666667"/>
    <s v="1.00000000000000000000"/>
    <s v="0.50000000000000000000"/>
    <s v="0.46666666666666666667"/>
    <s v="0.27272727272727272727"/>
    <n v="0"/>
    <n v="0"/>
    <n v="1"/>
    <n v="0"/>
    <n v="0"/>
    <n v="1"/>
    <n v="0"/>
    <n v="0"/>
    <n v="0"/>
    <n v="0"/>
    <n v="0"/>
    <n v="0"/>
    <n v="0"/>
    <n v="0"/>
    <n v="0"/>
    <n v="0"/>
    <n v="0"/>
    <n v="0"/>
    <n v="0"/>
    <n v="0"/>
    <n v="0"/>
    <n v="0"/>
    <n v="0"/>
    <n v="0"/>
    <n v="1"/>
    <s v="-"/>
    <n v="1"/>
    <n v="0"/>
    <n v="1"/>
    <n v="1"/>
    <n v="0"/>
    <n v="0"/>
  </r>
  <r>
    <s v="2026-02-13 00:00:00.000 +0000"/>
    <x v="7"/>
    <s v="Friday   "/>
    <d v="1899-12-30T00:23:39"/>
    <n v="14"/>
    <s v="Missing Delivery"/>
    <x v="12"/>
    <s v="COMPLETED"/>
    <s v="0.66666666666666666667"/>
    <s v="1.00000000000000000000"/>
    <s v="0.50000000000000000000"/>
    <s v="0.53333333333333333333"/>
    <s v="0.36363636363636363636"/>
    <n v="0"/>
    <n v="0"/>
    <n v="0"/>
    <n v="0"/>
    <n v="0"/>
    <n v="0"/>
    <n v="0"/>
    <n v="0"/>
    <n v="1"/>
    <n v="1"/>
    <n v="0"/>
    <n v="0"/>
    <n v="0"/>
    <n v="0"/>
    <n v="1"/>
    <n v="0"/>
    <n v="0"/>
    <n v="0"/>
    <n v="0"/>
    <n v="0"/>
    <n v="0"/>
    <n v="0"/>
    <n v="0"/>
    <n v="0"/>
    <n v="0"/>
    <s v="-"/>
    <n v="1"/>
    <n v="2"/>
    <n v="1"/>
    <n v="1"/>
    <n v="2"/>
    <n v="1"/>
  </r>
  <r>
    <s v="2026-02-13 00:00:00.000 +0000"/>
    <x v="7"/>
    <s v="Friday   "/>
    <d v="1899-12-30T00:20:02"/>
    <n v="17"/>
    <s v="Version confusion"/>
    <x v="9"/>
    <s v="OUT_OF_TIME"/>
    <s v="0.55555555555555555556"/>
    <s v="1.00000000000000000000"/>
    <s v="0.50000000000000000000"/>
    <s v="0.20000000000000000000"/>
    <s v="0.09090909090909090909"/>
    <n v="0"/>
    <n v="0"/>
    <n v="0"/>
    <n v="0"/>
    <n v="1"/>
    <n v="0"/>
    <n v="1"/>
    <n v="0"/>
    <n v="0"/>
    <n v="0"/>
    <n v="0"/>
    <n v="1"/>
    <n v="0"/>
    <n v="0"/>
    <n v="0"/>
    <n v="0"/>
    <n v="0"/>
    <n v="0"/>
    <n v="0"/>
    <n v="0"/>
    <n v="0"/>
    <n v="0"/>
    <n v="0"/>
    <n v="0"/>
    <n v="0"/>
    <s v="-"/>
    <n v="0"/>
    <n v="2"/>
    <n v="0"/>
    <n v="0"/>
    <n v="1"/>
    <n v="0"/>
  </r>
  <r>
    <s v="2026-02-13 00:00:00.000 +0000"/>
    <x v="7"/>
    <s v="Friday   "/>
    <d v="1899-12-30T00:25:01"/>
    <n v="8"/>
    <s v="The Chain"/>
    <x v="4"/>
    <s v="OUT_OF_TIME"/>
    <s v="0.55555555555555555556"/>
    <s v="1.00000000000000000000"/>
    <s v="0.33333333333333333333"/>
    <s v="0.33333333333333333333"/>
    <s v="0.27272727272727272727"/>
    <n v="0"/>
    <n v="0"/>
    <n v="0"/>
    <n v="0"/>
    <n v="0"/>
    <n v="0"/>
    <n v="0"/>
    <n v="1"/>
    <n v="0"/>
    <n v="0"/>
    <n v="0"/>
    <n v="0"/>
    <n v="1"/>
    <n v="0"/>
    <n v="0"/>
    <n v="0"/>
    <n v="0"/>
    <n v="0"/>
    <n v="0"/>
    <n v="0"/>
    <n v="0"/>
    <n v="0"/>
    <n v="0"/>
    <n v="1"/>
    <n v="0"/>
    <s v="-"/>
    <n v="0"/>
    <n v="1"/>
    <n v="2"/>
    <n v="0"/>
    <n v="0"/>
    <n v="1"/>
  </r>
  <r>
    <s v="2026-02-19 00:00:00.000 +0000"/>
    <x v="7"/>
    <s v="Thursday "/>
    <d v="1899-12-30T00:20:01"/>
    <n v="17"/>
    <s v="Version confusion"/>
    <x v="3"/>
    <s v="OUT_OF_TIME"/>
    <s v="0.33333333333333333333"/>
    <s v="1.00000000000000000000"/>
    <s v="0.50000000000000000000"/>
    <s v="0.33333333333333333333"/>
    <s v="0.09090909090909090909"/>
    <n v="0"/>
    <n v="0"/>
    <n v="0"/>
    <n v="0"/>
    <n v="1"/>
    <n v="0"/>
    <n v="1"/>
    <n v="0"/>
    <n v="0"/>
    <n v="0"/>
    <n v="0"/>
    <n v="1"/>
    <n v="0"/>
    <n v="0"/>
    <n v="0"/>
    <n v="0"/>
    <n v="0"/>
    <n v="0"/>
    <n v="0"/>
    <n v="0"/>
    <n v="0"/>
    <n v="0"/>
    <n v="0"/>
    <n v="0"/>
    <n v="0"/>
    <s v="-"/>
    <n v="0"/>
    <n v="2"/>
    <n v="0"/>
    <n v="0"/>
    <n v="1"/>
    <n v="0"/>
  </r>
  <r>
    <s v="2026-02-20 00:00:00.000 +0000"/>
    <x v="7"/>
    <s v="Friday   "/>
    <d v="1899-12-30T00:20:11"/>
    <n v="8"/>
    <s v="The Chain"/>
    <x v="8"/>
    <s v="COMPLETED"/>
    <s v="0.44444444444444444444"/>
    <s v="0.50000000000000000000"/>
    <s v="0.66666666666666666667"/>
    <s v="0.33333333333333333333"/>
    <s v="0.18181818181818181818"/>
    <n v="0"/>
    <n v="0"/>
    <n v="0"/>
    <n v="0"/>
    <n v="0"/>
    <n v="0"/>
    <n v="0"/>
    <n v="1"/>
    <n v="0"/>
    <n v="0"/>
    <n v="0"/>
    <n v="0"/>
    <n v="1"/>
    <n v="0"/>
    <n v="0"/>
    <n v="0"/>
    <n v="0"/>
    <n v="0"/>
    <n v="0"/>
    <n v="0"/>
    <n v="0"/>
    <n v="0"/>
    <n v="0"/>
    <n v="1"/>
    <n v="0"/>
    <s v="-"/>
    <n v="0"/>
    <n v="1"/>
    <n v="2"/>
    <n v="0"/>
    <n v="0"/>
    <n v="1"/>
  </r>
  <r>
    <s v="2026-02-23 00:00:00.000 +0000"/>
    <x v="7"/>
    <s v="Monday   "/>
    <d v="1899-12-30T00:20:01"/>
    <n v="17"/>
    <s v="Version confusion"/>
    <x v="2"/>
    <s v="OUT_OF_TIME"/>
    <s v="0.44444444444444444444"/>
    <s v="0.50000000000000000000"/>
    <s v="0.33333333333333333333"/>
    <s v="0.33333333333333333333"/>
    <s v="0.18181818181818181818"/>
    <n v="0"/>
    <n v="0"/>
    <n v="0"/>
    <n v="0"/>
    <n v="1"/>
    <n v="0"/>
    <n v="1"/>
    <n v="0"/>
    <n v="0"/>
    <n v="0"/>
    <n v="0"/>
    <n v="1"/>
    <n v="0"/>
    <n v="0"/>
    <n v="0"/>
    <n v="0"/>
    <n v="0"/>
    <n v="0"/>
    <n v="0"/>
    <n v="0"/>
    <n v="0"/>
    <n v="0"/>
    <n v="0"/>
    <n v="0"/>
    <n v="0"/>
    <s v="-"/>
    <n v="0"/>
    <n v="2"/>
    <n v="0"/>
    <n v="0"/>
    <n v="1"/>
    <n v="0"/>
  </r>
  <r>
    <s v="2026-02-26 00:00:00.000 +0000"/>
    <x v="7"/>
    <s v="Thursday "/>
    <d v="1899-12-30T00:25:02"/>
    <n v="18"/>
    <s v="The Switch"/>
    <x v="4"/>
    <s v="OUT_OF_TIME"/>
    <s v="0.22222222222222222222"/>
    <s v="0.50000000000000000000"/>
    <s v="0.33333333333333333333"/>
    <s v="0.20000000000000000000"/>
    <n v="0"/>
    <n v="0"/>
    <n v="0"/>
    <n v="0"/>
    <n v="0"/>
    <n v="1"/>
    <n v="0"/>
    <n v="1"/>
    <n v="1"/>
    <n v="0"/>
    <n v="0"/>
    <n v="0"/>
    <n v="1"/>
    <n v="0"/>
    <n v="0"/>
    <n v="0"/>
    <n v="0"/>
    <n v="0"/>
    <n v="0"/>
    <n v="0"/>
    <n v="0"/>
    <n v="0"/>
    <n v="0"/>
    <n v="0"/>
    <n v="1"/>
    <n v="0"/>
    <s v="-"/>
    <n v="0"/>
    <n v="3"/>
    <n v="1"/>
    <n v="0"/>
    <n v="1"/>
    <n v="1"/>
  </r>
  <r>
    <s v="2026-02-27 00:00:00.000 +0000"/>
    <x v="7"/>
    <s v="Friday   "/>
    <d v="1899-12-30T00:19:50"/>
    <n v="16"/>
    <s v="Radio Silence"/>
    <x v="12"/>
    <s v="COMPLETED"/>
    <s v="0.55555555555555555556"/>
    <s v="1.00000000000000000000"/>
    <s v="0.66666666666666666667"/>
    <s v="0.46666666666666666667"/>
    <s v="0.18181818181818181818"/>
    <n v="0"/>
    <n v="0"/>
    <n v="0"/>
    <n v="1"/>
    <n v="0"/>
    <n v="0"/>
    <n v="0"/>
    <n v="0"/>
    <n v="0"/>
    <n v="0"/>
    <n v="0"/>
    <n v="0"/>
    <n v="0"/>
    <n v="1"/>
    <n v="0"/>
    <n v="0"/>
    <n v="0"/>
    <n v="0"/>
    <n v="0"/>
    <n v="0"/>
    <n v="0"/>
    <n v="0"/>
    <n v="0"/>
    <n v="0"/>
    <n v="0"/>
    <s v="-"/>
    <n v="0"/>
    <n v="1"/>
    <n v="0"/>
    <n v="0"/>
    <n v="1"/>
    <n v="0"/>
  </r>
  <r>
    <s v="2026-03-04 00:00:00.000 +0000"/>
    <x v="8"/>
    <s v="Wednesday"/>
    <d v="1899-12-30T00:16:02"/>
    <n v="17"/>
    <s v="Version confusion"/>
    <x v="6"/>
    <s v="COMPLETED"/>
    <s v="0.44444444444444444444"/>
    <s v="0.50000000000000000000"/>
    <s v="0.66666666666666666667"/>
    <s v="0.33333333333333333333"/>
    <s v="0.09090909090909090909"/>
    <n v="0"/>
    <n v="0"/>
    <n v="0"/>
    <n v="0"/>
    <n v="1"/>
    <n v="0"/>
    <n v="1"/>
    <n v="0"/>
    <n v="0"/>
    <n v="0"/>
    <n v="0"/>
    <n v="1"/>
    <n v="0"/>
    <n v="0"/>
    <n v="0"/>
    <n v="0"/>
    <n v="0"/>
    <n v="0"/>
    <n v="0"/>
    <n v="0"/>
    <n v="0"/>
    <n v="0"/>
    <n v="0"/>
    <n v="0"/>
    <n v="0"/>
    <s v="-"/>
    <n v="0"/>
    <n v="2"/>
    <n v="0"/>
    <n v="0"/>
    <n v="1"/>
    <n v="0"/>
  </r>
  <r>
    <s v="2026-03-12 00:00:00.000 +0000"/>
    <x v="8"/>
    <s v="Thursday "/>
    <d v="1899-12-30T00:20:02"/>
    <n v="9"/>
    <s v="Cart-astrophe"/>
    <x v="2"/>
    <s v="OUT_OF_TIME"/>
    <s v="0.33333333333333333333"/>
    <s v="0.50000000000000000000"/>
    <s v="0.50000000000000000000"/>
    <s v="0.26666666666666666667"/>
    <s v="0.09090909090909090909"/>
    <n v="0"/>
    <n v="0"/>
    <n v="0"/>
    <n v="0"/>
    <n v="0"/>
    <n v="0"/>
    <n v="0"/>
    <n v="0"/>
    <n v="0"/>
    <n v="0"/>
    <n v="0"/>
    <n v="0"/>
    <n v="0"/>
    <n v="0"/>
    <n v="0"/>
    <n v="0"/>
    <n v="0"/>
    <n v="0"/>
    <n v="0"/>
    <n v="0"/>
    <n v="0"/>
    <n v="0"/>
    <n v="0"/>
    <n v="0"/>
    <n v="0"/>
    <s v="-"/>
    <n v="0"/>
    <n v="0"/>
    <n v="0"/>
    <n v="0"/>
    <n v="0"/>
    <n v="0"/>
  </r>
  <r>
    <s v="2026-03-16 00:00:00.000 +0000"/>
    <x v="8"/>
    <s v="Monday   "/>
    <d v="1899-12-30T00:20:02"/>
    <n v="9"/>
    <s v="Cart-astrophe"/>
    <x v="9"/>
    <s v="OUT_OF_TIME"/>
    <s v="0.55555555555555555556"/>
    <s v="0.50000000000000000000"/>
    <s v="0.33333333333333333333"/>
    <s v="0.33333333333333333333"/>
    <s v="0.27272727272727272727"/>
    <n v="0"/>
    <n v="0"/>
    <n v="0"/>
    <n v="0"/>
    <n v="0"/>
    <n v="0"/>
    <n v="0"/>
    <n v="0"/>
    <n v="0"/>
    <n v="0"/>
    <n v="0"/>
    <n v="0"/>
    <n v="0"/>
    <n v="0"/>
    <n v="0"/>
    <n v="0"/>
    <n v="0"/>
    <n v="0"/>
    <n v="0"/>
    <n v="0"/>
    <n v="0"/>
    <n v="0"/>
    <n v="0"/>
    <n v="0"/>
    <n v="0"/>
    <s v="-"/>
    <n v="0"/>
    <n v="0"/>
    <n v="0"/>
    <n v="0"/>
    <n v="0"/>
    <n v="0"/>
  </r>
  <r>
    <s v="2026-03-18 00:00:00.000 +0000"/>
    <x v="8"/>
    <s v="Wednesday"/>
    <d v="1899-12-30T00:20:01"/>
    <n v="9"/>
    <s v="Cart-astrophe"/>
    <x v="6"/>
    <s v="OUT_OF_TIME"/>
    <s v="0.44444444444444444444"/>
    <s v="0.50000000000000000000"/>
    <s v="0.66666666666666666667"/>
    <s v="0.53333333333333333333"/>
    <s v="0.36363636363636363636"/>
    <n v="0"/>
    <n v="0"/>
    <n v="0"/>
    <n v="0"/>
    <n v="0"/>
    <n v="0"/>
    <n v="0"/>
    <n v="0"/>
    <n v="0"/>
    <n v="0"/>
    <n v="0"/>
    <n v="0"/>
    <n v="0"/>
    <n v="0"/>
    <n v="0"/>
    <n v="0"/>
    <n v="0"/>
    <n v="0"/>
    <n v="0"/>
    <n v="0"/>
    <n v="0"/>
    <n v="0"/>
    <n v="0"/>
    <n v="0"/>
    <n v="0"/>
    <s v="-"/>
    <n v="0"/>
    <n v="0"/>
    <n v="0"/>
    <n v="0"/>
    <n v="0"/>
    <n v="0"/>
  </r>
  <r>
    <s v="2026-03-19 00:00:00.000 +0000"/>
    <x v="8"/>
    <s v="Thursday "/>
    <d v="1899-12-30T00:22:18"/>
    <n v="8"/>
    <s v="The Chain"/>
    <x v="7"/>
    <s v="COMPLETED"/>
    <s v="0.44444444444444444444"/>
    <n v="0"/>
    <s v="0.33333333333333333333"/>
    <s v="0.33333333333333333333"/>
    <s v="0.27272727272727272727"/>
    <n v="0"/>
    <n v="0"/>
    <n v="0"/>
    <n v="0"/>
    <n v="0"/>
    <n v="0"/>
    <n v="0"/>
    <n v="1"/>
    <n v="0"/>
    <n v="0"/>
    <n v="0"/>
    <n v="0"/>
    <n v="1"/>
    <n v="0"/>
    <n v="0"/>
    <n v="0"/>
    <n v="0"/>
    <n v="0"/>
    <n v="0"/>
    <n v="0"/>
    <n v="0"/>
    <n v="0"/>
    <n v="0"/>
    <n v="1"/>
    <n v="0"/>
    <s v="-"/>
    <n v="0"/>
    <n v="1"/>
    <n v="2"/>
    <n v="0"/>
    <n v="0"/>
    <n v="1"/>
  </r>
  <r>
    <s v="2026-03-20 00:00:00.000 +0000"/>
    <x v="8"/>
    <s v="Friday   "/>
    <d v="1899-12-30T00:19:14"/>
    <n v="4"/>
    <s v="Roblox"/>
    <x v="12"/>
    <s v="COMPLETED"/>
    <s v="0.55555555555555555556"/>
    <s v="0.50000000000000000000"/>
    <s v="0.33333333333333333333"/>
    <s v="0.60000000000000000000"/>
    <s v="0.36363636363636363636"/>
    <n v="1"/>
    <n v="0"/>
    <n v="0"/>
    <n v="0"/>
    <n v="0"/>
    <n v="0"/>
    <n v="0"/>
    <n v="0"/>
    <n v="0"/>
    <n v="0"/>
    <n v="0"/>
    <n v="0"/>
    <n v="0"/>
    <n v="0"/>
    <n v="1"/>
    <n v="0"/>
    <n v="1"/>
    <n v="0"/>
    <n v="1"/>
    <n v="0"/>
    <n v="0"/>
    <n v="0"/>
    <n v="0"/>
    <n v="0"/>
    <n v="0"/>
    <s v="-"/>
    <n v="1"/>
    <n v="4"/>
    <n v="1"/>
    <n v="1"/>
    <n v="1"/>
    <n v="1"/>
  </r>
  <r>
    <s v="2026-03-23 00:00:00.000 +0000"/>
    <x v="8"/>
    <s v="Monday   "/>
    <d v="1899-12-30T00:28:51"/>
    <n v="19"/>
    <s v="Details Matter"/>
    <x v="2"/>
    <s v="COMPLETED"/>
    <s v="0.55555555555555555556"/>
    <s v="0.50000000000000000000"/>
    <s v="0.66666666666666666667"/>
    <s v="0.40000000000000000000"/>
    <s v="0.27272727272727272727"/>
    <n v="0"/>
    <n v="0"/>
    <n v="0"/>
    <n v="0"/>
    <n v="0"/>
    <n v="0"/>
    <n v="1"/>
    <n v="1"/>
    <n v="0"/>
    <n v="0"/>
    <n v="0"/>
    <n v="0"/>
    <n v="0"/>
    <n v="0"/>
    <n v="1"/>
    <n v="0"/>
    <n v="0"/>
    <n v="0"/>
    <n v="0"/>
    <n v="0"/>
    <n v="0"/>
    <n v="0"/>
    <n v="0"/>
    <n v="0"/>
    <n v="0"/>
    <s v="-"/>
    <n v="1"/>
    <n v="3"/>
    <n v="1"/>
    <n v="1"/>
    <n v="1"/>
    <n v="1"/>
  </r>
  <r>
    <s v="2026-04-01 01:00:00.000 +0100"/>
    <x v="9"/>
    <s v="Wednesday"/>
    <d v="1899-12-30T00:25:55"/>
    <n v="19"/>
    <s v="Details Matter"/>
    <x v="6"/>
    <s v="COMPLETED"/>
    <s v="0.77777777777777777778"/>
    <s v="1.00000000000000000000"/>
    <s v="0.83333333333333333333"/>
    <s v="0.60000000000000000000"/>
    <s v="0.27272727272727272727"/>
    <n v="0"/>
    <n v="0"/>
    <n v="0"/>
    <n v="0"/>
    <n v="0"/>
    <n v="0"/>
    <n v="1"/>
    <n v="1"/>
    <n v="0"/>
    <n v="0"/>
    <n v="0"/>
    <n v="0"/>
    <n v="0"/>
    <n v="0"/>
    <n v="1"/>
    <n v="0"/>
    <n v="0"/>
    <n v="0"/>
    <n v="0"/>
    <n v="0"/>
    <n v="0"/>
    <n v="0"/>
    <n v="0"/>
    <n v="0"/>
    <n v="0"/>
    <s v="-"/>
    <n v="1"/>
    <n v="3"/>
    <n v="1"/>
    <n v="1"/>
    <n v="1"/>
    <n v="1"/>
  </r>
  <r>
    <s v="2026-04-01 01:00:00.000 +0100"/>
    <x v="9"/>
    <s v="Wednesday"/>
    <d v="1899-12-30T00:16:50"/>
    <n v="17"/>
    <s v="Version confusion"/>
    <x v="8"/>
    <s v="COMPLETED"/>
    <s v="0.66666666666666666667"/>
    <s v="0.50000000000000000000"/>
    <s v="0.33333333333333333333"/>
    <s v="0.40000000000000000000"/>
    <s v="0.36363636363636363636"/>
    <n v="0"/>
    <n v="0"/>
    <n v="0"/>
    <n v="0"/>
    <n v="1"/>
    <n v="0"/>
    <n v="1"/>
    <n v="0"/>
    <n v="0"/>
    <n v="0"/>
    <n v="0"/>
    <n v="1"/>
    <n v="0"/>
    <n v="0"/>
    <n v="0"/>
    <n v="0"/>
    <n v="0"/>
    <n v="0"/>
    <n v="0"/>
    <n v="0"/>
    <n v="0"/>
    <n v="0"/>
    <n v="0"/>
    <n v="0"/>
    <n v="0"/>
    <s v="-"/>
    <n v="0"/>
    <n v="2"/>
    <n v="0"/>
    <n v="0"/>
    <n v="1"/>
    <n v="0"/>
  </r>
  <r>
    <s v="2026-04-09 01:00:00.000 +0100"/>
    <x v="9"/>
    <s v="Thursday "/>
    <d v="1899-12-30T00:20:02"/>
    <n v="17"/>
    <s v="Version confusion"/>
    <x v="4"/>
    <s v="OUT_OF_TIME"/>
    <s v="0.44444444444444444444"/>
    <s v="1.00000000000000000000"/>
    <s v="0.50000000000000000000"/>
    <s v="0.13333333333333333333"/>
    <n v="0"/>
    <n v="0"/>
    <n v="0"/>
    <n v="0"/>
    <n v="0"/>
    <n v="1"/>
    <n v="0"/>
    <n v="1"/>
    <n v="0"/>
    <n v="0"/>
    <n v="0"/>
    <n v="0"/>
    <n v="1"/>
    <n v="0"/>
    <n v="0"/>
    <n v="0"/>
    <n v="0"/>
    <n v="0"/>
    <n v="0"/>
    <n v="0"/>
    <n v="0"/>
    <n v="0"/>
    <n v="0"/>
    <n v="0"/>
    <n v="0"/>
    <n v="0"/>
    <s v="-"/>
    <n v="0"/>
    <n v="2"/>
    <n v="0"/>
    <n v="0"/>
    <n v="1"/>
    <n v="0"/>
  </r>
  <r>
    <m/>
    <x v="10"/>
    <m/>
    <m/>
    <m/>
    <m/>
    <x v="13"/>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d v="2025-07-07T00:00:00"/>
    <x v="0"/>
    <d v="1899-12-30T15:00:00"/>
    <s v="Pradeep"/>
    <s v="Domino's"/>
    <n v="18"/>
    <s v="Intro"/>
    <m/>
    <s v="Naz"/>
    <m/>
    <m/>
    <s v="No Score"/>
    <m/>
    <m/>
    <m/>
    <m/>
    <s v="Attended"/>
    <m/>
    <m/>
    <m/>
    <m/>
    <m/>
  </r>
  <r>
    <d v="2025-07-09T00:00:00"/>
    <x v="0"/>
    <d v="1899-12-30T14:00:00"/>
    <s v="Swetha"/>
    <s v="Domino's"/>
    <n v="16"/>
    <s v="Too Good To Be True"/>
    <m/>
    <s v="Karan"/>
    <s v="Naz"/>
    <m/>
    <n v="10"/>
    <s v="Felt good and its great to recall old drills and practice the drills"/>
    <n v="4915"/>
    <m/>
    <m/>
    <s v="Attended"/>
    <m/>
    <m/>
    <m/>
    <m/>
    <m/>
  </r>
  <r>
    <d v="2025-07-10T00:00:00"/>
    <x v="0"/>
    <d v="1899-12-30T11:00:00"/>
    <s v="Yeshwanth"/>
    <s v="Domino's"/>
    <n v="11"/>
    <s v="Onboarding,Too Good To Be True"/>
    <m/>
    <s v="Naz"/>
    <s v="Matthew"/>
    <m/>
    <s v="No Score"/>
    <m/>
    <m/>
    <m/>
    <m/>
    <s v="Attended"/>
    <m/>
    <m/>
    <m/>
    <m/>
    <m/>
  </r>
  <r>
    <d v="2025-07-11T00:00:00"/>
    <x v="0"/>
    <d v="1899-12-30T13:00:00"/>
    <s v="Anandaraj"/>
    <s v="Domino's"/>
    <n v="5"/>
    <s v="Intro"/>
    <m/>
    <s v="Karan"/>
    <m/>
    <m/>
    <s v="No Score"/>
    <m/>
    <m/>
    <m/>
    <m/>
    <s v="Attended"/>
    <m/>
    <m/>
    <m/>
    <m/>
    <m/>
  </r>
  <r>
    <d v="2025-07-14T00:00:00"/>
    <x v="0"/>
    <d v="1899-12-30T15:00:00"/>
    <s v="Pradeep"/>
    <s v="Domino's"/>
    <n v="18"/>
    <s v="Onboarding,Too Good To Be True"/>
    <m/>
    <s v="Naz"/>
    <s v="Leon"/>
    <m/>
    <n v="10"/>
    <s v="He found drill fun and interesting. For him being an IM is interesting as in Dominos he is SRE_x000a_  "/>
    <n v="4974"/>
    <m/>
    <m/>
    <s v="Attended"/>
    <m/>
    <m/>
    <m/>
    <m/>
    <m/>
  </r>
  <r>
    <d v="2025-07-16T00:00:00"/>
    <x v="0"/>
    <d v="1899-12-30T14:00:00"/>
    <s v="Ramesh"/>
    <s v="Domino's"/>
    <n v="16"/>
    <s v="Intro"/>
    <m/>
    <s v="Karan"/>
    <m/>
    <m/>
    <s v="No Score"/>
    <m/>
    <m/>
    <m/>
    <m/>
    <s v="Attended"/>
    <m/>
    <m/>
    <m/>
    <m/>
    <m/>
  </r>
  <r>
    <d v="2025-07-17T00:00:00"/>
    <x v="0"/>
    <d v="1899-12-30T11:00:00"/>
    <s v="Yeshwanth"/>
    <s v="Domino's"/>
    <n v="11"/>
    <s v="Bez Beatles Day"/>
    <m/>
    <s v="Charlene"/>
    <m/>
    <m/>
    <n v="10"/>
    <s v="He didn't timed out on the drill but despite that felt he learned a lot, with how to manage frequent business updates and pushback from characters._x000a__x000a_There was a lot of confusion on how to use the business comms channel as he was tagging shay and Bob in that channel. He may have needed a more comprehensive onboarding experience "/>
    <n v="5043"/>
    <m/>
    <m/>
    <s v="Attended"/>
    <m/>
    <m/>
    <m/>
    <m/>
    <m/>
  </r>
  <r>
    <d v="2025-07-23T00:00:00"/>
    <x v="0"/>
    <d v="1899-12-30T14:00:00"/>
    <s v="Ramesh"/>
    <s v="Domino's"/>
    <n v="16"/>
    <s v="Onboarding,Too Good To Be True"/>
    <m/>
    <s v="Naz"/>
    <s v="Matthew"/>
    <m/>
    <n v="10"/>
    <m/>
    <m/>
    <m/>
    <m/>
    <s v="Attended"/>
    <m/>
    <m/>
    <m/>
    <m/>
    <m/>
  </r>
  <r>
    <d v="2025-07-23T00:00:00"/>
    <x v="0"/>
    <d v="1899-12-30T14:00:00"/>
    <s v="Swetha"/>
    <s v="Domino's"/>
    <n v="16"/>
    <s v="Bez Beatles Day"/>
    <m/>
    <s v="Karan"/>
    <s v="Drew"/>
    <m/>
    <n v="10"/>
    <s v="Change was not correlating with errors ._x000a_What were the factors - This is great place to handle tough personality "/>
    <n v="5121"/>
    <m/>
    <m/>
    <s v="Attended"/>
    <m/>
    <m/>
    <m/>
    <m/>
    <m/>
  </r>
  <r>
    <d v="2025-07-24T00:00:00"/>
    <x v="0"/>
    <d v="1899-12-30T13:00:00"/>
    <s v="Pradeep"/>
    <s v="Domino's"/>
    <n v="18"/>
    <s v="Bez Beatles Day"/>
    <m/>
    <s v="Matthew"/>
    <s v="Naz"/>
    <m/>
    <n v="10"/>
    <s v="it was a good drill_x000a_is liking the sessions and the experience he is gaining from them. He is an SRE so all of this is new to him  "/>
    <n v="5140"/>
    <m/>
    <m/>
    <s v="Attended"/>
    <m/>
    <m/>
    <m/>
    <m/>
    <m/>
  </r>
  <r>
    <d v="2025-07-28T00:00:00"/>
    <x v="0"/>
    <d v="1899-12-30T15:00:00"/>
    <s v="Pradeep"/>
    <s v="Domino's"/>
    <n v="18"/>
    <s v="The Big Investors"/>
    <m/>
    <s v="Rishi"/>
    <m/>
    <m/>
    <n v="10"/>
    <s v="Its was a good drill - he got to double check with Tanya on chaos test. He's a SRE but he's seeing the value and pain points of an Incident Manager. _x000a__x000a_Why 10 ?_x000a_It's helping him in doing better communication. Handling high-stakes people. "/>
    <n v="5181"/>
    <m/>
    <m/>
    <s v="Attended"/>
    <m/>
    <m/>
    <m/>
    <m/>
    <m/>
  </r>
  <r>
    <d v="2025-07-30T00:00:00"/>
    <x v="0"/>
    <d v="1899-12-30T14:00:00"/>
    <s v="Ramesh"/>
    <s v="Domino's"/>
    <n v="16"/>
    <s v="Bez Beatles Day"/>
    <m/>
    <s v="Rishi"/>
    <s v="Naz"/>
    <m/>
    <n v="8"/>
    <s v="Liked the narrative and overall motive of the scenario. It was his first drill doing it independently. So took some time to grasp the roles and names. _x000a__x000a_What it would take to get 10?_x000a_1. There could've been a designation written by the names of each character._x000a_2. Responses were quite slow and did not pick up exact commands. Context - he asked to roll back the payment and checkout change both to Shay. Shay did his own, so he thought it was done for both"/>
    <n v="5204"/>
    <m/>
    <m/>
    <s v="Attended"/>
    <m/>
    <m/>
    <m/>
    <m/>
    <m/>
  </r>
  <r>
    <d v="2025-07-30T00:00:00"/>
    <x v="0"/>
    <d v="1899-12-30T14:00:00"/>
    <s v="Swetha"/>
    <s v="Domino's"/>
    <n v="16"/>
    <s v="The Big Investors"/>
    <m/>
    <s v="Karan"/>
    <s v="Leon"/>
    <m/>
    <n v="10"/>
    <s v="Why 10 ? :_x000a_UAT scripts running in PROD is a great real time example ._x000a__x000a_Learning - Impact assessment should be done at beginning ."/>
    <n v="5205"/>
    <m/>
    <m/>
    <s v="Attended"/>
    <m/>
    <m/>
    <m/>
    <m/>
    <m/>
  </r>
  <r>
    <d v="2025-08-04T00:00:00"/>
    <x v="1"/>
    <d v="1899-12-30T15:00:00"/>
    <s v="Pradeep"/>
    <s v="Domino's"/>
    <n v="18"/>
    <s v="Rumours"/>
    <m/>
    <s v="Rishi"/>
    <m/>
    <m/>
    <n v="10"/>
    <s v="He liked it and understood where it could've formed the working theory, not to check the changes. "/>
    <n v="5255"/>
    <m/>
    <m/>
    <s v="Attended"/>
    <m/>
    <m/>
    <m/>
    <m/>
    <m/>
  </r>
  <r>
    <d v="2025-08-07T00:00:00"/>
    <x v="1"/>
    <d v="1899-12-30T11:00:00"/>
    <s v="Yeshwanth"/>
    <s v="Domino's"/>
    <n v="11"/>
    <s v="The Big Investors"/>
    <m/>
    <s v="Charlene"/>
    <m/>
    <m/>
    <n v="10"/>
    <s v="He likes playing our drills and found the scenario today challenged him as he knows that problems aren't only just change related"/>
    <n v="5296"/>
    <m/>
    <m/>
    <s v="Attended"/>
    <m/>
    <m/>
    <m/>
    <m/>
    <m/>
  </r>
  <r>
    <d v="2025-08-07T00:00:00"/>
    <x v="1"/>
    <d v="1899-12-30T14:00:00"/>
    <s v="Ramesh"/>
    <s v="Domino's"/>
    <n v="16"/>
    <s v="The Big Investors"/>
    <m/>
    <s v="Matthew"/>
    <m/>
    <m/>
    <n v="8"/>
    <s v="Drill was good, feels that he could have used more time "/>
    <n v="5302"/>
    <m/>
    <m/>
    <s v="Attended"/>
    <m/>
    <m/>
    <m/>
    <m/>
    <m/>
  </r>
  <r>
    <d v="2025-08-07T00:00:00"/>
    <x v="1"/>
    <d v="1899-12-30T15:00:00"/>
    <s v="Feroze Din"/>
    <s v="Domino's"/>
    <n v="1"/>
    <s v="Intro"/>
    <m/>
    <s v="Karan"/>
    <m/>
    <m/>
    <s v="No Score"/>
    <m/>
    <m/>
    <m/>
    <m/>
    <s v="Attended"/>
    <m/>
    <m/>
    <m/>
    <m/>
    <m/>
  </r>
  <r>
    <d v="2025-08-14T00:00:00"/>
    <x v="1"/>
    <d v="1899-12-30T14:00:00"/>
    <s v="Praveen"/>
    <s v="Domino's"/>
    <n v="14"/>
    <s v="Intro"/>
    <m/>
    <s v="Karan"/>
    <m/>
    <m/>
    <s v="No Score"/>
    <m/>
    <m/>
    <m/>
    <m/>
    <s v="Attended"/>
    <m/>
    <m/>
    <m/>
    <m/>
    <m/>
  </r>
  <r>
    <d v="2025-08-20T00:00:00"/>
    <x v="1"/>
    <d v="1899-12-30T14:00:00"/>
    <s v="Ramesh"/>
    <s v="Domino's"/>
    <n v="16"/>
    <s v="Rumours"/>
    <m/>
    <s v="Rishi"/>
    <m/>
    <m/>
    <n v="10"/>
    <s v="It was a good one. He was able to size up properly, didn't check changes, and suggested to clear the cache much quicker _x000a__x000a_"/>
    <n v="5456"/>
    <m/>
    <m/>
    <s v="Attended"/>
    <m/>
    <m/>
    <m/>
    <m/>
    <m/>
  </r>
  <r>
    <d v="2025-08-20T00:00:00"/>
    <x v="1"/>
    <d v="1899-12-30T14:00:00"/>
    <s v="Swetha"/>
    <s v="Domino's"/>
    <n v="16"/>
    <s v="Rumours"/>
    <m/>
    <s v="Karan"/>
    <m/>
    <s v="They had an incident last week"/>
    <n v="10"/>
    <s v="This is great drill which we see in real life ._x000a_We used to see these type of issue in my previous company "/>
    <n v="5457"/>
    <m/>
    <m/>
    <s v="Attended"/>
    <m/>
    <m/>
    <m/>
    <m/>
    <m/>
  </r>
  <r>
    <d v="2025-08-20T00:00:00"/>
    <x v="1"/>
    <d v="1899-12-30T15:00:00"/>
    <s v="Pradeep"/>
    <s v="Domino's"/>
    <n v="18"/>
    <s v="Missing Delivery"/>
    <m/>
    <s v="Drew"/>
    <m/>
    <m/>
    <n v="10"/>
    <s v="Found it stressful but very enjoyable"/>
    <n v="5458"/>
    <m/>
    <m/>
    <s v="Attended"/>
    <m/>
    <m/>
    <m/>
    <m/>
    <m/>
  </r>
  <r>
    <d v="2025-08-21T00:00:00"/>
    <x v="1"/>
    <d v="1899-12-30T10:00:00"/>
    <s v="Latif"/>
    <s v="Domino's"/>
    <n v="13"/>
    <s v="Intro"/>
    <m/>
    <s v="Naz"/>
    <m/>
    <m/>
    <s v="No Score"/>
    <m/>
    <m/>
    <m/>
    <m/>
    <s v="Attended"/>
    <m/>
    <m/>
    <m/>
    <m/>
    <m/>
  </r>
  <r>
    <d v="2025-08-21T00:00:00"/>
    <x v="1"/>
    <d v="1899-12-30T11:00:00"/>
    <s v="Yeshwanth"/>
    <s v="Domino's"/>
    <n v="11"/>
    <s v="Rumours"/>
    <m/>
    <s v="Rishi"/>
    <m/>
    <m/>
    <n v="10"/>
    <s v="Enjoyed this session. Learned that it's not always a wider impact, could be one person as well. "/>
    <n v="5482"/>
    <m/>
    <m/>
    <s v="Attended"/>
    <m/>
    <m/>
    <m/>
    <m/>
    <m/>
  </r>
  <r>
    <d v="2025-08-21T00:00:00"/>
    <x v="1"/>
    <d v="1899-12-30T14:00:00"/>
    <s v="Praveen"/>
    <s v="Domino's"/>
    <n v="14"/>
    <s v="Onboarding,Too Good To Be True"/>
    <m/>
    <s v="Karan"/>
    <m/>
    <m/>
    <n v="10"/>
    <s v="Feels like a real incident ._x000a__x000a_I thought i was in real issue _x000a_"/>
    <n v="5491"/>
    <m/>
    <m/>
    <s v="Attended"/>
    <m/>
    <m/>
    <m/>
    <m/>
    <m/>
  </r>
  <r>
    <d v="2025-08-22T00:00:00"/>
    <x v="1"/>
    <d v="1899-12-30T12:00:00"/>
    <s v="Vaishnavi"/>
    <s v="Domino's"/>
    <n v="15"/>
    <s v="Intro"/>
    <m/>
    <s v="Naz"/>
    <m/>
    <m/>
    <s v="No Score"/>
    <m/>
    <m/>
    <m/>
    <m/>
    <s v="Attended"/>
    <m/>
    <m/>
    <m/>
    <m/>
    <m/>
  </r>
  <r>
    <d v="2025-08-22T00:00:00"/>
    <x v="1"/>
    <d v="1899-12-30T13:00:00"/>
    <s v="Anandaraj"/>
    <s v="Domino's"/>
    <n v="5"/>
    <s v="Onboarding,Too Good To Be True"/>
    <m/>
    <s v="Naz"/>
    <m/>
    <m/>
    <s v="No Score"/>
    <m/>
    <m/>
    <m/>
    <m/>
    <s v="Attended"/>
    <m/>
    <m/>
    <m/>
    <m/>
    <m/>
  </r>
  <r>
    <d v="2025-08-29T00:00:00"/>
    <x v="1"/>
    <d v="1899-12-30T10:00:00"/>
    <s v="Latif"/>
    <s v="Domino's"/>
    <n v="13"/>
    <s v="Onboarding,Too Good To Be True"/>
    <m/>
    <s v="Matthew"/>
    <m/>
    <m/>
    <n v="10"/>
    <s v="thought it was a great way to learn P1's _x000a__x000a_I can tell he really liked the session and is looking forward to the next one "/>
    <n v="5560"/>
    <m/>
    <m/>
    <s v="Attended"/>
    <m/>
    <m/>
    <m/>
    <m/>
    <m/>
  </r>
  <r>
    <d v="2025-08-29T00:00:00"/>
    <x v="1"/>
    <d v="1899-12-30T13:00:00"/>
    <s v="Ramesh"/>
    <s v="Domino's"/>
    <n v="16"/>
    <s v="Missing Delivery"/>
    <m/>
    <s v="Rishi"/>
    <m/>
    <m/>
    <n v="8"/>
    <s v="Drill was good to play where it was the 3rd party issue and triggered with checking changes and have to rule out this possibility. _x000a__x000a_What would it take to get 10?_x000a_By the left sidebar bar, there could've been a list of all characters that he can DM. So it was all about bringing an easy way for them to remember the org chart. Later, with a follow-up discussion, he understood why we need to keep everybody in the chat "/>
    <n v="5567"/>
    <m/>
    <m/>
    <s v="Attended"/>
    <m/>
    <s v="INC-281 slack help links need updating to new wordpress site"/>
    <s v="checked"/>
    <s v="None of the static content like - org chart, arch diagram and dev chart is opening in /help"/>
    <m/>
  </r>
  <r>
    <d v="2025-08-29T00:00:00"/>
    <x v="1"/>
    <d v="1899-12-30T14:00:00"/>
    <s v="Gowtham"/>
    <s v="Domino's"/>
    <n v="11"/>
    <s v="Intro"/>
    <m/>
    <s v="Naz"/>
    <m/>
    <m/>
    <s v="No Score"/>
    <m/>
    <m/>
    <m/>
    <m/>
    <s v="Attended"/>
    <m/>
    <m/>
    <m/>
    <m/>
    <m/>
  </r>
  <r>
    <d v="2025-09-02T00:00:00"/>
    <x v="2"/>
    <d v="1899-12-30T13:00:00"/>
    <s v="Pradeep"/>
    <s v="Domino's"/>
    <n v="18"/>
    <s v="Radio Silence"/>
    <m/>
    <s v="Karan"/>
    <m/>
    <m/>
    <n v="10"/>
    <s v="This is a very common we face in Dominos where people do not respond - But good learning"/>
    <n v="5599"/>
    <m/>
    <m/>
    <s v="Attended"/>
    <m/>
    <m/>
    <m/>
    <m/>
    <m/>
  </r>
  <r>
    <d v="2025-09-03T00:00:00"/>
    <x v="2"/>
    <d v="1899-12-30T12:00:00"/>
    <s v="Vallabh"/>
    <s v="Domino's"/>
    <n v="16"/>
    <s v="Onboarding,Too Good To Be True"/>
    <m/>
    <s v="Naz"/>
    <m/>
    <m/>
    <n v="9"/>
    <m/>
    <n v="5611"/>
    <m/>
    <m/>
    <s v="Attended"/>
    <m/>
    <m/>
    <m/>
    <m/>
    <m/>
  </r>
  <r>
    <d v="2025-09-04T00:00:00"/>
    <x v="2"/>
    <d v="1899-12-30T10:00:00"/>
    <s v="Latif"/>
    <s v="Domino's"/>
    <n v="13"/>
    <s v="Bez Beatles Day"/>
    <m/>
    <s v="Charlene"/>
    <m/>
    <m/>
    <n v="7"/>
    <s v="He said the drill was not too bad, I think the low score came from the fact that the drill wasn't surprising, he completed the drill really quickly,"/>
    <n v="5634"/>
    <m/>
    <m/>
    <s v="Attended"/>
    <m/>
    <m/>
    <m/>
    <m/>
    <m/>
  </r>
  <r>
    <d v="2025-09-04T00:00:00"/>
    <x v="2"/>
    <d v="1899-12-30T14:00:00"/>
    <s v="Praveen"/>
    <s v="Domino's"/>
    <n v="14"/>
    <s v="Bez Beatles Day"/>
    <m/>
    <s v="Karan"/>
    <m/>
    <m/>
    <n v="9"/>
    <s v="This is close to reality ._x000a_Character responses were prompt "/>
    <n v="5645"/>
    <m/>
    <m/>
    <s v="Attended"/>
    <m/>
    <m/>
    <m/>
    <m/>
    <m/>
  </r>
  <r>
    <d v="2025-09-05T00:00:00"/>
    <x v="2"/>
    <d v="1899-12-30T13:00:00"/>
    <s v="Anandaraj"/>
    <s v="Domino's"/>
    <n v="5"/>
    <s v="Bez Beatles Day"/>
    <m/>
    <s v="Ed"/>
    <m/>
    <s v="had to cut the session short since he only had 30 minutes, decided that it's worth playing an early drill since he was confident in his skills"/>
    <n v="10"/>
    <s v="He liked the drill but didn't have too much time since he only had 30 minutes to run a drill and not really much time after for post session"/>
    <n v="5660"/>
    <m/>
    <m/>
    <s v="Attended"/>
    <m/>
    <m/>
    <m/>
    <m/>
    <m/>
  </r>
  <r>
    <d v="2025-09-05T00:00:00"/>
    <x v="2"/>
    <d v="1899-12-30T13:30:00"/>
    <s v="Ramesh"/>
    <s v="Domino's"/>
    <n v="16"/>
    <s v="Radio Silence"/>
    <m/>
    <s v="Drew"/>
    <m/>
    <m/>
    <n v="7"/>
    <s v="Thought the characters not communicating often was quite strange(my fault in not letting him know that this drill is different) but enjoyed the challenge overall"/>
    <n v="5563"/>
    <m/>
    <m/>
    <s v="Attended"/>
    <m/>
    <m/>
    <m/>
    <m/>
    <m/>
  </r>
  <r>
    <d v="2025-09-05T00:00:00"/>
    <x v="2"/>
    <d v="1899-12-30T14:00:00"/>
    <s v="Gowtham"/>
    <s v="Domino's"/>
    <n v="11"/>
    <s v="Onboarding,Too Good To Be True"/>
    <m/>
    <s v="Matthew"/>
    <m/>
    <m/>
    <n v="9"/>
    <s v="Liked the drill. all is new to him and he enjoys this "/>
    <n v="5564"/>
    <m/>
    <m/>
    <s v="Attended"/>
    <m/>
    <m/>
    <m/>
    <m/>
    <m/>
  </r>
  <r>
    <d v="2025-09-10T00:00:00"/>
    <x v="2"/>
    <d v="1899-12-30T11:00:00"/>
    <s v="Vallabh"/>
    <s v="Domino's"/>
    <n v="16"/>
    <s v="Bez Beatles Day"/>
    <m/>
    <s v="Rishi"/>
    <m/>
    <m/>
    <n v="9"/>
    <s v="It was a good drill where he had to push Dan a lot. He learnt the importance of being assertive and backing up the question to people with data "/>
    <n v="5700"/>
    <m/>
    <m/>
    <s v="Attended"/>
    <m/>
    <m/>
    <m/>
    <m/>
    <m/>
  </r>
  <r>
    <d v="2025-09-10T00:00:00"/>
    <x v="2"/>
    <d v="1899-12-30T14:00:00"/>
    <s v="Swetha"/>
    <s v="Domino's"/>
    <n v="16"/>
    <s v="Missing Delivery"/>
    <m/>
    <s v="Karan"/>
    <m/>
    <m/>
    <n v="10"/>
    <s v="This is good - This is real life scenario ._x000a__x000a_"/>
    <n v="5703"/>
    <m/>
    <m/>
    <s v="Attended"/>
    <m/>
    <m/>
    <m/>
    <m/>
    <m/>
  </r>
  <r>
    <d v="2025-09-11T00:00:00"/>
    <x v="2"/>
    <d v="1899-12-30T10:00:00"/>
    <s v="Latif"/>
    <s v="Domino's"/>
    <n v="13"/>
    <s v="The Big Investors"/>
    <m/>
    <s v="Charlene"/>
    <m/>
    <m/>
    <n v="9"/>
    <s v="He liked this drill specially because it wasn't change related - took onboard the feedback provided in regards to appropriate escalation times and learning about the team more "/>
    <n v="5714"/>
    <m/>
    <m/>
    <s v="Attended"/>
    <m/>
    <m/>
    <m/>
    <m/>
    <m/>
  </r>
  <r>
    <d v="2025-09-12T00:00:00"/>
    <x v="2"/>
    <d v="1899-12-30T13:30:00"/>
    <s v="Ramesh"/>
    <s v="Domino's"/>
    <n v="16"/>
    <s v="Roblox"/>
    <m/>
    <s v="Ed"/>
    <m/>
    <s v="Move him to every 2 weeks"/>
    <n v="8"/>
    <s v="Couldn't think of anything that would get to 9/10 but will take the learnings from this drill to next session"/>
    <n v="5752"/>
    <m/>
    <m/>
    <s v="Attended"/>
    <m/>
    <m/>
    <m/>
    <m/>
    <m/>
  </r>
  <r>
    <d v="2025-09-12T00:00:00"/>
    <x v="2"/>
    <d v="1899-12-30T14:00:00"/>
    <s v="Gowtham"/>
    <s v="Domino's"/>
    <n v="11"/>
    <s v="Bez Beatles Day"/>
    <m/>
    <s v="Charlene"/>
    <m/>
    <m/>
    <n v="8"/>
    <s v="he enjoyed the realism of interacting with the characters. Part of this score is his own personal performance as he felt he could have done better"/>
    <n v="5759"/>
    <m/>
    <m/>
    <s v="Attended"/>
    <m/>
    <m/>
    <m/>
    <m/>
    <m/>
  </r>
  <r>
    <d v="2025-09-18T00:00:00"/>
    <x v="2"/>
    <d v="1899-12-30T10:00:00"/>
    <s v="Latif"/>
    <s v="Domino's"/>
    <n v="13"/>
    <s v="Rumours"/>
    <m/>
    <s v="Rishi"/>
    <m/>
    <m/>
    <n v="10"/>
    <s v="He enjoyed playing it, it was quite easy compared to other ones but he tried to unlock all possible fixes for Tinus. Worked as a network engineer in past , he suggested VPN or ethernet , not browser . So this was a learning for him on how to pick up clues given by bots where Hamed did mention specific to browser"/>
    <n v="5830"/>
    <m/>
    <m/>
    <s v="Attended"/>
    <m/>
    <m/>
    <m/>
    <m/>
    <m/>
  </r>
  <r>
    <d v="2025-09-18T00:00:00"/>
    <x v="2"/>
    <d v="1899-12-30T14:00:00"/>
    <s v="Praveen"/>
    <s v="Domino's"/>
    <n v="14"/>
    <s v="The Big Investors"/>
    <m/>
    <s v="Karan"/>
    <m/>
    <m/>
    <n v="9"/>
    <s v="It was pretty good - Close to reality and this is not due to change ."/>
    <n v="5840"/>
    <m/>
    <m/>
    <s v="Attended"/>
    <m/>
    <m/>
    <m/>
    <m/>
    <m/>
  </r>
  <r>
    <d v="2025-09-19T00:00:00"/>
    <x v="2"/>
    <d v="1899-12-30T12:00:00"/>
    <s v="Vaishnavi"/>
    <s v="Domino's"/>
    <n v="15"/>
    <s v="Onboarding,Too Good To Be True"/>
    <m/>
    <s v="Rishi"/>
    <m/>
    <m/>
    <n v="9"/>
    <s v="It was realistic and especially the pressure from management. _x000a_She didn't specify what it'd take to get 10. "/>
    <n v="5856"/>
    <m/>
    <m/>
    <s v="Attended"/>
    <m/>
    <m/>
    <m/>
    <m/>
    <m/>
  </r>
  <r>
    <d v="2025-09-19T00:00:00"/>
    <x v="2"/>
    <d v="1899-12-30T13:00:00"/>
    <s v="Anandaraj"/>
    <s v="Domino's"/>
    <n v="5"/>
    <s v="The Big Investors"/>
    <m/>
    <s v="Charlene"/>
    <m/>
    <m/>
    <n v="9"/>
    <s v="Despite not completing the drill he learned a lot about the importance of engaging the whole team "/>
    <n v="5857"/>
    <m/>
    <m/>
    <s v="Attended"/>
    <m/>
    <m/>
    <m/>
    <m/>
    <m/>
  </r>
  <r>
    <d v="2025-09-22T00:00:00"/>
    <x v="2"/>
    <d v="1899-12-30T13:00:00"/>
    <s v="Gregg"/>
    <s v="Domino's"/>
    <n v="3"/>
    <s v="Intro"/>
    <m/>
    <s v="Naz"/>
    <m/>
    <m/>
    <s v="No Score"/>
    <m/>
    <m/>
    <m/>
    <m/>
    <s v="Attended"/>
    <m/>
    <m/>
    <m/>
    <m/>
    <m/>
  </r>
  <r>
    <d v="2025-09-24T00:00:00"/>
    <x v="2"/>
    <d v="1899-12-30T11:00:00"/>
    <s v="Vallabh"/>
    <s v="Domino's"/>
    <n v="16"/>
    <s v="The Big Investors"/>
    <m/>
    <s v="Rishi"/>
    <m/>
    <m/>
    <n v="8"/>
    <s v="it was a good drill , however chaos test in general is handled by platform team because it lies under reliability and performance. _x000a_And also said that misconfigurations of chaos can't happen that way, there are guards setup for prod."/>
    <n v="5912"/>
    <m/>
    <m/>
    <s v="Attended"/>
    <m/>
    <m/>
    <m/>
    <m/>
    <m/>
  </r>
  <r>
    <d v="2025-09-24T00:00:00"/>
    <x v="2"/>
    <d v="1899-12-30T14:00:00"/>
    <s v="Ramesh"/>
    <s v="Domino's"/>
    <n v="16"/>
    <s v="Profile Report"/>
    <m/>
    <s v="Rishi"/>
    <m/>
    <m/>
    <s v="No Score"/>
    <s v="This session was beneficial and helpful. He will go through them again. "/>
    <m/>
    <m/>
    <m/>
    <s v="Attended"/>
    <m/>
    <m/>
    <m/>
    <m/>
    <m/>
  </r>
  <r>
    <d v="2025-09-24T00:00:00"/>
    <x v="2"/>
    <d v="1899-12-30T14:00:00"/>
    <s v="Swetha"/>
    <s v="Domino's"/>
    <n v="16"/>
    <s v="Profile Report"/>
    <m/>
    <s v="Naz"/>
    <m/>
    <m/>
    <s v="No Score"/>
    <m/>
    <m/>
    <m/>
    <m/>
    <s v="Attended"/>
    <m/>
    <m/>
    <m/>
    <m/>
    <m/>
  </r>
  <r>
    <d v="2025-09-25T00:00:00"/>
    <x v="2"/>
    <d v="1899-12-30T10:00:00"/>
    <s v="Latif"/>
    <s v="Domino's"/>
    <n v="13"/>
    <s v="Missing Delivery"/>
    <m/>
    <s v="Karan"/>
    <m/>
    <m/>
    <n v="9"/>
    <s v="Interesting - Al characters were great - useful "/>
    <n v="5927"/>
    <m/>
    <m/>
    <s v="Attended"/>
    <m/>
    <m/>
    <m/>
    <m/>
    <m/>
  </r>
  <r>
    <d v="2025-09-25T00:00:00"/>
    <x v="2"/>
    <d v="1899-12-30T11:00:00"/>
    <s v="Yeshwanth"/>
    <s v="Domino's"/>
    <n v="11"/>
    <s v="Missing Delivery"/>
    <m/>
    <s v="Leon"/>
    <m/>
    <m/>
    <n v="10"/>
    <s v="Good drill, lots of things to handle but liked the flow of the drill. Key thing for him to focus on is to avoid doing all the investigation themself, but rather allocate that to the team, as he missed key details in the chat"/>
    <n v="5932"/>
    <m/>
    <m/>
    <s v="Attended"/>
    <m/>
    <m/>
    <m/>
    <m/>
    <s v="Last three sessions he was dealing with P1s. I said it's totally understandable if he can't make it, but to give us notice next time"/>
  </r>
  <r>
    <d v="2025-09-25T00:00:00"/>
    <x v="2"/>
    <d v="1899-12-30T15:00:00"/>
    <s v="Praveen"/>
    <s v="Domino's"/>
    <n v="14"/>
    <s v="Missing Delivery"/>
    <m/>
    <s v="Karan"/>
    <m/>
    <m/>
    <n v="9"/>
    <s v="It was good sicne it was 3rd party issue ."/>
    <n v="5940"/>
    <m/>
    <m/>
    <s v="Attended"/>
    <m/>
    <m/>
    <m/>
    <m/>
    <m/>
  </r>
  <r>
    <d v="2025-09-26T00:00:00"/>
    <x v="2"/>
    <d v="1899-12-30T12:00:00"/>
    <s v="Vaishnavi"/>
    <s v="Domino's"/>
    <n v="15"/>
    <s v="Bez Beatles Day"/>
    <m/>
    <s v="Charlene"/>
    <m/>
    <m/>
    <n v="10"/>
    <s v="She felt the pressure whilst playing the drill but understood the learnings from this session"/>
    <n v="5963"/>
    <m/>
    <m/>
    <s v="Attended"/>
    <m/>
    <m/>
    <m/>
    <m/>
    <m/>
  </r>
  <r>
    <d v="2025-09-26T00:00:00"/>
    <x v="2"/>
    <d v="1899-12-30T13:00:00"/>
    <s v="Anandaraj"/>
    <s v="Domino's"/>
    <n v="5"/>
    <s v="Missing Delivery"/>
    <m/>
    <s v="Rishi"/>
    <m/>
    <m/>
    <n v="10"/>
    <s v="This drill was really helpful. He had similar issue and then discussed his pain points which he was able to understand the solution to those with this drill"/>
    <n v="5967"/>
    <m/>
    <m/>
    <s v="Attended"/>
    <m/>
    <m/>
    <m/>
    <m/>
    <m/>
  </r>
  <r>
    <d v="2025-09-26T00:00:00"/>
    <x v="2"/>
    <d v="1899-12-30T14:00:00"/>
    <s v="Gowtham"/>
    <s v="Domino's"/>
    <n v="11"/>
    <s v="The Big Investors"/>
    <m/>
    <s v="Rishi"/>
    <m/>
    <m/>
    <n v="8"/>
    <s v="Good drill. He said it's of really great value. It will improve his way of handling incidents. And he feels his performance was not upto the mark , however these coachings are really making difference_x000a__x000a_What it'd take to get 10? _x000a_He said he cant say much on this on what to improve in the drill. However , he feels its still very early , he's still trying to understand the platform and the characters"/>
    <n v="5968"/>
    <m/>
    <m/>
    <s v="Attended"/>
    <m/>
    <m/>
    <m/>
    <m/>
    <m/>
  </r>
  <r>
    <d v="2025-09-29T00:00:00"/>
    <x v="2"/>
    <d v="1899-12-30T15:00:00"/>
    <s v="Pradeep"/>
    <s v="Domino's"/>
    <n v="18"/>
    <s v="Defcon1"/>
    <m/>
    <s v="Drew"/>
    <m/>
    <m/>
    <n v="10"/>
    <s v="Found it challenging"/>
    <n v="5988"/>
    <m/>
    <m/>
    <s v="Attended"/>
    <m/>
    <m/>
    <m/>
    <m/>
    <m/>
  </r>
  <r>
    <d v="2025-10-02T00:00:00"/>
    <x v="3"/>
    <d v="1899-12-30T10:00:00"/>
    <s v="Latif"/>
    <s v="Domino's"/>
    <n v="13"/>
    <s v="Radio Silence"/>
    <m/>
    <s v="Rishi"/>
    <m/>
    <s v="Move to every 2 weeks"/>
    <n v="9"/>
    <s v="Realistic drill where its not always the rollback but sometimes fix has to be made. "/>
    <n v="6051"/>
    <m/>
    <m/>
    <s v="Attended"/>
    <m/>
    <m/>
    <m/>
    <m/>
    <m/>
  </r>
  <r>
    <d v="2025-10-03T00:00:00"/>
    <x v="3"/>
    <d v="1899-12-30T12:00:00"/>
    <s v="Vaishnavi"/>
    <s v="Domino's"/>
    <n v="15"/>
    <s v="The Big Investors"/>
    <m/>
    <s v="Charlene"/>
    <m/>
    <m/>
    <n v="10"/>
    <s v="Found this drill was a step up from what she previously played"/>
    <n v="6085"/>
    <m/>
    <m/>
    <s v="Attended"/>
    <m/>
    <m/>
    <m/>
    <m/>
    <m/>
  </r>
  <r>
    <d v="2025-10-06T00:00:00"/>
    <x v="3"/>
    <d v="1899-12-30T12:00:00"/>
    <s v="Gregg"/>
    <s v="Domino's"/>
    <n v="3"/>
    <s v="Onboarding,Too Good To Be True"/>
    <m/>
    <s v="Ed"/>
    <m/>
    <m/>
    <n v="9"/>
    <s v="Drill was very basic but it's good introductionary drill to start with"/>
    <n v="6104"/>
    <m/>
    <m/>
    <s v="Attended"/>
    <m/>
    <m/>
    <m/>
    <m/>
    <m/>
  </r>
  <r>
    <d v="2025-10-08T00:00:00"/>
    <x v="3"/>
    <d v="1899-12-30T11:00:00"/>
    <s v="Vallabh"/>
    <s v="Domino's"/>
    <n v="16"/>
    <s v="Rumours"/>
    <m/>
    <s v="Rishi"/>
    <m/>
    <m/>
    <n v="9"/>
    <s v="He enjoyed it and has seen such issues quite a lot where things happen only in local systems not on a wide scale"/>
    <n v="6214"/>
    <m/>
    <m/>
    <s v="Attended"/>
    <m/>
    <m/>
    <m/>
    <m/>
    <m/>
  </r>
  <r>
    <d v="2025-10-08T00:00:00"/>
    <x v="3"/>
    <d v="1899-12-30T14:00:00"/>
    <s v="Ramesh"/>
    <s v="Domino's"/>
    <n v="16"/>
    <s v="Defcon1"/>
    <m/>
    <s v="Rishi"/>
    <m/>
    <m/>
    <n v="10"/>
    <s v="He enjoyed playing it. He was into ransomware attack earlier but not of this sort "/>
    <n v="6223"/>
    <m/>
    <m/>
    <s v="Attended"/>
    <m/>
    <m/>
    <m/>
    <m/>
    <m/>
  </r>
  <r>
    <d v="2025-10-08T00:00:00"/>
    <x v="3"/>
    <d v="1899-12-30T14:00:00"/>
    <s v="Swetha"/>
    <s v="Domino's"/>
    <n v="16"/>
    <s v="Defcon1"/>
    <m/>
    <s v="Ed"/>
    <m/>
    <s v="Need to update 3 to -&gt; 10 as she didn't mean to score 3"/>
    <n v="10"/>
    <s v="Loved the drill and made her think if they have something like this in place in case this happens to them"/>
    <n v="6224"/>
    <m/>
    <m/>
    <s v="Attended"/>
    <m/>
    <m/>
    <m/>
    <m/>
    <m/>
  </r>
  <r>
    <d v="2025-10-08T00:00:00"/>
    <x v="3"/>
    <d v="1899-12-30T14:30:00"/>
    <s v="Praveen"/>
    <s v="Domino's"/>
    <n v="14"/>
    <s v="Rumours"/>
    <m/>
    <s v="Charlene"/>
    <m/>
    <m/>
    <n v="9"/>
    <m/>
    <m/>
    <m/>
    <m/>
    <s v="Attended"/>
    <m/>
    <m/>
    <m/>
    <m/>
    <m/>
  </r>
  <r>
    <d v="2025-10-09T00:00:00"/>
    <x v="3"/>
    <d v="1899-12-30T11:00:00"/>
    <s v="Yeshwanth"/>
    <s v="Domino's"/>
    <n v="11"/>
    <s v="Radio Silence"/>
    <m/>
    <s v="Drew"/>
    <m/>
    <m/>
    <n v="9"/>
    <s v="Good scenario, lot more difficult as outage was from loss of revenue "/>
    <n v="6251"/>
    <m/>
    <m/>
    <s v="Attended"/>
    <m/>
    <m/>
    <m/>
    <m/>
    <m/>
  </r>
  <r>
    <d v="2025-10-10T00:00:00"/>
    <x v="3"/>
    <d v="1899-12-30T12:00:00"/>
    <s v="Vaishnavi"/>
    <s v="Domino's"/>
    <n v="15"/>
    <s v="Missing Delivery"/>
    <m/>
    <s v="Charlene"/>
    <m/>
    <m/>
    <n v="10"/>
    <m/>
    <m/>
    <m/>
    <m/>
    <s v="Attended"/>
    <m/>
    <m/>
    <m/>
    <m/>
    <m/>
  </r>
  <r>
    <d v="2025-10-13T00:00:00"/>
    <x v="3"/>
    <d v="1899-12-30T12:00:00"/>
    <s v="Gregg"/>
    <s v="Domino's"/>
    <n v="3"/>
    <s v="Bez Beatles Day"/>
    <m/>
    <s v="Ed"/>
    <m/>
    <m/>
    <n v="9"/>
    <s v="Would like to see more opportunities for timeboxing"/>
    <n v="6279"/>
    <m/>
    <m/>
    <s v="Attended"/>
    <m/>
    <m/>
    <m/>
    <m/>
    <m/>
  </r>
  <r>
    <d v="2025-10-15T00:00:00"/>
    <x v="3"/>
    <d v="1899-12-30T11:00:00"/>
    <s v="Vallabh"/>
    <s v="Domino's"/>
    <n v="16"/>
    <s v="Missing Delivery"/>
    <m/>
    <s v="Rishi"/>
    <m/>
    <s v="He is going to play Defcon1 next week, it is worth to mention to him"/>
    <n v="9"/>
    <s v="It was a good one. But in his organization even they do such communications but the people are defined for these 3rd party communications. So he didn't had the same clarity in this OB setup who will be POC for 3rd party or how a communication is going to happen with them"/>
    <n v="6308"/>
    <m/>
    <m/>
    <s v="Attended"/>
    <m/>
    <m/>
    <m/>
    <m/>
    <m/>
  </r>
  <r>
    <d v="2025-10-16T00:00:00"/>
    <x v="3"/>
    <d v="1899-12-30T10:00:00"/>
    <s v="Latif"/>
    <s v="Domino's"/>
    <n v="13"/>
    <s v="Defcon1"/>
    <m/>
    <s v="Ed"/>
    <m/>
    <s v="He has 2 timestamps one with 32 mins and one with 35 mins. He did all his check and wanted to close incident. @Rishikesh Kumar . Perhaps we can add end drill before forensics step"/>
    <n v="7"/>
    <s v="Felt that drill could be finished before forensics step, that impacted the score"/>
    <n v="6324"/>
    <m/>
    <m/>
    <s v="Attended"/>
    <m/>
    <m/>
    <m/>
    <m/>
    <m/>
  </r>
  <r>
    <d v="2025-10-16T00:00:00"/>
    <x v="3"/>
    <d v="1899-12-30T11:00:00"/>
    <s v="Yeshwanth"/>
    <s v="Domino's"/>
    <n v="11"/>
    <s v="Defcon1"/>
    <m/>
    <s v="Rishi"/>
    <m/>
    <m/>
    <n v="10"/>
    <s v="Never had a ransomware attack before. It was intense, and the drill was really good that he was able to get so much learning out of this "/>
    <n v="6327"/>
    <m/>
    <m/>
    <s v="Attended"/>
    <m/>
    <m/>
    <m/>
    <m/>
    <m/>
  </r>
  <r>
    <d v="2025-10-16T00:00:00"/>
    <x v="3"/>
    <d v="1899-12-30T12:30:00"/>
    <s v="Praveen"/>
    <s v="Domino's"/>
    <n v="14"/>
    <s v="Defcon1"/>
    <m/>
    <s v="Rishi"/>
    <m/>
    <m/>
    <n v="9"/>
    <s v="Nice drill. Learnt a lot. However he got timed out as hwe was bit slow but he liked the drill and in his experince he has got a bit of an idea about security policies which he was able to apply in this one "/>
    <n v="6333"/>
    <m/>
    <m/>
    <s v="Attended"/>
    <m/>
    <m/>
    <m/>
    <m/>
    <m/>
  </r>
  <r>
    <d v="2025-10-17T00:00:00"/>
    <x v="3"/>
    <d v="1899-12-30T14:00:00"/>
    <s v="Gowtham"/>
    <s v="Domino's"/>
    <n v="11"/>
    <s v="Rumours"/>
    <m/>
    <s v="Matthew"/>
    <m/>
    <s v="Attendance is confirmed"/>
    <n v="10"/>
    <s v="Liked the drill but i can tell he needs a lot of work when updating business comms and coordinating the team"/>
    <m/>
    <m/>
    <m/>
    <s v="Attended"/>
    <m/>
    <m/>
    <m/>
    <m/>
    <m/>
  </r>
  <r>
    <d v="2025-10-17T00:00:00"/>
    <x v="3"/>
    <d v="1899-12-30T16:00:00"/>
    <s v="Pradeep"/>
    <s v="Domino's"/>
    <n v="18"/>
    <s v="PIR on Defcon1"/>
    <m/>
    <s v="Naz"/>
    <m/>
    <m/>
    <s v="No Score"/>
    <m/>
    <m/>
    <m/>
    <m/>
    <s v="Attended"/>
    <m/>
    <m/>
    <m/>
    <m/>
    <m/>
  </r>
  <r>
    <d v="2025-10-22T00:00:00"/>
    <x v="3"/>
    <d v="1899-12-30T11:00:00"/>
    <s v="Vallabh"/>
    <s v="Domino's"/>
    <n v="16"/>
    <s v="Defcon1"/>
    <m/>
    <s v="Rishi"/>
    <m/>
    <m/>
    <n v="10"/>
    <s v="Really a good drill. Learned a lot from this. Never experienced ransomware. "/>
    <n v="6404"/>
    <m/>
    <m/>
    <s v="Attended"/>
    <m/>
    <m/>
    <m/>
    <m/>
    <m/>
  </r>
  <r>
    <d v="2025-10-22T00:00:00"/>
    <x v="3"/>
    <d v="1899-12-30T14:00:00"/>
    <s v="Ramesh"/>
    <s v="Domino's"/>
    <n v="16"/>
    <s v="PIR on Defcon1"/>
    <m/>
    <s v="Rishi"/>
    <m/>
    <m/>
    <n v="9"/>
    <s v="Good to know where he lacked and key decision making points "/>
    <m/>
    <m/>
    <m/>
    <s v="Attended"/>
    <m/>
    <m/>
    <m/>
    <m/>
    <m/>
  </r>
  <r>
    <d v="2025-10-22T00:00:00"/>
    <x v="3"/>
    <d v="1899-12-30T14:00:00"/>
    <s v="Swetha"/>
    <s v="Domino's"/>
    <n v="16"/>
    <s v="PIR on Defcon1"/>
    <m/>
    <s v="Matthew"/>
    <m/>
    <m/>
    <n v="6"/>
    <s v="Has more fun running the drills; this is probably why we got a lower score this time. in the next pir don't make her fill out any information just go through he timeline and show her where she can improve in different areas"/>
    <m/>
    <m/>
    <m/>
    <s v="Attended"/>
    <m/>
    <m/>
    <m/>
    <m/>
    <m/>
  </r>
  <r>
    <d v="2025-10-24T00:00:00"/>
    <x v="3"/>
    <d v="1899-12-30T12:00:00"/>
    <s v="Vaishnavi"/>
    <s v="Domino's"/>
    <n v="15"/>
    <s v="Defcon1"/>
    <m/>
    <s v="Matthew"/>
    <m/>
    <m/>
    <n v="10"/>
    <s v="felt the pressure of this session, sees she needs to improve her business coms."/>
    <n v="6446"/>
    <m/>
    <m/>
    <s v="Attended"/>
    <m/>
    <m/>
    <m/>
    <m/>
    <m/>
  </r>
  <r>
    <d v="2025-10-24T00:00:00"/>
    <x v="3"/>
    <d v="1899-12-30T14:00:00"/>
    <s v="Gowtham"/>
    <s v="Domino's"/>
    <n v="11"/>
    <s v="Missing Delivery"/>
    <m/>
    <s v="Matthew"/>
    <m/>
    <m/>
    <n v="10"/>
    <s v="Liked the drill, can see his confidence improve form his first drill and likes the learnings he is gaining from these sessions"/>
    <n v="6451"/>
    <m/>
    <m/>
    <s v="Attended"/>
    <m/>
    <m/>
    <m/>
    <m/>
    <m/>
  </r>
  <r>
    <d v="2025-10-29T00:00:00"/>
    <x v="3"/>
    <d v="1899-12-30T11:00:00"/>
    <s v="Vallabh"/>
    <s v="Domino's"/>
    <n v="16"/>
    <s v="PIR on Defcon1"/>
    <m/>
    <s v="Rishi"/>
    <m/>
    <s v="He's not available on 5th Nov. Requested to do it week after 5th"/>
    <n v="10"/>
    <s v="Constructive feedback was really good. Understood the ways on to improve further in the comms, checking changes"/>
    <m/>
    <m/>
    <m/>
    <s v="Attended"/>
    <m/>
    <m/>
    <m/>
    <m/>
    <m/>
  </r>
  <r>
    <d v="2025-10-29T00:00:00"/>
    <x v="3"/>
    <d v="1899-12-30T15:00:00"/>
    <s v="Pradeep"/>
    <s v="Domino's"/>
    <n v="18"/>
    <s v="Roblox"/>
    <m/>
    <s v="Rishi"/>
    <m/>
    <m/>
    <n v="10"/>
    <s v="It was tough for him. Wasn't able to understand that there are 2 separate issue. Liked how it forced him to prioritize the incidents"/>
    <n v="6496"/>
    <m/>
    <m/>
    <s v="Attended"/>
    <m/>
    <m/>
    <m/>
    <m/>
    <m/>
  </r>
  <r>
    <d v="2025-10-30T00:00:00"/>
    <x v="3"/>
    <d v="1899-12-30T16:00:00"/>
    <s v="Praveen"/>
    <s v="Domino's"/>
    <n v="14"/>
    <s v="PIR on Defcon1"/>
    <m/>
    <s v="Naz"/>
    <m/>
    <s v="We have to repeat this in few months"/>
    <n v="10"/>
    <m/>
    <m/>
    <m/>
    <m/>
    <s v="Attended"/>
    <m/>
    <m/>
    <m/>
    <m/>
    <m/>
  </r>
  <r>
    <d v="2025-11-05T00:00:00"/>
    <x v="4"/>
    <d v="1899-12-30T14:00:00"/>
    <s v="Swetha"/>
    <s v="Domino's"/>
    <n v="16"/>
    <s v="Radio Silence"/>
    <m/>
    <s v="Charlene"/>
    <m/>
    <m/>
    <n v="10"/>
    <s v="found the unresponsiveness from tanya frustrating, liked the pressure this generated and overall liked that this drill was different"/>
    <m/>
    <m/>
    <m/>
    <s v="Attended"/>
    <m/>
    <m/>
    <m/>
    <m/>
    <m/>
  </r>
  <r>
    <d v="2025-11-07T00:00:00"/>
    <x v="4"/>
    <d v="1899-12-30T12:00:00"/>
    <s v="Vaishnavi"/>
    <s v="Domino's"/>
    <n v="15"/>
    <s v="PIR on Defcon1"/>
    <m/>
    <s v="Ed"/>
    <m/>
    <m/>
    <n v="9"/>
    <s v="A beneficial retrospective session that was able to clarify a lot of uncertainties_x000a__x000a_can't think of  anything to get to 10, "/>
    <m/>
    <m/>
    <m/>
    <s v="Attended"/>
    <m/>
    <m/>
    <m/>
    <m/>
    <m/>
  </r>
  <r>
    <d v="2025-11-07T00:00:00"/>
    <x v="4"/>
    <d v="1899-12-30T14:00:00"/>
    <s v="Gowtham"/>
    <s v="Domino's"/>
    <n v="11"/>
    <s v="Radio Silence"/>
    <m/>
    <s v="Karan"/>
    <m/>
    <m/>
    <n v="10"/>
    <s v="Great issue ._x000a__x000a_Good - but issue was tricky - but good learning"/>
    <n v="6653"/>
    <m/>
    <m/>
    <s v="Attended"/>
    <m/>
    <m/>
    <m/>
    <m/>
    <m/>
  </r>
  <r>
    <d v="2025-11-12T00:00:00"/>
    <x v="4"/>
    <d v="1899-12-30T11:00:00"/>
    <s v="Vallabh"/>
    <s v="Domino's"/>
    <n v="16"/>
    <s v="Radio Silence"/>
    <m/>
    <s v="Karan"/>
    <m/>
    <m/>
    <n v="10"/>
    <s v="Good - I wasn't sure on how to replicate the issue "/>
    <n v="6743"/>
    <m/>
    <m/>
    <s v="Attended"/>
    <m/>
    <m/>
    <m/>
    <m/>
    <m/>
  </r>
  <r>
    <d v="2025-11-13T00:00:00"/>
    <x v="4"/>
    <d v="1899-12-30T10:00:00"/>
    <s v="Latif"/>
    <s v="Domino's"/>
    <n v="13"/>
    <s v="PIR on Defcon1"/>
    <m/>
    <s v="Naz"/>
    <m/>
    <m/>
    <s v="No Score"/>
    <m/>
    <m/>
    <m/>
    <m/>
    <s v="Attended"/>
    <m/>
    <m/>
    <m/>
    <m/>
    <m/>
  </r>
  <r>
    <d v="2025-11-13T00:00:00"/>
    <x v="4"/>
    <d v="1899-12-30T11:00:00"/>
    <s v="Yeshwanth"/>
    <s v="Domino's"/>
    <n v="11"/>
    <s v="PIR on Defcon1,Profile Report"/>
    <m/>
    <s v="Rishi"/>
    <m/>
    <m/>
    <s v="No Score"/>
    <s v="Highly insightful session. Till now his grades were because of his mindset before playing drills. He didn't had the clarity and thought more like a incident manager beyond SRE , and completely focused just on the resoltuion rather than the process and leadership around it. _x000a__x000a_He understands the complete expectation and got his mindset conditioned to play next sessions. Also he committed about the consistency"/>
    <m/>
    <m/>
    <m/>
    <s v="Attended"/>
    <m/>
    <m/>
    <m/>
    <m/>
    <m/>
  </r>
  <r>
    <d v="2025-11-19T00:00:00"/>
    <x v="4"/>
    <d v="1899-12-30T12:30:00"/>
    <s v="Ramesh"/>
    <s v="Domino's"/>
    <n v="16"/>
    <s v="The Chain,Grounding Workshop"/>
    <m/>
    <s v="Charlene"/>
    <m/>
    <m/>
    <n v="9"/>
    <s v="he struggled with this drill, he didn't undertsnad why certain solutions weren't working, I explained that this drill relies on being specific and sharing context with characters. Also he was rusty since he hadn't played in 3 weeks"/>
    <n v="6828"/>
    <m/>
    <m/>
    <s v="Attended"/>
    <m/>
    <m/>
    <m/>
    <m/>
    <m/>
  </r>
  <r>
    <d v="2025-11-19T00:00:00"/>
    <x v="4"/>
    <d v="1899-12-30T14:00:00"/>
    <s v="Praveen"/>
    <s v="Domino's"/>
    <n v="14"/>
    <s v="Radio Silence"/>
    <m/>
    <s v="Ed"/>
    <m/>
    <m/>
    <n v="9"/>
    <s v="Had a good discussion about severity assigning and the business impact on the issue"/>
    <n v="6832"/>
    <m/>
    <m/>
    <s v="Attended"/>
    <m/>
    <m/>
    <m/>
    <m/>
    <m/>
  </r>
  <r>
    <d v="2025-11-19T00:00:00"/>
    <x v="4"/>
    <d v="1899-12-30T15:00:00"/>
    <s v="Swetha"/>
    <s v="Domino's"/>
    <n v="16"/>
    <s v="Roblox"/>
    <m/>
    <s v="Karan"/>
    <m/>
    <m/>
    <n v="10"/>
    <s v="It was surprising to have 2 incident s"/>
    <n v="6836"/>
    <m/>
    <m/>
    <s v="Attended"/>
    <m/>
    <m/>
    <m/>
    <m/>
    <m/>
  </r>
  <r>
    <d v="2025-11-20T00:00:00"/>
    <x v="4"/>
    <d v="1899-12-30T12:00:00"/>
    <s v="Ranjan"/>
    <s v="Domino's"/>
    <n v="5"/>
    <s v="Intro"/>
    <m/>
    <s v="Naz"/>
    <m/>
    <m/>
    <s v="No Score"/>
    <m/>
    <m/>
    <m/>
    <m/>
    <s v="Attended"/>
    <m/>
    <m/>
    <m/>
    <m/>
    <m/>
  </r>
  <r>
    <d v="2025-11-21T00:00:00"/>
    <x v="4"/>
    <d v="1899-12-30T12:00:00"/>
    <s v="Vaishnavi"/>
    <s v="Domino's"/>
    <n v="15"/>
    <s v="Radio Silence"/>
    <m/>
    <s v="Ed"/>
    <m/>
    <s v="She time out and was not able to fill in the form"/>
    <s v="No Score"/>
    <s v="Was confused about how to proceed in the drill, everyone was busy but managed to completethe drill within 35 mins"/>
    <n v="6859"/>
    <m/>
    <m/>
    <s v="Attended"/>
    <m/>
    <m/>
    <m/>
    <m/>
    <m/>
  </r>
  <r>
    <d v="2025-11-24T00:00:00"/>
    <x v="4"/>
    <d v="1899-12-30T15:00:00"/>
    <s v="Pradeep"/>
    <s v="Domino's"/>
    <n v="18"/>
    <s v="The Switch"/>
    <m/>
    <s v="Matthew"/>
    <m/>
    <m/>
    <n v="9"/>
    <s v="Knows where he can improve"/>
    <n v="6872"/>
    <m/>
    <m/>
    <s v="Attended"/>
    <m/>
    <m/>
    <m/>
    <m/>
    <m/>
  </r>
  <r>
    <d v="2025-11-26T00:00:00"/>
    <x v="4"/>
    <d v="1899-12-30T11:00:00"/>
    <s v="Vallabh"/>
    <s v="Domino's"/>
    <n v="16"/>
    <s v="Roblox"/>
    <m/>
    <s v="Rishi"/>
    <m/>
    <s v="Share data"/>
    <n v="10"/>
    <s v="Super effective. Handling 2 incidents was  something new"/>
    <n v="6906"/>
    <m/>
    <m/>
    <s v="Attended"/>
    <m/>
    <m/>
    <m/>
    <m/>
    <m/>
  </r>
  <r>
    <d v="2025-11-27T00:00:00"/>
    <x v="4"/>
    <d v="1899-12-30T11:00:00"/>
    <s v="Yeshwanth"/>
    <s v="Domino's"/>
    <n v="11"/>
    <s v="Roblox"/>
    <m/>
    <s v="Rishi"/>
    <m/>
    <m/>
    <n v="10"/>
    <s v="Good one. 2 issues at the same time was something new and he felt he could've done better by creating 2 separate incidents and prioritize accordingly  "/>
    <n v="6937"/>
    <m/>
    <m/>
    <s v="Attended"/>
    <m/>
    <m/>
    <m/>
    <m/>
    <m/>
  </r>
  <r>
    <d v="2025-11-27T00:00:00"/>
    <x v="4"/>
    <d v="1899-12-30T12:00:00"/>
    <s v="Ranjan"/>
    <s v="Domino's"/>
    <n v="5"/>
    <s v="Onboarding,Too Good To Be True"/>
    <m/>
    <s v="Charlene"/>
    <m/>
    <m/>
    <s v="No Score"/>
    <s v="He didn't actually start playing until 45 minutes into the session. next week we need to replay the same drill as the session just suddenly aborted in the middle of playing. Also he would need a soft demo of the tools and team"/>
    <n v="6940"/>
    <m/>
    <m/>
    <s v="Attended"/>
    <m/>
    <m/>
    <m/>
    <m/>
    <m/>
  </r>
  <r>
    <d v="2025-12-03T00:00:00"/>
    <x v="5"/>
    <d v="1899-12-30T13:00:00"/>
    <s v="Ramesh"/>
    <s v="Domino's"/>
    <n v="16"/>
    <s v="The Switch"/>
    <m/>
    <s v="Rishi"/>
    <m/>
    <m/>
    <n v="10"/>
    <s v="Good one. Never get involved with network-related triaging, mostly the apps only. So it was tricky. And they escalate such issues to the network team itself"/>
    <n v="7002"/>
    <m/>
    <m/>
    <s v="Attended"/>
    <m/>
    <m/>
    <m/>
    <m/>
    <m/>
  </r>
  <r>
    <d v="2025-12-04T00:00:00"/>
    <x v="5"/>
    <d v="1899-12-30T13:00:00"/>
    <s v="Chris"/>
    <s v="Domino's"/>
    <n v="9"/>
    <s v="Intro"/>
    <m/>
    <s v="Naz"/>
    <m/>
    <m/>
    <s v="No Score"/>
    <m/>
    <m/>
    <m/>
    <m/>
    <s v="Attended"/>
    <m/>
    <m/>
    <m/>
    <m/>
    <m/>
  </r>
  <r>
    <d v="2025-12-05T00:00:00"/>
    <x v="5"/>
    <d v="1899-12-30T12:00:00"/>
    <s v="Ranjan"/>
    <s v="Domino's"/>
    <n v="5"/>
    <s v="Bez Beatles Day V2"/>
    <s v="checked"/>
    <s v="Naz"/>
    <m/>
    <m/>
    <n v="8"/>
    <m/>
    <m/>
    <m/>
    <m/>
    <s v="Attended"/>
    <m/>
    <m/>
    <m/>
    <m/>
    <m/>
  </r>
  <r>
    <d v="2025-12-05T00:00:00"/>
    <x v="5"/>
    <d v="1899-12-30T12:00:00"/>
    <s v="Vaishnavi"/>
    <s v="Domino's"/>
    <n v="15"/>
    <s v="Roblox"/>
    <m/>
    <s v="Ed"/>
    <m/>
    <s v="@Mildred Ranque She is okay to have sessions on 19th"/>
    <n v="10"/>
    <s v="was slightly confused about 2 separate incident other than that , she liked it"/>
    <n v="7032"/>
    <m/>
    <m/>
    <s v="Attended"/>
    <m/>
    <m/>
    <m/>
    <m/>
    <m/>
  </r>
  <r>
    <d v="2025-12-05T00:00:00"/>
    <x v="5"/>
    <d v="1899-12-30T14:00:00"/>
    <s v="Gowtham"/>
    <s v="Domino's"/>
    <n v="11"/>
    <s v="Roblox"/>
    <m/>
    <s v="Rishi"/>
    <m/>
    <s v="Please ask if they are working on Dec 19"/>
    <n v="9"/>
    <s v="Surprised to see 2 incidents at the same time. Missed to question more in size up phase "/>
    <n v="7037"/>
    <m/>
    <m/>
    <s v="Attended"/>
    <m/>
    <m/>
    <m/>
    <m/>
    <m/>
  </r>
  <r>
    <d v="2025-12-10T00:00:00"/>
    <x v="5"/>
    <d v="1899-12-30T11:00:00"/>
    <s v="Vallabh"/>
    <s v="Domino's"/>
    <n v="16"/>
    <s v="Profile Report"/>
    <m/>
    <s v="Rishi"/>
    <m/>
    <m/>
    <s v="No Score"/>
    <m/>
    <m/>
    <m/>
    <m/>
    <s v="Attended"/>
    <m/>
    <m/>
    <m/>
    <m/>
    <m/>
  </r>
  <r>
    <d v="2025-12-10T00:00:00"/>
    <x v="5"/>
    <d v="1899-12-30T14:00:00"/>
    <s v="Swetha"/>
    <s v="Domino's"/>
    <n v="16"/>
    <s v="The Chain"/>
    <m/>
    <s v="Rishi"/>
    <m/>
    <s v="Grounding workshop pending for next time"/>
    <n v="10"/>
    <s v="Definately was a good one. Always better to check the dependency but usually IM don't do that, the engg clarifies on this part. "/>
    <n v="7082"/>
    <m/>
    <m/>
    <s v="Attended"/>
    <m/>
    <m/>
    <m/>
    <m/>
    <m/>
  </r>
  <r>
    <d v="2025-12-11T00:00:00"/>
    <x v="5"/>
    <d v="1899-12-30T12:00:00"/>
    <s v="Ranjan"/>
    <s v="Domino's"/>
    <n v="5"/>
    <s v="Bez Beatles Day V2"/>
    <s v="checked"/>
    <s v="Rishi"/>
    <m/>
    <s v="Ai and Rishi_x000a__x000a_Rishi has to go over org chart and /help, /incident again"/>
    <n v="9"/>
    <s v="Its good. Close to reality except the time frame provided to solve an incident. Prompted for logs, but no response on that. "/>
    <n v="7098"/>
    <m/>
    <m/>
    <s v="Attended"/>
    <m/>
    <m/>
    <m/>
    <m/>
    <m/>
  </r>
  <r>
    <d v="2025-12-11T00:00:00"/>
    <x v="5"/>
    <d v="1899-12-30T13:00:00"/>
    <s v="Chris"/>
    <s v="Domino's"/>
    <n v="9"/>
    <s v="Onboarding,Too Good To Be True"/>
    <m/>
    <s v="Charlene"/>
    <m/>
    <m/>
    <n v="8"/>
    <s v="he was surprised by how intuitive the characters were and is looking forward to playing another session"/>
    <n v="7103"/>
    <m/>
    <m/>
    <s v="Attended"/>
    <m/>
    <m/>
    <m/>
    <m/>
    <m/>
  </r>
  <r>
    <d v="2025-12-12T00:00:00"/>
    <x v="5"/>
    <d v="1899-12-30T11:00:00"/>
    <s v="Yeshwanth"/>
    <s v="Domino's"/>
    <n v="11"/>
    <s v="The Chain,Grounding Workshop"/>
    <m/>
    <s v="Matthew"/>
    <m/>
    <m/>
    <n v="9"/>
    <s v="He needs to read what the team is telling him, he will get information then ask for it again a minute later"/>
    <n v="7114"/>
    <m/>
    <m/>
    <s v="Attended"/>
    <m/>
    <m/>
    <m/>
    <m/>
    <m/>
  </r>
  <r>
    <d v="2025-12-16T00:00:00"/>
    <x v="5"/>
    <d v="1899-12-30T11:00:00"/>
    <s v="Pradeep"/>
    <s v="Domino's"/>
    <n v="18"/>
    <s v="PIR on Switch"/>
    <m/>
    <s v="Ed"/>
    <m/>
    <m/>
    <n v="10"/>
    <s v="he is looking forward to try fill in the PIR form sicnce he only contributes as rot cause identifier"/>
    <m/>
    <m/>
    <m/>
    <s v="Attended"/>
    <m/>
    <m/>
    <m/>
    <m/>
    <m/>
  </r>
  <r>
    <d v="2025-12-19T00:00:00"/>
    <x v="5"/>
    <d v="1899-12-30T12:00:00"/>
    <s v="Vaishnavi"/>
    <s v="Domino's"/>
    <n v="15"/>
    <s v="The Chain,Grounding Workshop"/>
    <m/>
    <s v="Rishi"/>
    <m/>
    <m/>
    <n v="10"/>
    <s v="Interesting one. Have not seen such issues earlier in the drills. Restart of cartservice fixed the issue but later failed again "/>
    <n v="7208"/>
    <m/>
    <m/>
    <s v="Attended"/>
    <m/>
    <m/>
    <m/>
    <m/>
    <m/>
  </r>
  <r>
    <d v="2025-12-19T00:00:00"/>
    <x v="5"/>
    <d v="1899-12-30T14:00:00"/>
    <s v="Gowtham"/>
    <s v="Domino's"/>
    <n v="11"/>
    <s v="The Switch"/>
    <m/>
    <s v="Ed"/>
    <m/>
    <s v="MM testing"/>
    <n v="10"/>
    <s v="was able to see the importance of sizing up and understand the importance of bringing in the right people in at the right time"/>
    <n v="7211"/>
    <m/>
    <m/>
    <s v="Attended"/>
    <m/>
    <m/>
    <m/>
    <m/>
    <m/>
  </r>
  <r>
    <d v="2026-01-08T00:00:00"/>
    <x v="6"/>
    <d v="1899-12-30T11:00:00"/>
    <s v="Yeshwanth"/>
    <s v="Domino's"/>
    <n v="11"/>
    <s v="The Switch"/>
    <m/>
    <s v="Rishi"/>
    <m/>
    <m/>
    <n v="10"/>
    <s v="This was amazing. He was able to form working theory by askign teams to check connections to network infra and made a logical decision on why not to go for switch restart."/>
    <n v="7320"/>
    <m/>
    <m/>
    <s v="Attended"/>
    <m/>
    <m/>
    <m/>
    <m/>
    <m/>
  </r>
  <r>
    <d v="2026-01-08T00:00:00"/>
    <x v="6"/>
    <d v="1899-12-30T15:00:00"/>
    <s v="Praveen"/>
    <s v="Domino's"/>
    <n v="14"/>
    <s v="Roblox"/>
    <m/>
    <s v="Charlene"/>
    <m/>
    <s v="He seemed to really struggle with this drill. I would suggest an easier drill for him before progressing as I feel this session was too difficult for him"/>
    <n v="8"/>
    <s v="the feedback form didn't work on his session so i asked for the score verbally, he said that he feels like he needs more time in the drill"/>
    <n v="7327"/>
    <m/>
    <m/>
    <s v="Attended"/>
    <m/>
    <m/>
    <m/>
    <m/>
    <m/>
  </r>
  <r>
    <d v="2026-01-12T00:00:00"/>
    <x v="6"/>
    <d v="1899-12-30T13:00:00"/>
    <s v="Pradeep"/>
    <s v="Domino's"/>
    <n v="18"/>
    <s v="The Chain"/>
    <m/>
    <s v="Rishi"/>
    <m/>
    <m/>
    <n v="10"/>
    <s v="Good one. Will think about the dependency in next drills "/>
    <n v="7368"/>
    <m/>
    <m/>
    <s v="Attended"/>
    <m/>
    <m/>
    <m/>
    <m/>
    <m/>
  </r>
  <r>
    <d v="2026-01-14T00:00:00"/>
    <x v="6"/>
    <d v="1899-12-30T11:00:00"/>
    <s v="Vallabh"/>
    <s v="Domino's"/>
    <n v="16"/>
    <s v="The Chain,Grounding Workshop"/>
    <m/>
    <s v="Rishi"/>
    <m/>
    <m/>
    <n v="10"/>
    <s v="Realistic. Cascading failure - got the idea by drill's name . Good practice on deciding whether to save a bitcoin feature or completely roll it back "/>
    <n v="7402"/>
    <m/>
    <m/>
    <s v="Attended"/>
    <m/>
    <m/>
    <m/>
    <m/>
    <m/>
  </r>
  <r>
    <d v="2026-01-15T00:00:00"/>
    <x v="6"/>
    <d v="1899-12-30T12:00:00"/>
    <s v="Ranjan"/>
    <s v="Domino's"/>
    <n v="5"/>
    <s v="The Big Investors"/>
    <m/>
    <s v="Rishi"/>
    <m/>
    <m/>
    <n v="10"/>
    <s v="Took a lot of time. Said he needs to learn so many things. "/>
    <n v="7427"/>
    <m/>
    <m/>
    <s v="Attended"/>
    <m/>
    <m/>
    <m/>
    <m/>
    <m/>
  </r>
  <r>
    <d v="2026-01-16T00:00:00"/>
    <x v="6"/>
    <d v="1899-12-30T10:00:00"/>
    <s v="Chris"/>
    <s v="Domino's"/>
    <n v="9"/>
    <s v="Bez Beatles Day V2"/>
    <s v="checked"/>
    <s v="Naz"/>
    <m/>
    <m/>
    <n v="10"/>
    <m/>
    <m/>
    <m/>
    <m/>
    <s v="Attended"/>
    <m/>
    <m/>
    <m/>
    <m/>
    <m/>
  </r>
  <r>
    <d v="2026-01-16T00:00:00"/>
    <x v="6"/>
    <d v="1899-12-30T12:00:00"/>
    <s v="Vaishnavi"/>
    <s v="Domino's"/>
    <n v="15"/>
    <s v="The Switch"/>
    <m/>
    <s v="Matthew"/>
    <m/>
    <m/>
    <n v="10"/>
    <s v="Liked the drill and found the narrative very interesting"/>
    <n v="7449"/>
    <m/>
    <m/>
    <s v="Attended"/>
    <m/>
    <m/>
    <m/>
    <m/>
    <m/>
  </r>
  <r>
    <d v="2026-01-16T00:00:00"/>
    <x v="6"/>
    <d v="1899-12-30T13:00:00"/>
    <s v="Swetha"/>
    <s v="Domino's"/>
    <n v="16"/>
    <s v="The Switch,Grounding Workshop"/>
    <m/>
    <s v="Ed"/>
    <m/>
    <m/>
    <n v="10"/>
    <s v="said it was good experience and she is looking forward to PIR session in addition to find out more about her progres"/>
    <n v="7450"/>
    <m/>
    <m/>
    <s v="Attended"/>
    <m/>
    <m/>
    <m/>
    <m/>
    <m/>
  </r>
  <r>
    <d v="2026-01-21T00:00:00"/>
    <x v="6"/>
    <d v="1899-12-30T13:00:00"/>
    <s v="Ramesh"/>
    <s v="Domino's"/>
    <n v="16"/>
    <s v="Unknown Unknown"/>
    <m/>
    <s v="Rishi"/>
    <m/>
    <s v="Session plan? Discount Disaster or Detail Matter?"/>
    <n v="10"/>
    <m/>
    <n v="7486"/>
    <m/>
    <m/>
    <s v="Attended"/>
    <m/>
    <m/>
    <m/>
    <m/>
    <m/>
  </r>
  <r>
    <d v="2026-01-22T00:00:00"/>
    <x v="6"/>
    <d v="1899-12-30T10:00:00"/>
    <s v="Latif"/>
    <s v="Domino's"/>
    <n v="13"/>
    <s v="Roblox"/>
    <m/>
    <s v="Ed"/>
    <m/>
    <m/>
    <n v="9"/>
    <s v="Good drill to practice and identify multiple issues within the incident"/>
    <n v="7497"/>
    <m/>
    <m/>
    <s v="Attended"/>
    <m/>
    <m/>
    <m/>
    <m/>
    <m/>
  </r>
  <r>
    <d v="2026-01-22T00:00:00"/>
    <x v="6"/>
    <d v="1899-12-30T14:00:00"/>
    <s v="Praveen"/>
    <s v="Domino's"/>
    <n v="14"/>
    <s v="Profile Report"/>
    <m/>
    <s v="Ed"/>
    <m/>
    <s v="Waiting for response to move to earlier time"/>
    <n v="10"/>
    <m/>
    <m/>
    <m/>
    <m/>
    <s v="Attended"/>
    <m/>
    <m/>
    <m/>
    <m/>
    <s v="He will send you an email about potentially changing his time for sessions, also he would like to have Karan for his next session :D"/>
  </r>
  <r>
    <d v="2026-01-23T00:00:00"/>
    <x v="6"/>
    <d v="1899-12-30T10:00:00"/>
    <s v="Chris"/>
    <s v="Domino's"/>
    <n v="9"/>
    <s v="Bez Beatles Day V2"/>
    <s v="checked"/>
    <s v="Naz"/>
    <m/>
    <m/>
    <n v="10"/>
    <s v="he finished it and loved it"/>
    <n v="7514"/>
    <m/>
    <m/>
    <s v="Attended"/>
    <m/>
    <m/>
    <m/>
    <m/>
    <m/>
  </r>
  <r>
    <d v="2026-01-28T00:00:00"/>
    <x v="6"/>
    <d v="1899-12-30T11:00:00"/>
    <s v="Vallabh"/>
    <s v="Domino's"/>
    <n v="16"/>
    <s v="The Switch"/>
    <m/>
    <s v="Ed"/>
    <m/>
    <m/>
    <n v="9"/>
    <s v="He is looking forward to PIR and practice more  grounding"/>
    <n v="7543"/>
    <m/>
    <m/>
    <s v="Attended"/>
    <m/>
    <m/>
    <m/>
    <m/>
    <m/>
  </r>
  <r>
    <d v="2026-01-28T00:00:00"/>
    <x v="6"/>
    <d v="1899-12-30T14:00:00"/>
    <s v="Swetha"/>
    <s v="Domino's"/>
    <n v="16"/>
    <s v="Interview"/>
    <m/>
    <s v="Naz"/>
    <m/>
    <s v="She is going to play UU and prefer to skip PIR and join work call"/>
    <s v="No Score"/>
    <m/>
    <m/>
    <m/>
    <m/>
    <s v="Attended"/>
    <m/>
    <m/>
    <m/>
    <m/>
    <m/>
  </r>
  <r>
    <d v="2026-01-29T00:00:00"/>
    <x v="6"/>
    <d v="1899-12-30T10:00:00"/>
    <s v="Chris"/>
    <s v="Domino's"/>
    <n v="9"/>
    <s v="The Big Investors"/>
    <m/>
    <s v="Rishi"/>
    <m/>
    <m/>
    <n v="10"/>
    <s v="Great one. Intentionally this forced me to go through logs , check architecture then form a working theory. "/>
    <n v="7553"/>
    <m/>
    <m/>
    <s v="Attended"/>
    <m/>
    <m/>
    <m/>
    <m/>
    <m/>
  </r>
  <r>
    <d v="2026-01-30T00:00:00"/>
    <x v="6"/>
    <d v="1899-12-30T12:00:00"/>
    <s v="Vaishnavi"/>
    <s v="Domino's"/>
    <n v="15"/>
    <s v="PIR on Switch"/>
    <m/>
    <s v="Matthew"/>
    <m/>
    <s v="Feedback"/>
    <n v="9"/>
    <s v="Sees the values in our sessions, tight now there isnt sev 1's and this training helps keep them  fresh in their head "/>
    <m/>
    <m/>
    <m/>
    <s v="Attended"/>
    <m/>
    <m/>
    <m/>
    <m/>
    <m/>
  </r>
  <r>
    <d v="2026-02-04T00:00:00"/>
    <x v="7"/>
    <d v="1899-12-30T13:00:00"/>
    <s v="Ramesh"/>
    <s v="Domino's"/>
    <n v="16"/>
    <s v="PIR on Unknown Unknown"/>
    <m/>
    <s v="Ed"/>
    <m/>
    <m/>
    <n v="8"/>
    <m/>
    <m/>
    <m/>
    <m/>
    <s v="Attended"/>
    <m/>
    <s v="INC-399 users can't view reports"/>
    <s v="checked"/>
    <m/>
    <m/>
  </r>
  <r>
    <d v="2026-02-04T00:00:00"/>
    <x v="7"/>
    <d v="1899-12-30T13:00:00"/>
    <s v="Pradeep"/>
    <s v="Domino's"/>
    <n v="18"/>
    <s v="Profile Report"/>
    <m/>
    <s v="Charlene"/>
    <m/>
    <m/>
    <s v="No Score"/>
    <s v="he liked seeing his current level and liked discussing where the training on the platform will take him. hasn't had any real incidents in the last few weeks so no real opportunity to showcase any uptime labs skills"/>
    <m/>
    <m/>
    <m/>
    <s v="Attended"/>
    <m/>
    <m/>
    <m/>
    <m/>
    <m/>
  </r>
  <r>
    <d v="2026-02-05T00:00:00"/>
    <x v="7"/>
    <d v="1899-12-30T10:00:00"/>
    <s v="Latif"/>
    <s v="Domino's"/>
    <n v="13"/>
    <s v="The Switch"/>
    <m/>
    <s v="Ed"/>
    <m/>
    <m/>
    <n v="9"/>
    <s v="He is looking forward to see how he is doing compared to other team members, overall he liked the drill"/>
    <n v="7631"/>
    <m/>
    <m/>
    <s v="Attended"/>
    <m/>
    <m/>
    <m/>
    <m/>
    <m/>
  </r>
  <r>
    <d v="2026-02-06T00:00:00"/>
    <x v="7"/>
    <d v="1899-12-30T10:00:00"/>
    <s v="Chris"/>
    <s v="Domino's"/>
    <n v="9"/>
    <s v="Rumours"/>
    <m/>
    <s v="Karan"/>
    <m/>
    <m/>
    <n v="9"/>
    <s v="Didn't expect this .Surprising that its a no issue - It fooled me . really caught me"/>
    <n v="7645"/>
    <m/>
    <m/>
    <s v="Attended"/>
    <m/>
    <m/>
    <m/>
    <m/>
    <m/>
  </r>
  <r>
    <d v="2026-02-12T00:00:00"/>
    <x v="7"/>
    <d v="1899-12-30T14:00:00"/>
    <s v="Swetha"/>
    <s v="Domino's"/>
    <n v="16"/>
    <s v="Unknown Unknown"/>
    <m/>
    <s v="Karan"/>
    <m/>
    <s v="@Karan Tell her this is ur new drill and we want your feedback, red carpet treatment "/>
    <n v="10"/>
    <s v="This is great - The UAT situation is real . Lot of surprising factors ._x000a_Help from Hamed was good "/>
    <n v="7702"/>
    <m/>
    <m/>
    <s v="Attended"/>
    <m/>
    <m/>
    <m/>
    <m/>
    <m/>
  </r>
  <r>
    <d v="2026-02-13T00:00:00"/>
    <x v="7"/>
    <d v="1899-12-30T10:00:00"/>
    <s v="Chris"/>
    <s v="Domino's"/>
    <n v="9"/>
    <s v="Missing Delivery V2"/>
    <s v="checked"/>
    <s v="Rishi"/>
    <m/>
    <s v="Move to every 2 weeks"/>
    <n v="10"/>
    <s v="Brilliant. How cleverly it broke my pattern of triaging - i always thought change would be reason like previous drills. This was awesome."/>
    <n v="7718"/>
    <m/>
    <m/>
    <s v="Attended"/>
    <m/>
    <m/>
    <m/>
    <m/>
    <m/>
  </r>
  <r>
    <d v="2026-02-13T00:00:00"/>
    <x v="7"/>
    <d v="1899-12-30T12:00:00"/>
    <s v="Vaishnavi"/>
    <s v="Domino's"/>
    <n v="15"/>
    <s v="Version Confusion"/>
    <m/>
    <s v="Ed"/>
    <m/>
    <s v="Next session should be a profile @mi"/>
    <n v="10"/>
    <s v="Was asking me questions about her progress, so next session should be a profile session"/>
    <n v="7721"/>
    <m/>
    <m/>
    <s v="Attended"/>
    <m/>
    <m/>
    <m/>
    <m/>
    <m/>
  </r>
  <r>
    <d v="2026-02-13T00:00:00"/>
    <x v="7"/>
    <d v="1899-12-30T14:00:00"/>
    <s v="Praveen"/>
    <s v="Domino's"/>
    <n v="14"/>
    <s v="The Chain,Grounding Workshop"/>
    <m/>
    <s v="Matthew"/>
    <m/>
    <m/>
    <n v="8"/>
    <s v="Liked the session today and says he learnt some good skills today "/>
    <n v="7722"/>
    <m/>
    <m/>
    <s v="Attended"/>
    <m/>
    <m/>
    <m/>
    <m/>
    <m/>
  </r>
  <r>
    <d v="2026-02-18T00:00:00"/>
    <x v="7"/>
    <d v="1899-12-30T11:00:00"/>
    <s v="Vallabh"/>
    <s v="Domino's"/>
    <n v="16"/>
    <s v="PIR on Switch"/>
    <m/>
    <s v="Ed"/>
    <m/>
    <m/>
    <n v="10"/>
    <s v="Found the sesion very insightful, they might integrate some aspects of our PIR for their RCA"/>
    <m/>
    <m/>
    <m/>
    <s v="Attended"/>
    <m/>
    <m/>
    <m/>
    <m/>
    <m/>
  </r>
  <r>
    <d v="2026-02-19T00:00:00"/>
    <x v="7"/>
    <d v="1899-12-30T10:00:00"/>
    <s v="Latif"/>
    <s v="Domino's"/>
    <n v="13"/>
    <s v="PIR on Switch"/>
    <m/>
    <s v="Ed"/>
    <m/>
    <m/>
    <n v="10"/>
    <s v="loved the drill, loved the PIR , finds the session really insightful"/>
    <m/>
    <m/>
    <m/>
    <s v="Attended"/>
    <m/>
    <m/>
    <m/>
    <m/>
    <m/>
  </r>
  <r>
    <d v="2026-02-19T00:00:00"/>
    <x v="7"/>
    <d v="1899-12-30T14:00:00"/>
    <s v="Ramesh"/>
    <s v="Domino's"/>
    <n v="16"/>
    <s v="Version Confusion"/>
    <m/>
    <s v="Charlene"/>
    <m/>
    <m/>
    <n v="8"/>
    <s v="I had to discuss with him post drill what the problem was as he didn't get it. he realised he missed a key message at the start of the drill"/>
    <n v="7774"/>
    <m/>
    <m/>
    <s v="Attended"/>
    <m/>
    <m/>
    <m/>
    <m/>
    <m/>
  </r>
  <r>
    <d v="2026-02-20T00:00:00"/>
    <x v="7"/>
    <d v="1899-12-30T14:00:00"/>
    <s v="Gowtham"/>
    <s v="Domino's"/>
    <n v="11"/>
    <s v="The Chain,Grounding Workshop"/>
    <m/>
    <s v="Matthew"/>
    <m/>
    <m/>
    <n v="10"/>
    <s v="Really liked the narrative, he sees where can improve for the next session "/>
    <n v="7786"/>
    <m/>
    <m/>
    <s v="Attended"/>
    <m/>
    <m/>
    <m/>
    <m/>
    <m/>
  </r>
  <r>
    <d v="2026-02-23T00:00:00"/>
    <x v="7"/>
    <d v="1899-12-30T13:00:00"/>
    <s v="Pradeep"/>
    <s v="Domino's"/>
    <n v="18"/>
    <s v="Version Confusion"/>
    <m/>
    <s v="Matthew"/>
    <m/>
    <m/>
    <n v="10"/>
    <s v="We will need to go back to this drill._x000a_needs to focus on driving the drill more himself and take lead"/>
    <n v="7796"/>
    <m/>
    <m/>
    <s v="Attended"/>
    <m/>
    <m/>
    <m/>
    <m/>
    <m/>
  </r>
  <r>
    <d v="2026-02-26T00:00:00"/>
    <x v="7"/>
    <d v="1899-12-30T14:00:00"/>
    <s v="Praveen"/>
    <s v="Domino's"/>
    <n v="14"/>
    <s v="The Switch"/>
    <m/>
    <s v="Ed"/>
    <m/>
    <s v="Ask about value"/>
    <n v="9"/>
    <s v="He can see how this drill can help with similar situations that have ocoured in switch since they have not experience anything like this before"/>
    <n v="7826"/>
    <m/>
    <m/>
    <s v="Attended"/>
    <m/>
    <m/>
    <m/>
    <m/>
    <m/>
  </r>
  <r>
    <d v="2026-02-26T00:00:00"/>
    <x v="7"/>
    <d v="1899-12-30T14:00:00"/>
    <s v="Swetha"/>
    <s v="Domino's"/>
    <n v="16"/>
    <s v="PIR on Unknown Unknown"/>
    <m/>
    <s v="Karan"/>
    <m/>
    <m/>
    <n v="10"/>
    <s v="These are definately helpfull compared to traditional PIR's"/>
    <m/>
    <m/>
    <m/>
    <s v="Attended"/>
    <m/>
    <m/>
    <m/>
    <m/>
    <m/>
  </r>
  <r>
    <d v="2026-02-27T00:00:00"/>
    <x v="7"/>
    <d v="1899-12-30T10:00:00"/>
    <s v="Chris"/>
    <s v="Domino's"/>
    <n v="9"/>
    <s v="Radio Silence"/>
    <m/>
    <s v="Ed"/>
    <m/>
    <s v="next session 20th march @Mildred Ranque he is away on his honeymoon trip"/>
    <n v="9"/>
    <s v="Liked the drill and was able to figure out what drill was supposed to do and followed the learning objectives"/>
    <n v="7839"/>
    <m/>
    <m/>
    <s v="Attended"/>
    <m/>
    <m/>
    <m/>
    <m/>
    <m/>
  </r>
  <r>
    <d v="2026-03-04T00:00:00"/>
    <x v="8"/>
    <d v="1899-12-30T11:00:00"/>
    <s v="Vallabh"/>
    <s v="Domino's"/>
    <n v="16"/>
    <s v="Version Confusion"/>
    <m/>
    <s v="Rishi"/>
    <m/>
    <m/>
    <n v="9"/>
    <s v="It was good. Expected t to be dev issue but it was infra "/>
    <n v="7881"/>
    <m/>
    <m/>
    <s v="Attended"/>
    <m/>
    <m/>
    <m/>
    <m/>
    <m/>
  </r>
  <r>
    <d v="2026-03-12T00:00:00"/>
    <x v="8"/>
    <d v="1899-12-30T11:00:00"/>
    <s v="Pradeep"/>
    <s v="Domino's"/>
    <n v="18"/>
    <s v="Cart-astroph"/>
    <m/>
    <s v="Rishi"/>
    <m/>
    <m/>
    <n v="10"/>
    <s v="Surprise to find Tanya not available. I should have thought to tagging Hamed earlier. Missed the correlation of 3 changes by not observing their deployment timings "/>
    <n v="7975"/>
    <m/>
    <m/>
    <s v="Attended"/>
    <m/>
    <m/>
    <m/>
    <m/>
    <m/>
  </r>
  <r>
    <d v="2026-03-16T00:00:00"/>
    <x v="8"/>
    <d v="1899-12-30T12:00:00"/>
    <s v="Vaishnavi"/>
    <s v="Domino's"/>
    <n v="15"/>
    <s v="Cart-astroph"/>
    <m/>
    <s v="Charlene"/>
    <m/>
    <s v="Feedback"/>
    <n v="10"/>
    <m/>
    <m/>
    <m/>
    <m/>
    <s v="Attended"/>
    <m/>
    <m/>
    <m/>
    <m/>
    <m/>
  </r>
  <r>
    <d v="2026-03-18T00:00:00"/>
    <x v="8"/>
    <d v="1899-12-30T11:00:00"/>
    <s v="Vallabh"/>
    <s v="Domino's"/>
    <n v="16"/>
    <s v="Cart-astroph"/>
    <m/>
    <s v="Rishi"/>
    <m/>
    <m/>
    <n v="9"/>
    <s v="Enjoyed it. Had to rollback all 3 changes "/>
    <n v="8069"/>
    <m/>
    <m/>
    <s v="Attended"/>
    <m/>
    <m/>
    <m/>
    <m/>
    <m/>
  </r>
  <r>
    <d v="2026-03-19T00:00:00"/>
    <x v="8"/>
    <d v="1899-12-30T10:00:00"/>
    <s v="Latif"/>
    <s v="Domino's"/>
    <n v="13"/>
    <s v="The Chain"/>
    <m/>
    <s v="Ed"/>
    <m/>
    <s v="didn't watch the recordings, will talk about grounding next time"/>
    <n v="9"/>
    <s v="Mentioned tha this is  a good drill to practice grounding"/>
    <n v="8083"/>
    <s v="I would agree with feedback, it does indeed mention the areas that were missed during the incident"/>
    <m/>
    <s v="Attended"/>
    <m/>
    <m/>
    <m/>
    <m/>
    <m/>
  </r>
  <r>
    <d v="2026-03-20T00:00:00"/>
    <x v="8"/>
    <d v="1899-12-30T10:00:00"/>
    <s v="Chris"/>
    <s v="Domino's"/>
    <n v="9"/>
    <s v="Roblox"/>
    <m/>
    <s v="Ed"/>
    <m/>
    <m/>
    <n v="8"/>
    <s v="Said the drill was &quot;a good one&quot; , might be a wee bit rusty after not playin for a while( was on holidays)"/>
    <n v="8099"/>
    <m/>
    <m/>
    <s v="Attended"/>
    <m/>
    <m/>
    <m/>
    <m/>
    <m/>
  </r>
  <r>
    <d v="2026-03-23T00:00:00"/>
    <x v="8"/>
    <d v="1899-12-30T13:00:00"/>
    <s v="Pradeep"/>
    <s v="Domino's"/>
    <n v="18"/>
    <s v="Details Matter"/>
    <m/>
    <s v="Ed"/>
    <m/>
    <s v="@Mildred Ranque drill after PIR on details matter should be re do of version confusion as per notes_x000a_"/>
    <n v="10"/>
    <s v="&quot;I have learned something new&quot;"/>
    <n v="8117"/>
    <m/>
    <m/>
    <s v="Attended"/>
    <m/>
    <m/>
    <m/>
    <m/>
    <m/>
  </r>
  <r>
    <d v="2026-03-25T00:00:00"/>
    <x v="8"/>
    <d v="1899-12-30T14:00:00"/>
    <s v="Swetha"/>
    <s v="Domino's"/>
    <n v="16"/>
    <s v="Bez Technical Day"/>
    <m/>
    <s v="Matthew L"/>
    <m/>
    <s v="Matthew should give her Demo with Bez Technical Drill, may Karan join at the end of call to get her feedback "/>
    <n v="10"/>
    <m/>
    <m/>
    <m/>
    <m/>
    <s v="Attended"/>
    <m/>
    <m/>
    <m/>
    <m/>
    <m/>
  </r>
  <r>
    <d v="2026-03-26T00:00:00"/>
    <x v="8"/>
    <d v="1899-12-30T14:00:00"/>
    <s v="Praveen"/>
    <s v="Domino's"/>
    <n v="14"/>
    <s v="PIR on Switch"/>
    <m/>
    <s v="Ed"/>
    <m/>
    <s v="Decided to go over PIR switch instead  as he wanted to do retro"/>
    <n v="9"/>
    <s v="He wanted to go over his switch session, he was very happy about session as he was able to learn a lot and utilise the session very well"/>
    <m/>
    <m/>
    <m/>
    <s v="Attended"/>
    <m/>
    <s v="Inc 420"/>
    <s v="checked"/>
    <m/>
    <m/>
  </r>
  <r>
    <d v="2026-03-30T00:00:00"/>
    <x v="8"/>
    <d v="1899-12-30T12:00:00"/>
    <s v="Vaishnavi"/>
    <s v="Domino's"/>
    <n v="15"/>
    <s v="Profile Report"/>
    <m/>
    <s v="Matthew"/>
    <m/>
    <m/>
    <n v="9"/>
    <s v="Likes all of the resources we have to show her performance, and will be looking into them for the next session "/>
    <m/>
    <m/>
    <m/>
    <s v="Attended"/>
    <m/>
    <m/>
    <m/>
    <m/>
    <m/>
  </r>
  <r>
    <d v="2026-04-01T00:00:00"/>
    <x v="9"/>
    <d v="1899-12-30T11:00:00"/>
    <s v="Vallabh"/>
    <s v="Domino's"/>
    <n v="16"/>
    <s v="Details Matter"/>
    <m/>
    <s v="Ed"/>
    <m/>
    <m/>
    <n v="9"/>
    <s v="I like everything and that's why I'm here"/>
    <n v="8282"/>
    <s v="Poor feedback, focusing on gramatical errors and closure he did"/>
    <s v="Will replace with something else from repo"/>
    <s v="Attended"/>
    <m/>
    <m/>
    <m/>
    <m/>
    <m/>
  </r>
  <r>
    <d v="2026-04-01T00:00:00"/>
    <x v="9"/>
    <d v="1899-12-30T13:00:00"/>
    <s v="Gowtham"/>
    <s v="Domino's"/>
    <n v="11"/>
    <s v="Version Confusion"/>
    <m/>
    <s v="Ed"/>
    <m/>
    <s v="He said he will fill in feedback form later"/>
    <s v="No Score"/>
    <s v="Mentioned that drills are exaclty like his job"/>
    <n v="8284"/>
    <m/>
    <m/>
    <s v="Attended"/>
    <m/>
    <m/>
    <m/>
    <m/>
    <m/>
  </r>
  <r>
    <d v="2026-04-09T00:00:00"/>
    <x v="9"/>
    <d v="1899-12-30T14:00:00"/>
    <s v="Praveen"/>
    <s v="Domino's"/>
    <n v="14"/>
    <s v="Version Confusion"/>
    <m/>
    <s v="Charlene"/>
    <m/>
    <m/>
    <n v="9"/>
    <s v="Praveen acknowledged that he should have engaged the platform team earlier and run parallel investigations  and expressed confidence he now knows how to tackle the issue differently next time. He seemed satisfied with the experience, indicating he didn't feel the need to repeat the drill as he felt he'd understood what was needed."/>
    <n v="8369"/>
    <m/>
    <m/>
    <s v="Attended"/>
    <m/>
    <m/>
    <m/>
    <m/>
    <m/>
  </r>
  <r>
    <d v="2026-04-10T00:00:00"/>
    <x v="9"/>
    <d v="1899-12-30T10:00:00"/>
    <s v="Chris"/>
    <s v="Domino's"/>
    <n v="9"/>
    <s v="Profile Report"/>
    <m/>
    <s v="Ed"/>
    <m/>
    <m/>
    <n v="8"/>
    <s v="It was difficult to give a score but this was insightful"/>
    <m/>
    <m/>
    <m/>
    <s v="Attended"/>
    <m/>
    <m/>
    <m/>
    <m/>
    <m/>
  </r>
  <r>
    <m/>
    <x v="10"/>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5E6D12-C91C-DE47-AF89-EDD8F94A8920}"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2">
    <pivotField showAll="0"/>
    <pivotField axis="axisRow" showAll="0">
      <items count="12">
        <item x="0"/>
        <item x="1"/>
        <item x="2"/>
        <item x="3"/>
        <item x="4"/>
        <item x="5"/>
        <item x="6"/>
        <item x="7"/>
        <item x="8"/>
        <item x="9"/>
        <item h="1" x="1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Average of GUOT" fld="11"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2A3037-9D3D-5F4F-9B49-57259CCC4625}"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5" firstHeaderRow="1" firstDataRow="1" firstDataCol="1" rowPageCount="1" colPageCount="1"/>
  <pivotFields count="45">
    <pivotField dataField="1" showAll="0"/>
    <pivotField axis="axisPage" multipleItemSelectionAllowed="1" showAll="0">
      <items count="12">
        <item h="1" x="0"/>
        <item h="1" x="1"/>
        <item h="1" x="2"/>
        <item h="1" x="3"/>
        <item h="1" x="4"/>
        <item x="5"/>
        <item x="6"/>
        <item x="7"/>
        <item x="8"/>
        <item x="9"/>
        <item x="10"/>
        <item t="default"/>
      </items>
    </pivotField>
    <pivotField showAll="0"/>
    <pivotField showAll="0"/>
    <pivotField showAll="0"/>
    <pivotField showAll="0"/>
    <pivotField axis="axisRow" showAll="0" sortType="descending">
      <items count="15">
        <item x="5"/>
        <item x="12"/>
        <item x="8"/>
        <item x="10"/>
        <item x="7"/>
        <item x="2"/>
        <item x="4"/>
        <item x="3"/>
        <item x="11"/>
        <item x="0"/>
        <item x="9"/>
        <item x="6"/>
        <item x="1"/>
        <item h="1"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2">
    <i>
      <x v="1"/>
    </i>
    <i>
      <x v="10"/>
    </i>
    <i>
      <x v="11"/>
    </i>
    <i>
      <x v="2"/>
    </i>
    <i>
      <x v="5"/>
    </i>
    <i>
      <x v="6"/>
    </i>
    <i>
      <x v="8"/>
    </i>
    <i>
      <x v="4"/>
    </i>
    <i>
      <x v="9"/>
    </i>
    <i>
      <x v="7"/>
    </i>
    <i>
      <x v="12"/>
    </i>
    <i t="grand">
      <x/>
    </i>
  </rowItems>
  <colItems count="1">
    <i/>
  </colItems>
  <pageFields count="1">
    <pageField fld="1" hier="-1"/>
  </pageFields>
  <dataFields count="1">
    <dataField name="Count of session_start"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25772-B3B7-5646-A663-2DF964E54F70}">
  <dimension ref="A3:B14"/>
  <sheetViews>
    <sheetView workbookViewId="0">
      <selection activeCell="B8" sqref="B8"/>
    </sheetView>
  </sheetViews>
  <sheetFormatPr baseColWidth="10" defaultRowHeight="16" x14ac:dyDescent="0.2"/>
  <cols>
    <col min="1" max="1" width="13" bestFit="1" customWidth="1"/>
    <col min="2" max="2" width="14.83203125" bestFit="1" customWidth="1"/>
  </cols>
  <sheetData>
    <row r="3" spans="1:2" x14ac:dyDescent="0.2">
      <c r="A3" s="4" t="s">
        <v>196</v>
      </c>
      <c r="B3" t="s">
        <v>431</v>
      </c>
    </row>
    <row r="4" spans="1:2" x14ac:dyDescent="0.2">
      <c r="A4" s="5">
        <v>45839</v>
      </c>
      <c r="B4" s="7">
        <v>9.7777777777777786</v>
      </c>
    </row>
    <row r="5" spans="1:2" x14ac:dyDescent="0.2">
      <c r="A5" s="5">
        <v>45870</v>
      </c>
      <c r="B5" s="7">
        <v>9.6</v>
      </c>
    </row>
    <row r="6" spans="1:2" x14ac:dyDescent="0.2">
      <c r="A6" s="5">
        <v>45901</v>
      </c>
      <c r="B6" s="7">
        <v>9</v>
      </c>
    </row>
    <row r="7" spans="1:2" x14ac:dyDescent="0.2">
      <c r="A7" s="5">
        <v>45931</v>
      </c>
      <c r="B7" s="7">
        <v>9.304347826086957</v>
      </c>
    </row>
    <row r="8" spans="1:2" x14ac:dyDescent="0.2">
      <c r="A8" s="5">
        <v>45962</v>
      </c>
      <c r="B8" s="7">
        <v>9.6</v>
      </c>
    </row>
    <row r="9" spans="1:2" x14ac:dyDescent="0.2">
      <c r="A9" s="5">
        <v>45992</v>
      </c>
      <c r="B9" s="7">
        <v>9.3636363636363633</v>
      </c>
    </row>
    <row r="10" spans="1:2" x14ac:dyDescent="0.2">
      <c r="A10" s="5">
        <v>46023</v>
      </c>
      <c r="B10" s="7">
        <v>9.6666666666666661</v>
      </c>
    </row>
    <row r="11" spans="1:2" x14ac:dyDescent="0.2">
      <c r="A11" s="5">
        <v>46054</v>
      </c>
      <c r="B11" s="7">
        <v>9.3333333333333339</v>
      </c>
    </row>
    <row r="12" spans="1:2" x14ac:dyDescent="0.2">
      <c r="A12" s="5">
        <v>46082</v>
      </c>
      <c r="B12" s="7">
        <v>9.3000000000000007</v>
      </c>
    </row>
    <row r="13" spans="1:2" x14ac:dyDescent="0.2">
      <c r="A13" s="5">
        <v>46113</v>
      </c>
      <c r="B13" s="7">
        <v>8.6666666666666661</v>
      </c>
    </row>
    <row r="14" spans="1:2" x14ac:dyDescent="0.2">
      <c r="A14" s="6" t="s">
        <v>197</v>
      </c>
      <c r="B14" s="7">
        <v>9.361538461538462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B9384-E6A0-824C-9566-890EA1E43E74}">
  <dimension ref="A1"/>
  <sheetViews>
    <sheetView tabSelected="1" workbookViewId="0">
      <selection activeCell="C10" sqref="C10"/>
    </sheetView>
  </sheetViews>
  <sheetFormatPr baseColWidth="10" defaultRowHeight="16"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03F83-C05B-ED49-9BB7-D2A0A0647CFA}">
  <dimension ref="A1:V155"/>
  <sheetViews>
    <sheetView topLeftCell="A8" workbookViewId="0">
      <selection activeCell="A8" sqref="A1:XFD1048576"/>
    </sheetView>
  </sheetViews>
  <sheetFormatPr baseColWidth="10" defaultRowHeight="16" x14ac:dyDescent="0.2"/>
  <sheetData>
    <row r="1" spans="1:22" x14ac:dyDescent="0.2">
      <c r="A1" t="s">
        <v>430</v>
      </c>
      <c r="B1" t="s">
        <v>195</v>
      </c>
      <c r="C1" t="s">
        <v>429</v>
      </c>
      <c r="D1" t="s">
        <v>428</v>
      </c>
      <c r="E1" t="s">
        <v>427</v>
      </c>
      <c r="F1" t="s">
        <v>426</v>
      </c>
      <c r="G1" t="s">
        <v>425</v>
      </c>
      <c r="H1" t="s">
        <v>424</v>
      </c>
      <c r="I1" t="s">
        <v>423</v>
      </c>
      <c r="J1" t="s">
        <v>422</v>
      </c>
      <c r="K1" t="s">
        <v>421</v>
      </c>
      <c r="L1" t="s">
        <v>420</v>
      </c>
      <c r="M1" t="s">
        <v>419</v>
      </c>
      <c r="N1" t="s">
        <v>418</v>
      </c>
      <c r="O1" t="s">
        <v>417</v>
      </c>
      <c r="P1" t="s">
        <v>416</v>
      </c>
      <c r="Q1" t="s">
        <v>415</v>
      </c>
      <c r="R1" t="s">
        <v>414</v>
      </c>
      <c r="S1" t="s">
        <v>413</v>
      </c>
      <c r="T1" t="s">
        <v>412</v>
      </c>
      <c r="U1" t="s">
        <v>411</v>
      </c>
      <c r="V1" t="s">
        <v>410</v>
      </c>
    </row>
    <row r="2" spans="1:22" x14ac:dyDescent="0.2">
      <c r="A2" s="3">
        <v>45845</v>
      </c>
      <c r="B2" s="3">
        <f>DATE(YEAR(A2), MONTH(A2), 1)</f>
        <v>45839</v>
      </c>
      <c r="C2" s="8">
        <v>0.625</v>
      </c>
      <c r="D2" t="s">
        <v>232</v>
      </c>
      <c r="E2" t="s">
        <v>204</v>
      </c>
      <c r="F2">
        <v>18</v>
      </c>
      <c r="G2" t="s">
        <v>310</v>
      </c>
      <c r="I2" t="s">
        <v>275</v>
      </c>
      <c r="L2" t="s">
        <v>211</v>
      </c>
      <c r="Q2" t="s">
        <v>200</v>
      </c>
    </row>
    <row r="3" spans="1:22" x14ac:dyDescent="0.2">
      <c r="A3" s="3">
        <v>45847</v>
      </c>
      <c r="B3" s="3">
        <f t="shared" ref="B3:B66" si="0">DATE(YEAR(A3), MONTH(A3), 1)</f>
        <v>45839</v>
      </c>
      <c r="C3" s="8">
        <v>0.58333333333333337</v>
      </c>
      <c r="D3" t="s">
        <v>229</v>
      </c>
      <c r="E3" t="s">
        <v>204</v>
      </c>
      <c r="F3">
        <v>16</v>
      </c>
      <c r="G3" t="s">
        <v>46</v>
      </c>
      <c r="I3" t="s">
        <v>247</v>
      </c>
      <c r="J3" t="s">
        <v>275</v>
      </c>
      <c r="L3">
        <v>10</v>
      </c>
      <c r="M3" t="s">
        <v>409</v>
      </c>
      <c r="N3">
        <v>4915</v>
      </c>
      <c r="Q3" t="s">
        <v>200</v>
      </c>
    </row>
    <row r="4" spans="1:22" x14ac:dyDescent="0.2">
      <c r="A4" s="3">
        <v>45848</v>
      </c>
      <c r="B4" s="3">
        <f t="shared" si="0"/>
        <v>45839</v>
      </c>
      <c r="C4" s="8">
        <v>0.45833333333333331</v>
      </c>
      <c r="D4" t="s">
        <v>294</v>
      </c>
      <c r="E4" t="s">
        <v>204</v>
      </c>
      <c r="F4">
        <v>11</v>
      </c>
      <c r="G4" t="s">
        <v>301</v>
      </c>
      <c r="I4" t="s">
        <v>275</v>
      </c>
      <c r="J4" t="s">
        <v>219</v>
      </c>
      <c r="L4" t="s">
        <v>211</v>
      </c>
      <c r="Q4" t="s">
        <v>200</v>
      </c>
    </row>
    <row r="5" spans="1:22" x14ac:dyDescent="0.2">
      <c r="A5" s="3">
        <v>45849</v>
      </c>
      <c r="B5" s="3">
        <f t="shared" si="0"/>
        <v>45839</v>
      </c>
      <c r="C5" s="8">
        <v>0.54166666666666663</v>
      </c>
      <c r="D5" t="s">
        <v>362</v>
      </c>
      <c r="E5" t="s">
        <v>204</v>
      </c>
      <c r="F5">
        <v>5</v>
      </c>
      <c r="G5" t="s">
        <v>310</v>
      </c>
      <c r="I5" t="s">
        <v>247</v>
      </c>
      <c r="L5" t="s">
        <v>211</v>
      </c>
      <c r="Q5" t="s">
        <v>200</v>
      </c>
    </row>
    <row r="6" spans="1:22" ht="187" x14ac:dyDescent="0.2">
      <c r="A6" s="3">
        <v>45852</v>
      </c>
      <c r="B6" s="3">
        <f t="shared" si="0"/>
        <v>45839</v>
      </c>
      <c r="C6" s="8">
        <v>0.625</v>
      </c>
      <c r="D6" t="s">
        <v>232</v>
      </c>
      <c r="E6" t="s">
        <v>204</v>
      </c>
      <c r="F6">
        <v>18</v>
      </c>
      <c r="G6" t="s">
        <v>301</v>
      </c>
      <c r="I6" t="s">
        <v>275</v>
      </c>
      <c r="J6" t="s">
        <v>367</v>
      </c>
      <c r="L6">
        <v>10</v>
      </c>
      <c r="M6" s="9" t="s">
        <v>408</v>
      </c>
      <c r="N6">
        <v>4974</v>
      </c>
      <c r="Q6" t="s">
        <v>200</v>
      </c>
    </row>
    <row r="7" spans="1:22" x14ac:dyDescent="0.2">
      <c r="A7" s="3">
        <v>45854</v>
      </c>
      <c r="B7" s="3">
        <f t="shared" si="0"/>
        <v>45839</v>
      </c>
      <c r="C7" s="8">
        <v>0.58333333333333337</v>
      </c>
      <c r="D7" t="s">
        <v>255</v>
      </c>
      <c r="E7" t="s">
        <v>204</v>
      </c>
      <c r="F7">
        <v>16</v>
      </c>
      <c r="G7" t="s">
        <v>310</v>
      </c>
      <c r="I7" t="s">
        <v>247</v>
      </c>
      <c r="L7" t="s">
        <v>211</v>
      </c>
      <c r="Q7" t="s">
        <v>200</v>
      </c>
    </row>
    <row r="8" spans="1:22" ht="409.6" x14ac:dyDescent="0.2">
      <c r="A8" s="3">
        <v>45855</v>
      </c>
      <c r="B8" s="3">
        <f t="shared" si="0"/>
        <v>45839</v>
      </c>
      <c r="C8" s="8">
        <v>0.45833333333333331</v>
      </c>
      <c r="D8" t="s">
        <v>294</v>
      </c>
      <c r="E8" t="s">
        <v>204</v>
      </c>
      <c r="F8">
        <v>11</v>
      </c>
      <c r="G8" t="s">
        <v>348</v>
      </c>
      <c r="I8" t="s">
        <v>207</v>
      </c>
      <c r="L8">
        <v>10</v>
      </c>
      <c r="M8" s="9" t="s">
        <v>407</v>
      </c>
      <c r="N8">
        <v>5043</v>
      </c>
      <c r="Q8" t="s">
        <v>200</v>
      </c>
    </row>
    <row r="9" spans="1:22" x14ac:dyDescent="0.2">
      <c r="A9" s="3">
        <v>45861</v>
      </c>
      <c r="B9" s="3">
        <f t="shared" si="0"/>
        <v>45839</v>
      </c>
      <c r="C9" s="8">
        <v>0.58333333333333337</v>
      </c>
      <c r="D9" t="s">
        <v>255</v>
      </c>
      <c r="E9" t="s">
        <v>204</v>
      </c>
      <c r="F9">
        <v>16</v>
      </c>
      <c r="G9" t="s">
        <v>301</v>
      </c>
      <c r="I9" t="s">
        <v>275</v>
      </c>
      <c r="J9" t="s">
        <v>219</v>
      </c>
      <c r="L9">
        <v>10</v>
      </c>
      <c r="Q9" t="s">
        <v>200</v>
      </c>
    </row>
    <row r="10" spans="1:22" ht="187" x14ac:dyDescent="0.2">
      <c r="A10" s="3">
        <v>45861</v>
      </c>
      <c r="B10" s="3">
        <f t="shared" si="0"/>
        <v>45839</v>
      </c>
      <c r="C10" s="8">
        <v>0.58333333333333337</v>
      </c>
      <c r="D10" t="s">
        <v>229</v>
      </c>
      <c r="E10" t="s">
        <v>204</v>
      </c>
      <c r="F10">
        <v>16</v>
      </c>
      <c r="G10" t="s">
        <v>348</v>
      </c>
      <c r="I10" t="s">
        <v>247</v>
      </c>
      <c r="J10" t="s">
        <v>351</v>
      </c>
      <c r="L10">
        <v>10</v>
      </c>
      <c r="M10" s="9" t="s">
        <v>406</v>
      </c>
      <c r="N10">
        <v>5121</v>
      </c>
      <c r="Q10" t="s">
        <v>200</v>
      </c>
    </row>
    <row r="11" spans="1:22" ht="204" x14ac:dyDescent="0.2">
      <c r="A11" s="3">
        <v>45862</v>
      </c>
      <c r="B11" s="3">
        <f t="shared" si="0"/>
        <v>45839</v>
      </c>
      <c r="C11" s="8">
        <v>0.54166666666666663</v>
      </c>
      <c r="D11" t="s">
        <v>232</v>
      </c>
      <c r="E11" t="s">
        <v>204</v>
      </c>
      <c r="F11">
        <v>18</v>
      </c>
      <c r="G11" t="s">
        <v>348</v>
      </c>
      <c r="I11" t="s">
        <v>219</v>
      </c>
      <c r="J11" t="s">
        <v>275</v>
      </c>
      <c r="L11">
        <v>10</v>
      </c>
      <c r="M11" s="9" t="s">
        <v>405</v>
      </c>
      <c r="N11">
        <v>5140</v>
      </c>
      <c r="Q11" t="s">
        <v>200</v>
      </c>
    </row>
    <row r="12" spans="1:22" ht="409.6" x14ac:dyDescent="0.2">
      <c r="A12" s="3">
        <v>45866</v>
      </c>
      <c r="B12" s="3">
        <f t="shared" si="0"/>
        <v>45839</v>
      </c>
      <c r="C12" s="8">
        <v>0.625</v>
      </c>
      <c r="D12" t="s">
        <v>232</v>
      </c>
      <c r="E12" t="s">
        <v>204</v>
      </c>
      <c r="F12">
        <v>18</v>
      </c>
      <c r="G12" t="s">
        <v>273</v>
      </c>
      <c r="I12" t="s">
        <v>239</v>
      </c>
      <c r="L12">
        <v>10</v>
      </c>
      <c r="M12" s="9" t="s">
        <v>404</v>
      </c>
      <c r="N12">
        <v>5181</v>
      </c>
      <c r="Q12" t="s">
        <v>200</v>
      </c>
    </row>
    <row r="13" spans="1:22" ht="409.6" x14ac:dyDescent="0.2">
      <c r="A13" s="3">
        <v>45868</v>
      </c>
      <c r="B13" s="3">
        <f t="shared" si="0"/>
        <v>45839</v>
      </c>
      <c r="C13" s="8">
        <v>0.58333333333333337</v>
      </c>
      <c r="D13" t="s">
        <v>255</v>
      </c>
      <c r="E13" t="s">
        <v>204</v>
      </c>
      <c r="F13">
        <v>16</v>
      </c>
      <c r="G13" t="s">
        <v>348</v>
      </c>
      <c r="I13" t="s">
        <v>239</v>
      </c>
      <c r="J13" t="s">
        <v>275</v>
      </c>
      <c r="L13">
        <v>8</v>
      </c>
      <c r="M13" s="9" t="s">
        <v>403</v>
      </c>
      <c r="N13">
        <v>5204</v>
      </c>
      <c r="Q13" t="s">
        <v>200</v>
      </c>
    </row>
    <row r="14" spans="1:22" ht="238" x14ac:dyDescent="0.2">
      <c r="A14" s="3">
        <v>45868</v>
      </c>
      <c r="B14" s="3">
        <f t="shared" si="0"/>
        <v>45839</v>
      </c>
      <c r="C14" s="8">
        <v>0.58333333333333337</v>
      </c>
      <c r="D14" t="s">
        <v>229</v>
      </c>
      <c r="E14" t="s">
        <v>204</v>
      </c>
      <c r="F14">
        <v>16</v>
      </c>
      <c r="G14" t="s">
        <v>273</v>
      </c>
      <c r="I14" t="s">
        <v>247</v>
      </c>
      <c r="J14" t="s">
        <v>367</v>
      </c>
      <c r="L14">
        <v>10</v>
      </c>
      <c r="M14" s="9" t="s">
        <v>402</v>
      </c>
      <c r="N14">
        <v>5205</v>
      </c>
      <c r="Q14" t="s">
        <v>200</v>
      </c>
    </row>
    <row r="15" spans="1:22" x14ac:dyDescent="0.2">
      <c r="A15" s="3">
        <v>45873</v>
      </c>
      <c r="B15" s="3">
        <f t="shared" si="0"/>
        <v>45870</v>
      </c>
      <c r="C15" s="8">
        <v>0.625</v>
      </c>
      <c r="D15" t="s">
        <v>232</v>
      </c>
      <c r="E15" t="s">
        <v>204</v>
      </c>
      <c r="F15">
        <v>18</v>
      </c>
      <c r="G15" t="s">
        <v>84</v>
      </c>
      <c r="I15" t="s">
        <v>239</v>
      </c>
      <c r="L15">
        <v>10</v>
      </c>
      <c r="M15" t="s">
        <v>401</v>
      </c>
      <c r="N15">
        <v>5255</v>
      </c>
      <c r="Q15" t="s">
        <v>200</v>
      </c>
    </row>
    <row r="16" spans="1:22" x14ac:dyDescent="0.2">
      <c r="A16" s="3">
        <v>45876</v>
      </c>
      <c r="B16" s="3">
        <f t="shared" si="0"/>
        <v>45870</v>
      </c>
      <c r="C16" s="8">
        <v>0.45833333333333331</v>
      </c>
      <c r="D16" t="s">
        <v>294</v>
      </c>
      <c r="E16" t="s">
        <v>204</v>
      </c>
      <c r="F16">
        <v>11</v>
      </c>
      <c r="G16" t="s">
        <v>273</v>
      </c>
      <c r="I16" t="s">
        <v>207</v>
      </c>
      <c r="L16">
        <v>10</v>
      </c>
      <c r="M16" t="s">
        <v>400</v>
      </c>
      <c r="N16">
        <v>5296</v>
      </c>
      <c r="Q16" t="s">
        <v>200</v>
      </c>
    </row>
    <row r="17" spans="1:21" x14ac:dyDescent="0.2">
      <c r="A17" s="3">
        <v>45876</v>
      </c>
      <c r="B17" s="3">
        <f t="shared" si="0"/>
        <v>45870</v>
      </c>
      <c r="C17" s="8">
        <v>0.58333333333333337</v>
      </c>
      <c r="D17" t="s">
        <v>255</v>
      </c>
      <c r="E17" t="s">
        <v>204</v>
      </c>
      <c r="F17">
        <v>16</v>
      </c>
      <c r="G17" t="s">
        <v>273</v>
      </c>
      <c r="I17" t="s">
        <v>219</v>
      </c>
      <c r="L17">
        <v>8</v>
      </c>
      <c r="M17" t="s">
        <v>399</v>
      </c>
      <c r="N17">
        <v>5302</v>
      </c>
      <c r="Q17" t="s">
        <v>200</v>
      </c>
    </row>
    <row r="18" spans="1:21" x14ac:dyDescent="0.2">
      <c r="A18" s="3">
        <v>45876</v>
      </c>
      <c r="B18" s="3">
        <f t="shared" si="0"/>
        <v>45870</v>
      </c>
      <c r="C18" s="8">
        <v>0.625</v>
      </c>
      <c r="D18" t="s">
        <v>398</v>
      </c>
      <c r="E18" t="s">
        <v>204</v>
      </c>
      <c r="F18">
        <v>1</v>
      </c>
      <c r="G18" t="s">
        <v>310</v>
      </c>
      <c r="I18" t="s">
        <v>247</v>
      </c>
      <c r="L18" t="s">
        <v>211</v>
      </c>
      <c r="Q18" t="s">
        <v>200</v>
      </c>
    </row>
    <row r="19" spans="1:21" x14ac:dyDescent="0.2">
      <c r="A19" s="3">
        <v>45883</v>
      </c>
      <c r="B19" s="3">
        <f t="shared" si="0"/>
        <v>45870</v>
      </c>
      <c r="C19" s="8">
        <v>0.58333333333333337</v>
      </c>
      <c r="D19" t="s">
        <v>209</v>
      </c>
      <c r="E19" t="s">
        <v>204</v>
      </c>
      <c r="F19">
        <v>14</v>
      </c>
      <c r="G19" t="s">
        <v>310</v>
      </c>
      <c r="I19" t="s">
        <v>247</v>
      </c>
      <c r="L19" t="s">
        <v>211</v>
      </c>
      <c r="Q19" t="s">
        <v>200</v>
      </c>
    </row>
    <row r="20" spans="1:21" ht="255" x14ac:dyDescent="0.2">
      <c r="A20" s="3">
        <v>45889</v>
      </c>
      <c r="B20" s="3">
        <f t="shared" si="0"/>
        <v>45870</v>
      </c>
      <c r="C20" s="8">
        <v>0.58333333333333337</v>
      </c>
      <c r="D20" t="s">
        <v>255</v>
      </c>
      <c r="E20" t="s">
        <v>204</v>
      </c>
      <c r="F20">
        <v>16</v>
      </c>
      <c r="G20" t="s">
        <v>84</v>
      </c>
      <c r="I20" t="s">
        <v>239</v>
      </c>
      <c r="L20">
        <v>10</v>
      </c>
      <c r="M20" s="9" t="s">
        <v>397</v>
      </c>
      <c r="N20">
        <v>5456</v>
      </c>
      <c r="Q20" t="s">
        <v>200</v>
      </c>
    </row>
    <row r="21" spans="1:21" ht="170" x14ac:dyDescent="0.2">
      <c r="A21" s="3">
        <v>45889</v>
      </c>
      <c r="B21" s="3">
        <f t="shared" si="0"/>
        <v>45870</v>
      </c>
      <c r="C21" s="8">
        <v>0.58333333333333337</v>
      </c>
      <c r="D21" t="s">
        <v>229</v>
      </c>
      <c r="E21" t="s">
        <v>204</v>
      </c>
      <c r="F21">
        <v>16</v>
      </c>
      <c r="G21" t="s">
        <v>84</v>
      </c>
      <c r="I21" t="s">
        <v>247</v>
      </c>
      <c r="K21" t="s">
        <v>396</v>
      </c>
      <c r="L21">
        <v>10</v>
      </c>
      <c r="M21" s="9" t="s">
        <v>395</v>
      </c>
      <c r="N21">
        <v>5457</v>
      </c>
      <c r="Q21" t="s">
        <v>200</v>
      </c>
    </row>
    <row r="22" spans="1:21" x14ac:dyDescent="0.2">
      <c r="A22" s="3">
        <v>45889</v>
      </c>
      <c r="B22" s="3">
        <f t="shared" si="0"/>
        <v>45870</v>
      </c>
      <c r="C22" s="8">
        <v>0.625</v>
      </c>
      <c r="D22" t="s">
        <v>232</v>
      </c>
      <c r="E22" t="s">
        <v>204</v>
      </c>
      <c r="F22">
        <v>18</v>
      </c>
      <c r="G22" t="s">
        <v>98</v>
      </c>
      <c r="I22" t="s">
        <v>351</v>
      </c>
      <c r="L22">
        <v>10</v>
      </c>
      <c r="M22" t="s">
        <v>394</v>
      </c>
      <c r="N22">
        <v>5458</v>
      </c>
      <c r="Q22" t="s">
        <v>200</v>
      </c>
    </row>
    <row r="23" spans="1:21" x14ac:dyDescent="0.2">
      <c r="A23" s="3">
        <v>45890</v>
      </c>
      <c r="B23" s="3">
        <f t="shared" si="0"/>
        <v>45870</v>
      </c>
      <c r="C23" s="8">
        <v>0.41666666666666669</v>
      </c>
      <c r="D23" t="s">
        <v>237</v>
      </c>
      <c r="E23" t="s">
        <v>204</v>
      </c>
      <c r="F23">
        <v>13</v>
      </c>
      <c r="G23" t="s">
        <v>310</v>
      </c>
      <c r="I23" t="s">
        <v>275</v>
      </c>
      <c r="L23" t="s">
        <v>211</v>
      </c>
      <c r="Q23" t="s">
        <v>200</v>
      </c>
    </row>
    <row r="24" spans="1:21" x14ac:dyDescent="0.2">
      <c r="A24" s="3">
        <v>45890</v>
      </c>
      <c r="B24" s="3">
        <f t="shared" si="0"/>
        <v>45870</v>
      </c>
      <c r="C24" s="8">
        <v>0.45833333333333331</v>
      </c>
      <c r="D24" t="s">
        <v>294</v>
      </c>
      <c r="E24" t="s">
        <v>204</v>
      </c>
      <c r="F24">
        <v>11</v>
      </c>
      <c r="G24" t="s">
        <v>84</v>
      </c>
      <c r="I24" t="s">
        <v>239</v>
      </c>
      <c r="L24">
        <v>10</v>
      </c>
      <c r="M24" t="s">
        <v>393</v>
      </c>
      <c r="N24">
        <v>5482</v>
      </c>
      <c r="Q24" t="s">
        <v>200</v>
      </c>
    </row>
    <row r="25" spans="1:21" ht="136" x14ac:dyDescent="0.2">
      <c r="A25" s="3">
        <v>45890</v>
      </c>
      <c r="B25" s="3">
        <f t="shared" si="0"/>
        <v>45870</v>
      </c>
      <c r="C25" s="8">
        <v>0.58333333333333337</v>
      </c>
      <c r="D25" t="s">
        <v>209</v>
      </c>
      <c r="E25" t="s">
        <v>204</v>
      </c>
      <c r="F25">
        <v>14</v>
      </c>
      <c r="G25" t="s">
        <v>301</v>
      </c>
      <c r="I25" t="s">
        <v>247</v>
      </c>
      <c r="L25">
        <v>10</v>
      </c>
      <c r="M25" s="9" t="s">
        <v>392</v>
      </c>
      <c r="N25">
        <v>5491</v>
      </c>
      <c r="Q25" t="s">
        <v>200</v>
      </c>
    </row>
    <row r="26" spans="1:21" x14ac:dyDescent="0.2">
      <c r="A26" s="3">
        <v>45891</v>
      </c>
      <c r="B26" s="3">
        <f t="shared" si="0"/>
        <v>45870</v>
      </c>
      <c r="C26" s="8">
        <v>0.5</v>
      </c>
      <c r="D26" t="s">
        <v>220</v>
      </c>
      <c r="E26" t="s">
        <v>204</v>
      </c>
      <c r="F26">
        <v>15</v>
      </c>
      <c r="G26" t="s">
        <v>310</v>
      </c>
      <c r="I26" t="s">
        <v>275</v>
      </c>
      <c r="L26" t="s">
        <v>211</v>
      </c>
      <c r="Q26" t="s">
        <v>200</v>
      </c>
    </row>
    <row r="27" spans="1:21" x14ac:dyDescent="0.2">
      <c r="A27" s="3">
        <v>45891</v>
      </c>
      <c r="B27" s="3">
        <f t="shared" si="0"/>
        <v>45870</v>
      </c>
      <c r="C27" s="8">
        <v>0.54166666666666663</v>
      </c>
      <c r="D27" t="s">
        <v>362</v>
      </c>
      <c r="E27" t="s">
        <v>204</v>
      </c>
      <c r="F27">
        <v>5</v>
      </c>
      <c r="G27" t="s">
        <v>301</v>
      </c>
      <c r="I27" t="s">
        <v>275</v>
      </c>
      <c r="L27" t="s">
        <v>211</v>
      </c>
      <c r="Q27" t="s">
        <v>200</v>
      </c>
    </row>
    <row r="28" spans="1:21" ht="221" x14ac:dyDescent="0.2">
      <c r="A28" s="3">
        <v>45898</v>
      </c>
      <c r="B28" s="3">
        <f t="shared" si="0"/>
        <v>45870</v>
      </c>
      <c r="C28" s="8">
        <v>0.41666666666666669</v>
      </c>
      <c r="D28" t="s">
        <v>237</v>
      </c>
      <c r="E28" t="s">
        <v>204</v>
      </c>
      <c r="F28">
        <v>13</v>
      </c>
      <c r="G28" t="s">
        <v>301</v>
      </c>
      <c r="I28" t="s">
        <v>219</v>
      </c>
      <c r="L28">
        <v>10</v>
      </c>
      <c r="M28" s="9" t="s">
        <v>391</v>
      </c>
      <c r="N28">
        <v>5560</v>
      </c>
      <c r="Q28" t="s">
        <v>200</v>
      </c>
    </row>
    <row r="29" spans="1:21" ht="409.6" x14ac:dyDescent="0.2">
      <c r="A29" s="3">
        <v>45898</v>
      </c>
      <c r="B29" s="3">
        <f t="shared" si="0"/>
        <v>45870</v>
      </c>
      <c r="C29" s="8">
        <v>0.54166666666666663</v>
      </c>
      <c r="D29" t="s">
        <v>255</v>
      </c>
      <c r="E29" t="s">
        <v>204</v>
      </c>
      <c r="F29">
        <v>16</v>
      </c>
      <c r="G29" t="s">
        <v>98</v>
      </c>
      <c r="I29" t="s">
        <v>239</v>
      </c>
      <c r="L29">
        <v>8</v>
      </c>
      <c r="M29" s="9" t="s">
        <v>390</v>
      </c>
      <c r="N29">
        <v>5567</v>
      </c>
      <c r="Q29" t="s">
        <v>200</v>
      </c>
      <c r="S29" t="s">
        <v>389</v>
      </c>
      <c r="T29" t="s">
        <v>221</v>
      </c>
      <c r="U29" t="s">
        <v>388</v>
      </c>
    </row>
    <row r="30" spans="1:21" x14ac:dyDescent="0.2">
      <c r="A30" s="3">
        <v>45898</v>
      </c>
      <c r="B30" s="3">
        <f t="shared" si="0"/>
        <v>45870</v>
      </c>
      <c r="C30" s="8">
        <v>0.58333333333333337</v>
      </c>
      <c r="D30" t="s">
        <v>213</v>
      </c>
      <c r="E30" t="s">
        <v>204</v>
      </c>
      <c r="F30">
        <v>11</v>
      </c>
      <c r="G30" t="s">
        <v>310</v>
      </c>
      <c r="I30" t="s">
        <v>275</v>
      </c>
      <c r="L30" t="s">
        <v>211</v>
      </c>
      <c r="Q30" t="s">
        <v>200</v>
      </c>
    </row>
    <row r="31" spans="1:21" x14ac:dyDescent="0.2">
      <c r="A31" s="3">
        <v>45902</v>
      </c>
      <c r="B31" s="3">
        <f t="shared" si="0"/>
        <v>45901</v>
      </c>
      <c r="C31" s="8">
        <v>0.54166666666666663</v>
      </c>
      <c r="D31" t="s">
        <v>232</v>
      </c>
      <c r="E31" t="s">
        <v>204</v>
      </c>
      <c r="F31">
        <v>18</v>
      </c>
      <c r="G31" t="s">
        <v>101</v>
      </c>
      <c r="I31" t="s">
        <v>247</v>
      </c>
      <c r="L31">
        <v>10</v>
      </c>
      <c r="M31" t="s">
        <v>387</v>
      </c>
      <c r="N31">
        <v>5599</v>
      </c>
      <c r="Q31" t="s">
        <v>200</v>
      </c>
    </row>
    <row r="32" spans="1:21" x14ac:dyDescent="0.2">
      <c r="A32" s="3">
        <v>45903</v>
      </c>
      <c r="B32" s="3">
        <f t="shared" si="0"/>
        <v>45901</v>
      </c>
      <c r="C32" s="8">
        <v>0.5</v>
      </c>
      <c r="D32" t="s">
        <v>217</v>
      </c>
      <c r="E32" t="s">
        <v>204</v>
      </c>
      <c r="F32">
        <v>16</v>
      </c>
      <c r="G32" t="s">
        <v>301</v>
      </c>
      <c r="I32" t="s">
        <v>275</v>
      </c>
      <c r="L32">
        <v>9</v>
      </c>
      <c r="N32">
        <v>5611</v>
      </c>
      <c r="Q32" t="s">
        <v>200</v>
      </c>
    </row>
    <row r="33" spans="1:17" x14ac:dyDescent="0.2">
      <c r="A33" s="3">
        <v>45904</v>
      </c>
      <c r="B33" s="3">
        <f t="shared" si="0"/>
        <v>45901</v>
      </c>
      <c r="C33" s="8">
        <v>0.41666666666666669</v>
      </c>
      <c r="D33" t="s">
        <v>237</v>
      </c>
      <c r="E33" t="s">
        <v>204</v>
      </c>
      <c r="F33">
        <v>13</v>
      </c>
      <c r="G33" t="s">
        <v>348</v>
      </c>
      <c r="I33" t="s">
        <v>207</v>
      </c>
      <c r="L33">
        <v>7</v>
      </c>
      <c r="M33" t="s">
        <v>386</v>
      </c>
      <c r="N33">
        <v>5634</v>
      </c>
      <c r="Q33" t="s">
        <v>200</v>
      </c>
    </row>
    <row r="34" spans="1:17" ht="102" x14ac:dyDescent="0.2">
      <c r="A34" s="3">
        <v>45904</v>
      </c>
      <c r="B34" s="3">
        <f t="shared" si="0"/>
        <v>45901</v>
      </c>
      <c r="C34" s="8">
        <v>0.58333333333333337</v>
      </c>
      <c r="D34" t="s">
        <v>209</v>
      </c>
      <c r="E34" t="s">
        <v>204</v>
      </c>
      <c r="F34">
        <v>14</v>
      </c>
      <c r="G34" t="s">
        <v>348</v>
      </c>
      <c r="I34" t="s">
        <v>247</v>
      </c>
      <c r="L34">
        <v>9</v>
      </c>
      <c r="M34" s="9" t="s">
        <v>385</v>
      </c>
      <c r="N34">
        <v>5645</v>
      </c>
      <c r="Q34" t="s">
        <v>200</v>
      </c>
    </row>
    <row r="35" spans="1:17" x14ac:dyDescent="0.2">
      <c r="A35" s="3">
        <v>45905</v>
      </c>
      <c r="B35" s="3">
        <f t="shared" si="0"/>
        <v>45901</v>
      </c>
      <c r="C35" s="8">
        <v>0.54166666666666663</v>
      </c>
      <c r="D35" t="s">
        <v>362</v>
      </c>
      <c r="E35" t="s">
        <v>204</v>
      </c>
      <c r="F35">
        <v>5</v>
      </c>
      <c r="G35" t="s">
        <v>348</v>
      </c>
      <c r="I35" t="s">
        <v>202</v>
      </c>
      <c r="K35" t="s">
        <v>384</v>
      </c>
      <c r="L35">
        <v>10</v>
      </c>
      <c r="M35" t="s">
        <v>383</v>
      </c>
      <c r="N35">
        <v>5660</v>
      </c>
      <c r="Q35" t="s">
        <v>200</v>
      </c>
    </row>
    <row r="36" spans="1:17" x14ac:dyDescent="0.2">
      <c r="A36" s="3">
        <v>45905</v>
      </c>
      <c r="B36" s="3">
        <f t="shared" si="0"/>
        <v>45901</v>
      </c>
      <c r="C36" s="8">
        <v>0.5625</v>
      </c>
      <c r="D36" t="s">
        <v>255</v>
      </c>
      <c r="E36" t="s">
        <v>204</v>
      </c>
      <c r="F36">
        <v>16</v>
      </c>
      <c r="G36" t="s">
        <v>101</v>
      </c>
      <c r="I36" t="s">
        <v>351</v>
      </c>
      <c r="L36">
        <v>7</v>
      </c>
      <c r="M36" t="s">
        <v>382</v>
      </c>
      <c r="N36">
        <v>5563</v>
      </c>
      <c r="Q36" t="s">
        <v>200</v>
      </c>
    </row>
    <row r="37" spans="1:17" x14ac:dyDescent="0.2">
      <c r="A37" s="3">
        <v>45905</v>
      </c>
      <c r="B37" s="3">
        <f t="shared" si="0"/>
        <v>45901</v>
      </c>
      <c r="C37" s="8">
        <v>0.58333333333333337</v>
      </c>
      <c r="D37" t="s">
        <v>213</v>
      </c>
      <c r="E37" t="s">
        <v>204</v>
      </c>
      <c r="F37">
        <v>11</v>
      </c>
      <c r="G37" t="s">
        <v>301</v>
      </c>
      <c r="I37" t="s">
        <v>219</v>
      </c>
      <c r="L37">
        <v>9</v>
      </c>
      <c r="M37" t="s">
        <v>381</v>
      </c>
      <c r="N37">
        <v>5564</v>
      </c>
      <c r="Q37" t="s">
        <v>200</v>
      </c>
    </row>
    <row r="38" spans="1:17" x14ac:dyDescent="0.2">
      <c r="A38" s="3">
        <v>45910</v>
      </c>
      <c r="B38" s="3">
        <f t="shared" si="0"/>
        <v>45901</v>
      </c>
      <c r="C38" s="8">
        <v>0.45833333333333331</v>
      </c>
      <c r="D38" t="s">
        <v>217</v>
      </c>
      <c r="E38" t="s">
        <v>204</v>
      </c>
      <c r="F38">
        <v>16</v>
      </c>
      <c r="G38" t="s">
        <v>348</v>
      </c>
      <c r="I38" t="s">
        <v>239</v>
      </c>
      <c r="L38">
        <v>9</v>
      </c>
      <c r="M38" t="s">
        <v>380</v>
      </c>
      <c r="N38">
        <v>5700</v>
      </c>
      <c r="Q38" t="s">
        <v>200</v>
      </c>
    </row>
    <row r="39" spans="1:17" ht="102" x14ac:dyDescent="0.2">
      <c r="A39" s="3">
        <v>45910</v>
      </c>
      <c r="B39" s="3">
        <f t="shared" si="0"/>
        <v>45901</v>
      </c>
      <c r="C39" s="8">
        <v>0.58333333333333337</v>
      </c>
      <c r="D39" t="s">
        <v>229</v>
      </c>
      <c r="E39" t="s">
        <v>204</v>
      </c>
      <c r="F39">
        <v>16</v>
      </c>
      <c r="G39" t="s">
        <v>98</v>
      </c>
      <c r="I39" t="s">
        <v>247</v>
      </c>
      <c r="L39">
        <v>10</v>
      </c>
      <c r="M39" s="9" t="s">
        <v>379</v>
      </c>
      <c r="N39">
        <v>5703</v>
      </c>
      <c r="Q39" t="s">
        <v>200</v>
      </c>
    </row>
    <row r="40" spans="1:17" x14ac:dyDescent="0.2">
      <c r="A40" s="3">
        <v>45911</v>
      </c>
      <c r="B40" s="3">
        <f t="shared" si="0"/>
        <v>45901</v>
      </c>
      <c r="C40" s="8">
        <v>0.41666666666666669</v>
      </c>
      <c r="D40" t="s">
        <v>237</v>
      </c>
      <c r="E40" t="s">
        <v>204</v>
      </c>
      <c r="F40">
        <v>13</v>
      </c>
      <c r="G40" t="s">
        <v>273</v>
      </c>
      <c r="I40" t="s">
        <v>207</v>
      </c>
      <c r="L40">
        <v>9</v>
      </c>
      <c r="M40" t="s">
        <v>378</v>
      </c>
      <c r="N40">
        <v>5714</v>
      </c>
      <c r="Q40" t="s">
        <v>200</v>
      </c>
    </row>
    <row r="41" spans="1:17" x14ac:dyDescent="0.2">
      <c r="A41" s="3">
        <v>45912</v>
      </c>
      <c r="B41" s="3">
        <f t="shared" si="0"/>
        <v>45901</v>
      </c>
      <c r="C41" s="8">
        <v>0.5625</v>
      </c>
      <c r="D41" t="s">
        <v>255</v>
      </c>
      <c r="E41" t="s">
        <v>204</v>
      </c>
      <c r="F41">
        <v>16</v>
      </c>
      <c r="G41" t="s">
        <v>115</v>
      </c>
      <c r="I41" t="s">
        <v>202</v>
      </c>
      <c r="K41" t="s">
        <v>377</v>
      </c>
      <c r="L41">
        <v>8</v>
      </c>
      <c r="M41" t="s">
        <v>376</v>
      </c>
      <c r="N41">
        <v>5752</v>
      </c>
      <c r="Q41" t="s">
        <v>200</v>
      </c>
    </row>
    <row r="42" spans="1:17" x14ac:dyDescent="0.2">
      <c r="A42" s="3">
        <v>45912</v>
      </c>
      <c r="B42" s="3">
        <f t="shared" si="0"/>
        <v>45901</v>
      </c>
      <c r="C42" s="8">
        <v>0.58333333333333337</v>
      </c>
      <c r="D42" t="s">
        <v>213</v>
      </c>
      <c r="E42" t="s">
        <v>204</v>
      </c>
      <c r="F42">
        <v>11</v>
      </c>
      <c r="G42" t="s">
        <v>348</v>
      </c>
      <c r="I42" t="s">
        <v>207</v>
      </c>
      <c r="L42">
        <v>8</v>
      </c>
      <c r="M42" t="s">
        <v>375</v>
      </c>
      <c r="N42">
        <v>5759</v>
      </c>
      <c r="Q42" t="s">
        <v>200</v>
      </c>
    </row>
    <row r="43" spans="1:17" x14ac:dyDescent="0.2">
      <c r="A43" s="3">
        <v>45918</v>
      </c>
      <c r="B43" s="3">
        <f t="shared" si="0"/>
        <v>45901</v>
      </c>
      <c r="C43" s="8">
        <v>0.41666666666666669</v>
      </c>
      <c r="D43" t="s">
        <v>237</v>
      </c>
      <c r="E43" t="s">
        <v>204</v>
      </c>
      <c r="F43">
        <v>13</v>
      </c>
      <c r="G43" t="s">
        <v>84</v>
      </c>
      <c r="I43" t="s">
        <v>239</v>
      </c>
      <c r="L43">
        <v>10</v>
      </c>
      <c r="M43" t="s">
        <v>374</v>
      </c>
      <c r="N43">
        <v>5830</v>
      </c>
      <c r="Q43" t="s">
        <v>200</v>
      </c>
    </row>
    <row r="44" spans="1:17" x14ac:dyDescent="0.2">
      <c r="A44" s="3">
        <v>45918</v>
      </c>
      <c r="B44" s="3">
        <f t="shared" si="0"/>
        <v>45901</v>
      </c>
      <c r="C44" s="8">
        <v>0.58333333333333337</v>
      </c>
      <c r="D44" t="s">
        <v>209</v>
      </c>
      <c r="E44" t="s">
        <v>204</v>
      </c>
      <c r="F44">
        <v>14</v>
      </c>
      <c r="G44" t="s">
        <v>273</v>
      </c>
      <c r="I44" t="s">
        <v>247</v>
      </c>
      <c r="L44">
        <v>9</v>
      </c>
      <c r="M44" t="s">
        <v>373</v>
      </c>
      <c r="N44">
        <v>5840</v>
      </c>
      <c r="Q44" t="s">
        <v>200</v>
      </c>
    </row>
    <row r="45" spans="1:17" ht="238" x14ac:dyDescent="0.2">
      <c r="A45" s="3">
        <v>45919</v>
      </c>
      <c r="B45" s="3">
        <f t="shared" si="0"/>
        <v>45901</v>
      </c>
      <c r="C45" s="8">
        <v>0.5</v>
      </c>
      <c r="D45" t="s">
        <v>220</v>
      </c>
      <c r="E45" t="s">
        <v>204</v>
      </c>
      <c r="F45">
        <v>15</v>
      </c>
      <c r="G45" t="s">
        <v>301</v>
      </c>
      <c r="I45" t="s">
        <v>239</v>
      </c>
      <c r="L45">
        <v>9</v>
      </c>
      <c r="M45" s="9" t="s">
        <v>372</v>
      </c>
      <c r="N45">
        <v>5856</v>
      </c>
      <c r="Q45" t="s">
        <v>200</v>
      </c>
    </row>
    <row r="46" spans="1:17" x14ac:dyDescent="0.2">
      <c r="A46" s="3">
        <v>45919</v>
      </c>
      <c r="B46" s="3">
        <f t="shared" si="0"/>
        <v>45901</v>
      </c>
      <c r="C46" s="8">
        <v>0.54166666666666663</v>
      </c>
      <c r="D46" t="s">
        <v>362</v>
      </c>
      <c r="E46" t="s">
        <v>204</v>
      </c>
      <c r="F46">
        <v>5</v>
      </c>
      <c r="G46" t="s">
        <v>273</v>
      </c>
      <c r="I46" t="s">
        <v>207</v>
      </c>
      <c r="L46">
        <v>9</v>
      </c>
      <c r="M46" t="s">
        <v>371</v>
      </c>
      <c r="N46">
        <v>5857</v>
      </c>
      <c r="Q46" t="s">
        <v>200</v>
      </c>
    </row>
    <row r="47" spans="1:17" x14ac:dyDescent="0.2">
      <c r="A47" s="3">
        <v>45922</v>
      </c>
      <c r="B47" s="3">
        <f t="shared" si="0"/>
        <v>45901</v>
      </c>
      <c r="C47" s="8">
        <v>0.54166666666666663</v>
      </c>
      <c r="D47" t="s">
        <v>349</v>
      </c>
      <c r="E47" t="s">
        <v>204</v>
      </c>
      <c r="F47">
        <v>3</v>
      </c>
      <c r="G47" t="s">
        <v>310</v>
      </c>
      <c r="I47" t="s">
        <v>275</v>
      </c>
      <c r="L47" t="s">
        <v>211</v>
      </c>
      <c r="Q47" t="s">
        <v>200</v>
      </c>
    </row>
    <row r="48" spans="1:17" ht="404" x14ac:dyDescent="0.2">
      <c r="A48" s="3">
        <v>45924</v>
      </c>
      <c r="B48" s="3">
        <f t="shared" si="0"/>
        <v>45901</v>
      </c>
      <c r="C48" s="8">
        <v>0.45833333333333331</v>
      </c>
      <c r="D48" t="s">
        <v>217</v>
      </c>
      <c r="E48" t="s">
        <v>204</v>
      </c>
      <c r="F48">
        <v>16</v>
      </c>
      <c r="G48" t="s">
        <v>273</v>
      </c>
      <c r="I48" t="s">
        <v>239</v>
      </c>
      <c r="L48">
        <v>8</v>
      </c>
      <c r="M48" s="9" t="s">
        <v>370</v>
      </c>
      <c r="N48">
        <v>5912</v>
      </c>
      <c r="Q48" t="s">
        <v>200</v>
      </c>
    </row>
    <row r="49" spans="1:22" x14ac:dyDescent="0.2">
      <c r="A49" s="3">
        <v>45924</v>
      </c>
      <c r="B49" s="3">
        <f t="shared" si="0"/>
        <v>45901</v>
      </c>
      <c r="C49" s="8">
        <v>0.58333333333333337</v>
      </c>
      <c r="D49" t="s">
        <v>255</v>
      </c>
      <c r="E49" t="s">
        <v>204</v>
      </c>
      <c r="F49">
        <v>16</v>
      </c>
      <c r="G49" t="s">
        <v>203</v>
      </c>
      <c r="I49" t="s">
        <v>239</v>
      </c>
      <c r="L49" t="s">
        <v>211</v>
      </c>
      <c r="M49" t="s">
        <v>369</v>
      </c>
      <c r="Q49" t="s">
        <v>200</v>
      </c>
    </row>
    <row r="50" spans="1:22" x14ac:dyDescent="0.2">
      <c r="A50" s="3">
        <v>45924</v>
      </c>
      <c r="B50" s="3">
        <f t="shared" si="0"/>
        <v>45901</v>
      </c>
      <c r="C50" s="8">
        <v>0.58333333333333337</v>
      </c>
      <c r="D50" t="s">
        <v>229</v>
      </c>
      <c r="E50" t="s">
        <v>204</v>
      </c>
      <c r="F50">
        <v>16</v>
      </c>
      <c r="G50" t="s">
        <v>203</v>
      </c>
      <c r="I50" t="s">
        <v>275</v>
      </c>
      <c r="L50" t="s">
        <v>211</v>
      </c>
      <c r="Q50" t="s">
        <v>200</v>
      </c>
    </row>
    <row r="51" spans="1:22" x14ac:dyDescent="0.2">
      <c r="A51" s="3">
        <v>45925</v>
      </c>
      <c r="B51" s="3">
        <f t="shared" si="0"/>
        <v>45901</v>
      </c>
      <c r="C51" s="8">
        <v>0.41666666666666669</v>
      </c>
      <c r="D51" t="s">
        <v>237</v>
      </c>
      <c r="E51" t="s">
        <v>204</v>
      </c>
      <c r="F51">
        <v>13</v>
      </c>
      <c r="G51" t="s">
        <v>98</v>
      </c>
      <c r="I51" t="s">
        <v>247</v>
      </c>
      <c r="L51">
        <v>9</v>
      </c>
      <c r="M51" t="s">
        <v>368</v>
      </c>
      <c r="N51">
        <v>5927</v>
      </c>
      <c r="Q51" t="s">
        <v>200</v>
      </c>
    </row>
    <row r="52" spans="1:22" x14ac:dyDescent="0.2">
      <c r="A52" s="3">
        <v>45925</v>
      </c>
      <c r="B52" s="3">
        <f t="shared" si="0"/>
        <v>45901</v>
      </c>
      <c r="C52" s="8">
        <v>0.45833333333333331</v>
      </c>
      <c r="D52" t="s">
        <v>294</v>
      </c>
      <c r="E52" t="s">
        <v>204</v>
      </c>
      <c r="F52">
        <v>11</v>
      </c>
      <c r="G52" t="s">
        <v>98</v>
      </c>
      <c r="I52" t="s">
        <v>367</v>
      </c>
      <c r="L52">
        <v>10</v>
      </c>
      <c r="M52" t="s">
        <v>366</v>
      </c>
      <c r="N52">
        <v>5932</v>
      </c>
      <c r="Q52" t="s">
        <v>200</v>
      </c>
      <c r="V52" t="s">
        <v>365</v>
      </c>
    </row>
    <row r="53" spans="1:22" x14ac:dyDescent="0.2">
      <c r="A53" s="3">
        <v>45925</v>
      </c>
      <c r="B53" s="3">
        <f t="shared" si="0"/>
        <v>45901</v>
      </c>
      <c r="C53" s="8">
        <v>0.625</v>
      </c>
      <c r="D53" t="s">
        <v>209</v>
      </c>
      <c r="E53" t="s">
        <v>204</v>
      </c>
      <c r="F53">
        <v>14</v>
      </c>
      <c r="G53" t="s">
        <v>98</v>
      </c>
      <c r="I53" t="s">
        <v>247</v>
      </c>
      <c r="L53">
        <v>9</v>
      </c>
      <c r="M53" t="s">
        <v>364</v>
      </c>
      <c r="N53">
        <v>5940</v>
      </c>
      <c r="Q53" t="s">
        <v>200</v>
      </c>
    </row>
    <row r="54" spans="1:22" x14ac:dyDescent="0.2">
      <c r="A54" s="3">
        <v>45926</v>
      </c>
      <c r="B54" s="3">
        <f t="shared" si="0"/>
        <v>45901</v>
      </c>
      <c r="C54" s="8">
        <v>0.5</v>
      </c>
      <c r="D54" t="s">
        <v>220</v>
      </c>
      <c r="E54" t="s">
        <v>204</v>
      </c>
      <c r="F54">
        <v>15</v>
      </c>
      <c r="G54" t="s">
        <v>348</v>
      </c>
      <c r="I54" t="s">
        <v>207</v>
      </c>
      <c r="L54">
        <v>10</v>
      </c>
      <c r="M54" t="s">
        <v>363</v>
      </c>
      <c r="N54">
        <v>5963</v>
      </c>
      <c r="Q54" t="s">
        <v>200</v>
      </c>
    </row>
    <row r="55" spans="1:22" x14ac:dyDescent="0.2">
      <c r="A55" s="3">
        <v>45926</v>
      </c>
      <c r="B55" s="3">
        <f t="shared" si="0"/>
        <v>45901</v>
      </c>
      <c r="C55" s="8">
        <v>0.54166666666666663</v>
      </c>
      <c r="D55" t="s">
        <v>362</v>
      </c>
      <c r="E55" t="s">
        <v>204</v>
      </c>
      <c r="F55">
        <v>5</v>
      </c>
      <c r="G55" t="s">
        <v>98</v>
      </c>
      <c r="I55" t="s">
        <v>239</v>
      </c>
      <c r="L55">
        <v>10</v>
      </c>
      <c r="M55" t="s">
        <v>361</v>
      </c>
      <c r="N55">
        <v>5967</v>
      </c>
      <c r="Q55" t="s">
        <v>200</v>
      </c>
    </row>
    <row r="56" spans="1:22" ht="409.6" x14ac:dyDescent="0.2">
      <c r="A56" s="3">
        <v>45926</v>
      </c>
      <c r="B56" s="3">
        <f t="shared" si="0"/>
        <v>45901</v>
      </c>
      <c r="C56" s="8">
        <v>0.58333333333333337</v>
      </c>
      <c r="D56" t="s">
        <v>213</v>
      </c>
      <c r="E56" t="s">
        <v>204</v>
      </c>
      <c r="F56">
        <v>11</v>
      </c>
      <c r="G56" t="s">
        <v>273</v>
      </c>
      <c r="I56" t="s">
        <v>239</v>
      </c>
      <c r="L56">
        <v>8</v>
      </c>
      <c r="M56" s="9" t="s">
        <v>360</v>
      </c>
      <c r="N56">
        <v>5968</v>
      </c>
      <c r="Q56" t="s">
        <v>200</v>
      </c>
    </row>
    <row r="57" spans="1:22" x14ac:dyDescent="0.2">
      <c r="A57" s="3">
        <v>45929</v>
      </c>
      <c r="B57" s="3">
        <f t="shared" si="0"/>
        <v>45901</v>
      </c>
      <c r="C57" s="8">
        <v>0.625</v>
      </c>
      <c r="D57" t="s">
        <v>232</v>
      </c>
      <c r="E57" t="s">
        <v>204</v>
      </c>
      <c r="F57">
        <v>18</v>
      </c>
      <c r="G57" t="s">
        <v>335</v>
      </c>
      <c r="I57" t="s">
        <v>351</v>
      </c>
      <c r="L57">
        <v>10</v>
      </c>
      <c r="M57" t="s">
        <v>359</v>
      </c>
      <c r="N57">
        <v>5988</v>
      </c>
      <c r="Q57" t="s">
        <v>200</v>
      </c>
    </row>
    <row r="58" spans="1:22" x14ac:dyDescent="0.2">
      <c r="A58" s="3">
        <v>45932</v>
      </c>
      <c r="B58" s="3">
        <f t="shared" si="0"/>
        <v>45931</v>
      </c>
      <c r="C58" s="8">
        <v>0.41666666666666669</v>
      </c>
      <c r="D58" t="s">
        <v>237</v>
      </c>
      <c r="E58" t="s">
        <v>204</v>
      </c>
      <c r="F58">
        <v>13</v>
      </c>
      <c r="G58" t="s">
        <v>101</v>
      </c>
      <c r="I58" t="s">
        <v>239</v>
      </c>
      <c r="K58" t="s">
        <v>262</v>
      </c>
      <c r="L58">
        <v>9</v>
      </c>
      <c r="M58" t="s">
        <v>358</v>
      </c>
      <c r="N58">
        <v>6051</v>
      </c>
      <c r="Q58" t="s">
        <v>200</v>
      </c>
    </row>
    <row r="59" spans="1:22" x14ac:dyDescent="0.2">
      <c r="A59" s="3">
        <v>45933</v>
      </c>
      <c r="B59" s="3">
        <f t="shared" si="0"/>
        <v>45931</v>
      </c>
      <c r="C59" s="8">
        <v>0.5</v>
      </c>
      <c r="D59" t="s">
        <v>220</v>
      </c>
      <c r="E59" t="s">
        <v>204</v>
      </c>
      <c r="F59">
        <v>15</v>
      </c>
      <c r="G59" t="s">
        <v>273</v>
      </c>
      <c r="I59" t="s">
        <v>207</v>
      </c>
      <c r="L59">
        <v>10</v>
      </c>
      <c r="M59" t="s">
        <v>357</v>
      </c>
      <c r="N59">
        <v>6085</v>
      </c>
      <c r="Q59" t="s">
        <v>200</v>
      </c>
    </row>
    <row r="60" spans="1:22" x14ac:dyDescent="0.2">
      <c r="A60" s="3">
        <v>45936</v>
      </c>
      <c r="B60" s="3">
        <f t="shared" si="0"/>
        <v>45931</v>
      </c>
      <c r="C60" s="8">
        <v>0.5</v>
      </c>
      <c r="D60" t="s">
        <v>349</v>
      </c>
      <c r="E60" t="s">
        <v>204</v>
      </c>
      <c r="F60">
        <v>3</v>
      </c>
      <c r="G60" t="s">
        <v>301</v>
      </c>
      <c r="I60" t="s">
        <v>202</v>
      </c>
      <c r="L60">
        <v>9</v>
      </c>
      <c r="M60" t="s">
        <v>356</v>
      </c>
      <c r="N60">
        <v>6104</v>
      </c>
      <c r="Q60" t="s">
        <v>200</v>
      </c>
    </row>
    <row r="61" spans="1:22" x14ac:dyDescent="0.2">
      <c r="A61" s="3">
        <v>45938</v>
      </c>
      <c r="B61" s="3">
        <f t="shared" si="0"/>
        <v>45931</v>
      </c>
      <c r="C61" s="8">
        <v>0.45833333333333331</v>
      </c>
      <c r="D61" t="s">
        <v>217</v>
      </c>
      <c r="E61" t="s">
        <v>204</v>
      </c>
      <c r="F61">
        <v>16</v>
      </c>
      <c r="G61" t="s">
        <v>84</v>
      </c>
      <c r="I61" t="s">
        <v>239</v>
      </c>
      <c r="L61">
        <v>9</v>
      </c>
      <c r="M61" t="s">
        <v>355</v>
      </c>
      <c r="N61">
        <v>6214</v>
      </c>
      <c r="Q61" t="s">
        <v>200</v>
      </c>
    </row>
    <row r="62" spans="1:22" x14ac:dyDescent="0.2">
      <c r="A62" s="3">
        <v>45938</v>
      </c>
      <c r="B62" s="3">
        <f t="shared" si="0"/>
        <v>45931</v>
      </c>
      <c r="C62" s="8">
        <v>0.58333333333333337</v>
      </c>
      <c r="D62" t="s">
        <v>255</v>
      </c>
      <c r="E62" t="s">
        <v>204</v>
      </c>
      <c r="F62">
        <v>16</v>
      </c>
      <c r="G62" t="s">
        <v>335</v>
      </c>
      <c r="I62" t="s">
        <v>239</v>
      </c>
      <c r="L62">
        <v>10</v>
      </c>
      <c r="M62" t="s">
        <v>354</v>
      </c>
      <c r="N62">
        <v>6223</v>
      </c>
      <c r="Q62" t="s">
        <v>200</v>
      </c>
    </row>
    <row r="63" spans="1:22" x14ac:dyDescent="0.2">
      <c r="A63" s="3">
        <v>45938</v>
      </c>
      <c r="B63" s="3">
        <f t="shared" si="0"/>
        <v>45931</v>
      </c>
      <c r="C63" s="8">
        <v>0.58333333333333337</v>
      </c>
      <c r="D63" t="s">
        <v>229</v>
      </c>
      <c r="E63" t="s">
        <v>204</v>
      </c>
      <c r="F63">
        <v>16</v>
      </c>
      <c r="G63" t="s">
        <v>335</v>
      </c>
      <c r="I63" t="s">
        <v>202</v>
      </c>
      <c r="K63" t="s">
        <v>353</v>
      </c>
      <c r="L63">
        <v>10</v>
      </c>
      <c r="M63" t="s">
        <v>352</v>
      </c>
      <c r="N63">
        <v>6224</v>
      </c>
      <c r="Q63" t="s">
        <v>200</v>
      </c>
    </row>
    <row r="64" spans="1:22" x14ac:dyDescent="0.2">
      <c r="A64" s="3">
        <v>45938</v>
      </c>
      <c r="B64" s="3">
        <f t="shared" si="0"/>
        <v>45931</v>
      </c>
      <c r="C64" s="8">
        <v>0.60416666666666663</v>
      </c>
      <c r="D64" t="s">
        <v>209</v>
      </c>
      <c r="E64" t="s">
        <v>204</v>
      </c>
      <c r="F64">
        <v>14</v>
      </c>
      <c r="G64" t="s">
        <v>84</v>
      </c>
      <c r="I64" t="s">
        <v>207</v>
      </c>
      <c r="L64">
        <v>9</v>
      </c>
      <c r="Q64" t="s">
        <v>200</v>
      </c>
    </row>
    <row r="65" spans="1:17" x14ac:dyDescent="0.2">
      <c r="A65" s="3">
        <v>45939</v>
      </c>
      <c r="B65" s="3">
        <f t="shared" si="0"/>
        <v>45931</v>
      </c>
      <c r="C65" s="8">
        <v>0.45833333333333331</v>
      </c>
      <c r="D65" t="s">
        <v>294</v>
      </c>
      <c r="E65" t="s">
        <v>204</v>
      </c>
      <c r="F65">
        <v>11</v>
      </c>
      <c r="G65" t="s">
        <v>101</v>
      </c>
      <c r="I65" t="s">
        <v>351</v>
      </c>
      <c r="L65">
        <v>9</v>
      </c>
      <c r="M65" t="s">
        <v>350</v>
      </c>
      <c r="N65">
        <v>6251</v>
      </c>
      <c r="Q65" t="s">
        <v>200</v>
      </c>
    </row>
    <row r="66" spans="1:17" x14ac:dyDescent="0.2">
      <c r="A66" s="3">
        <v>45940</v>
      </c>
      <c r="B66" s="3">
        <f t="shared" si="0"/>
        <v>45931</v>
      </c>
      <c r="C66" s="8">
        <v>0.5</v>
      </c>
      <c r="D66" t="s">
        <v>220</v>
      </c>
      <c r="E66" t="s">
        <v>204</v>
      </c>
      <c r="F66">
        <v>15</v>
      </c>
      <c r="G66" t="s">
        <v>98</v>
      </c>
      <c r="I66" t="s">
        <v>207</v>
      </c>
      <c r="L66">
        <v>10</v>
      </c>
      <c r="Q66" t="s">
        <v>200</v>
      </c>
    </row>
    <row r="67" spans="1:17" x14ac:dyDescent="0.2">
      <c r="A67" s="3">
        <v>45943</v>
      </c>
      <c r="B67" s="3">
        <f t="shared" ref="B67:B130" si="1">DATE(YEAR(A67), MONTH(A67), 1)</f>
        <v>45931</v>
      </c>
      <c r="C67" s="8">
        <v>0.5</v>
      </c>
      <c r="D67" t="s">
        <v>349</v>
      </c>
      <c r="E67" t="s">
        <v>204</v>
      </c>
      <c r="F67">
        <v>3</v>
      </c>
      <c r="G67" t="s">
        <v>348</v>
      </c>
      <c r="I67" t="s">
        <v>202</v>
      </c>
      <c r="L67">
        <v>9</v>
      </c>
      <c r="M67" t="s">
        <v>347</v>
      </c>
      <c r="N67">
        <v>6279</v>
      </c>
      <c r="Q67" t="s">
        <v>200</v>
      </c>
    </row>
    <row r="68" spans="1:17" x14ac:dyDescent="0.2">
      <c r="A68" s="3">
        <v>45945</v>
      </c>
      <c r="B68" s="3">
        <f t="shared" si="1"/>
        <v>45931</v>
      </c>
      <c r="C68" s="8">
        <v>0.45833333333333331</v>
      </c>
      <c r="D68" t="s">
        <v>217</v>
      </c>
      <c r="E68" t="s">
        <v>204</v>
      </c>
      <c r="F68">
        <v>16</v>
      </c>
      <c r="G68" t="s">
        <v>98</v>
      </c>
      <c r="I68" t="s">
        <v>239</v>
      </c>
      <c r="K68" t="s">
        <v>346</v>
      </c>
      <c r="L68">
        <v>9</v>
      </c>
      <c r="M68" t="s">
        <v>345</v>
      </c>
      <c r="N68">
        <v>6308</v>
      </c>
      <c r="Q68" t="s">
        <v>200</v>
      </c>
    </row>
    <row r="69" spans="1:17" x14ac:dyDescent="0.2">
      <c r="A69" s="3">
        <v>45946</v>
      </c>
      <c r="B69" s="3">
        <f t="shared" si="1"/>
        <v>45931</v>
      </c>
      <c r="C69" s="8">
        <v>0.41666666666666669</v>
      </c>
      <c r="D69" t="s">
        <v>237</v>
      </c>
      <c r="E69" t="s">
        <v>204</v>
      </c>
      <c r="F69">
        <v>13</v>
      </c>
      <c r="G69" t="s">
        <v>335</v>
      </c>
      <c r="I69" t="s">
        <v>202</v>
      </c>
      <c r="K69" t="s">
        <v>344</v>
      </c>
      <c r="L69">
        <v>7</v>
      </c>
      <c r="M69" t="s">
        <v>343</v>
      </c>
      <c r="N69">
        <v>6324</v>
      </c>
      <c r="Q69" t="s">
        <v>200</v>
      </c>
    </row>
    <row r="70" spans="1:17" x14ac:dyDescent="0.2">
      <c r="A70" s="3">
        <v>45946</v>
      </c>
      <c r="B70" s="3">
        <f t="shared" si="1"/>
        <v>45931</v>
      </c>
      <c r="C70" s="8">
        <v>0.45833333333333331</v>
      </c>
      <c r="D70" t="s">
        <v>294</v>
      </c>
      <c r="E70" t="s">
        <v>204</v>
      </c>
      <c r="F70">
        <v>11</v>
      </c>
      <c r="G70" t="s">
        <v>335</v>
      </c>
      <c r="I70" t="s">
        <v>239</v>
      </c>
      <c r="L70">
        <v>10</v>
      </c>
      <c r="M70" t="s">
        <v>342</v>
      </c>
      <c r="N70">
        <v>6327</v>
      </c>
      <c r="Q70" t="s">
        <v>200</v>
      </c>
    </row>
    <row r="71" spans="1:17" x14ac:dyDescent="0.2">
      <c r="A71" s="3">
        <v>45946</v>
      </c>
      <c r="B71" s="3">
        <f t="shared" si="1"/>
        <v>45931</v>
      </c>
      <c r="C71" s="8">
        <v>0.52083333333333337</v>
      </c>
      <c r="D71" t="s">
        <v>209</v>
      </c>
      <c r="E71" t="s">
        <v>204</v>
      </c>
      <c r="F71">
        <v>14</v>
      </c>
      <c r="G71" t="s">
        <v>335</v>
      </c>
      <c r="I71" t="s">
        <v>239</v>
      </c>
      <c r="L71">
        <v>9</v>
      </c>
      <c r="M71" t="s">
        <v>341</v>
      </c>
      <c r="N71">
        <v>6333</v>
      </c>
      <c r="Q71" t="s">
        <v>200</v>
      </c>
    </row>
    <row r="72" spans="1:17" x14ac:dyDescent="0.2">
      <c r="A72" s="3">
        <v>45947</v>
      </c>
      <c r="B72" s="3">
        <f t="shared" si="1"/>
        <v>45931</v>
      </c>
      <c r="C72" s="8">
        <v>0.58333333333333337</v>
      </c>
      <c r="D72" t="s">
        <v>213</v>
      </c>
      <c r="E72" t="s">
        <v>204</v>
      </c>
      <c r="F72">
        <v>11</v>
      </c>
      <c r="G72" t="s">
        <v>84</v>
      </c>
      <c r="I72" t="s">
        <v>219</v>
      </c>
      <c r="K72" t="s">
        <v>340</v>
      </c>
      <c r="L72">
        <v>10</v>
      </c>
      <c r="M72" t="s">
        <v>339</v>
      </c>
      <c r="Q72" t="s">
        <v>200</v>
      </c>
    </row>
    <row r="73" spans="1:17" x14ac:dyDescent="0.2">
      <c r="A73" s="3">
        <v>45947</v>
      </c>
      <c r="B73" s="3">
        <f t="shared" si="1"/>
        <v>45931</v>
      </c>
      <c r="C73" s="8">
        <v>0.66666666666666663</v>
      </c>
      <c r="D73" t="s">
        <v>232</v>
      </c>
      <c r="E73" t="s">
        <v>204</v>
      </c>
      <c r="F73">
        <v>18</v>
      </c>
      <c r="G73" t="s">
        <v>324</v>
      </c>
      <c r="I73" t="s">
        <v>275</v>
      </c>
      <c r="L73" t="s">
        <v>211</v>
      </c>
      <c r="Q73" t="s">
        <v>200</v>
      </c>
    </row>
    <row r="74" spans="1:17" x14ac:dyDescent="0.2">
      <c r="A74" s="3">
        <v>45952</v>
      </c>
      <c r="B74" s="3">
        <f t="shared" si="1"/>
        <v>45931</v>
      </c>
      <c r="C74" s="8">
        <v>0.45833333333333331</v>
      </c>
      <c r="D74" t="s">
        <v>217</v>
      </c>
      <c r="E74" t="s">
        <v>204</v>
      </c>
      <c r="F74">
        <v>16</v>
      </c>
      <c r="G74" t="s">
        <v>335</v>
      </c>
      <c r="I74" t="s">
        <v>239</v>
      </c>
      <c r="L74">
        <v>10</v>
      </c>
      <c r="M74" t="s">
        <v>338</v>
      </c>
      <c r="N74">
        <v>6404</v>
      </c>
      <c r="Q74" t="s">
        <v>200</v>
      </c>
    </row>
    <row r="75" spans="1:17" x14ac:dyDescent="0.2">
      <c r="A75" s="3">
        <v>45952</v>
      </c>
      <c r="B75" s="3">
        <f t="shared" si="1"/>
        <v>45931</v>
      </c>
      <c r="C75" s="8">
        <v>0.58333333333333337</v>
      </c>
      <c r="D75" t="s">
        <v>255</v>
      </c>
      <c r="E75" t="s">
        <v>204</v>
      </c>
      <c r="F75">
        <v>16</v>
      </c>
      <c r="G75" t="s">
        <v>324</v>
      </c>
      <c r="I75" t="s">
        <v>239</v>
      </c>
      <c r="L75">
        <v>9</v>
      </c>
      <c r="M75" t="s">
        <v>337</v>
      </c>
      <c r="Q75" t="s">
        <v>200</v>
      </c>
    </row>
    <row r="76" spans="1:17" x14ac:dyDescent="0.2">
      <c r="A76" s="3">
        <v>45952</v>
      </c>
      <c r="B76" s="3">
        <f t="shared" si="1"/>
        <v>45931</v>
      </c>
      <c r="C76" s="8">
        <v>0.58333333333333337</v>
      </c>
      <c r="D76" t="s">
        <v>229</v>
      </c>
      <c r="E76" t="s">
        <v>204</v>
      </c>
      <c r="F76">
        <v>16</v>
      </c>
      <c r="G76" t="s">
        <v>324</v>
      </c>
      <c r="I76" t="s">
        <v>219</v>
      </c>
      <c r="L76">
        <v>6</v>
      </c>
      <c r="M76" t="s">
        <v>336</v>
      </c>
      <c r="Q76" t="s">
        <v>200</v>
      </c>
    </row>
    <row r="77" spans="1:17" x14ac:dyDescent="0.2">
      <c r="A77" s="3">
        <v>45954</v>
      </c>
      <c r="B77" s="3">
        <f t="shared" si="1"/>
        <v>45931</v>
      </c>
      <c r="C77" s="8">
        <v>0.5</v>
      </c>
      <c r="D77" t="s">
        <v>220</v>
      </c>
      <c r="E77" t="s">
        <v>204</v>
      </c>
      <c r="F77">
        <v>15</v>
      </c>
      <c r="G77" t="s">
        <v>335</v>
      </c>
      <c r="I77" t="s">
        <v>219</v>
      </c>
      <c r="L77">
        <v>10</v>
      </c>
      <c r="M77" t="s">
        <v>334</v>
      </c>
      <c r="N77">
        <v>6446</v>
      </c>
      <c r="Q77" t="s">
        <v>200</v>
      </c>
    </row>
    <row r="78" spans="1:17" x14ac:dyDescent="0.2">
      <c r="A78" s="3">
        <v>45954</v>
      </c>
      <c r="B78" s="3">
        <f t="shared" si="1"/>
        <v>45931</v>
      </c>
      <c r="C78" s="8">
        <v>0.58333333333333337</v>
      </c>
      <c r="D78" t="s">
        <v>213</v>
      </c>
      <c r="E78" t="s">
        <v>204</v>
      </c>
      <c r="F78">
        <v>11</v>
      </c>
      <c r="G78" t="s">
        <v>98</v>
      </c>
      <c r="I78" t="s">
        <v>219</v>
      </c>
      <c r="L78">
        <v>10</v>
      </c>
      <c r="M78" t="s">
        <v>333</v>
      </c>
      <c r="N78">
        <v>6451</v>
      </c>
      <c r="Q78" t="s">
        <v>200</v>
      </c>
    </row>
    <row r="79" spans="1:17" x14ac:dyDescent="0.2">
      <c r="A79" s="3">
        <v>45959</v>
      </c>
      <c r="B79" s="3">
        <f t="shared" si="1"/>
        <v>45931</v>
      </c>
      <c r="C79" s="8">
        <v>0.45833333333333331</v>
      </c>
      <c r="D79" t="s">
        <v>217</v>
      </c>
      <c r="E79" t="s">
        <v>204</v>
      </c>
      <c r="F79">
        <v>16</v>
      </c>
      <c r="G79" t="s">
        <v>324</v>
      </c>
      <c r="I79" t="s">
        <v>239</v>
      </c>
      <c r="K79" t="s">
        <v>332</v>
      </c>
      <c r="L79">
        <v>10</v>
      </c>
      <c r="M79" t="s">
        <v>331</v>
      </c>
      <c r="Q79" t="s">
        <v>200</v>
      </c>
    </row>
    <row r="80" spans="1:17" x14ac:dyDescent="0.2">
      <c r="A80" s="3">
        <v>45959</v>
      </c>
      <c r="B80" s="3">
        <f t="shared" si="1"/>
        <v>45931</v>
      </c>
      <c r="C80" s="8">
        <v>0.625</v>
      </c>
      <c r="D80" t="s">
        <v>232</v>
      </c>
      <c r="E80" t="s">
        <v>204</v>
      </c>
      <c r="F80">
        <v>18</v>
      </c>
      <c r="G80" t="s">
        <v>115</v>
      </c>
      <c r="I80" t="s">
        <v>239</v>
      </c>
      <c r="L80">
        <v>10</v>
      </c>
      <c r="M80" t="s">
        <v>330</v>
      </c>
      <c r="N80">
        <v>6496</v>
      </c>
      <c r="Q80" t="s">
        <v>200</v>
      </c>
    </row>
    <row r="81" spans="1:17" x14ac:dyDescent="0.2">
      <c r="A81" s="3">
        <v>45960</v>
      </c>
      <c r="B81" s="3">
        <f t="shared" si="1"/>
        <v>45931</v>
      </c>
      <c r="C81" s="8">
        <v>0.66666666666666663</v>
      </c>
      <c r="D81" t="s">
        <v>209</v>
      </c>
      <c r="E81" t="s">
        <v>204</v>
      </c>
      <c r="F81">
        <v>14</v>
      </c>
      <c r="G81" t="s">
        <v>324</v>
      </c>
      <c r="I81" t="s">
        <v>275</v>
      </c>
      <c r="K81" t="s">
        <v>329</v>
      </c>
      <c r="L81">
        <v>10</v>
      </c>
      <c r="Q81" t="s">
        <v>200</v>
      </c>
    </row>
    <row r="82" spans="1:17" x14ac:dyDescent="0.2">
      <c r="A82" s="3">
        <v>45966</v>
      </c>
      <c r="B82" s="3">
        <f t="shared" si="1"/>
        <v>45962</v>
      </c>
      <c r="C82" s="8">
        <v>0.58333333333333337</v>
      </c>
      <c r="D82" t="s">
        <v>229</v>
      </c>
      <c r="E82" t="s">
        <v>204</v>
      </c>
      <c r="F82">
        <v>16</v>
      </c>
      <c r="G82" t="s">
        <v>101</v>
      </c>
      <c r="I82" t="s">
        <v>207</v>
      </c>
      <c r="L82">
        <v>10</v>
      </c>
      <c r="M82" t="s">
        <v>328</v>
      </c>
      <c r="Q82" t="s">
        <v>200</v>
      </c>
    </row>
    <row r="83" spans="1:17" ht="221" x14ac:dyDescent="0.2">
      <c r="A83" s="3">
        <v>45968</v>
      </c>
      <c r="B83" s="3">
        <f t="shared" si="1"/>
        <v>45962</v>
      </c>
      <c r="C83" s="8">
        <v>0.5</v>
      </c>
      <c r="D83" t="s">
        <v>220</v>
      </c>
      <c r="E83" t="s">
        <v>204</v>
      </c>
      <c r="F83">
        <v>15</v>
      </c>
      <c r="G83" t="s">
        <v>324</v>
      </c>
      <c r="I83" t="s">
        <v>202</v>
      </c>
      <c r="L83">
        <v>9</v>
      </c>
      <c r="M83" s="9" t="s">
        <v>327</v>
      </c>
      <c r="Q83" t="s">
        <v>200</v>
      </c>
    </row>
    <row r="84" spans="1:17" ht="136" x14ac:dyDescent="0.2">
      <c r="A84" s="3">
        <v>45968</v>
      </c>
      <c r="B84" s="3">
        <f t="shared" si="1"/>
        <v>45962</v>
      </c>
      <c r="C84" s="8">
        <v>0.58333333333333337</v>
      </c>
      <c r="D84" t="s">
        <v>213</v>
      </c>
      <c r="E84" t="s">
        <v>204</v>
      </c>
      <c r="F84">
        <v>11</v>
      </c>
      <c r="G84" t="s">
        <v>101</v>
      </c>
      <c r="I84" t="s">
        <v>247</v>
      </c>
      <c r="L84">
        <v>10</v>
      </c>
      <c r="M84" s="9" t="s">
        <v>326</v>
      </c>
      <c r="N84">
        <v>6653</v>
      </c>
      <c r="Q84" t="s">
        <v>200</v>
      </c>
    </row>
    <row r="85" spans="1:17" x14ac:dyDescent="0.2">
      <c r="A85" s="3">
        <v>45973</v>
      </c>
      <c r="B85" s="3">
        <f t="shared" si="1"/>
        <v>45962</v>
      </c>
      <c r="C85" s="8">
        <v>0.45833333333333331</v>
      </c>
      <c r="D85" t="s">
        <v>217</v>
      </c>
      <c r="E85" t="s">
        <v>204</v>
      </c>
      <c r="F85">
        <v>16</v>
      </c>
      <c r="G85" t="s">
        <v>101</v>
      </c>
      <c r="I85" t="s">
        <v>247</v>
      </c>
      <c r="L85">
        <v>10</v>
      </c>
      <c r="M85" t="s">
        <v>325</v>
      </c>
      <c r="N85">
        <v>6743</v>
      </c>
      <c r="Q85" t="s">
        <v>200</v>
      </c>
    </row>
    <row r="86" spans="1:17" x14ac:dyDescent="0.2">
      <c r="A86" s="3">
        <v>45974</v>
      </c>
      <c r="B86" s="3">
        <f t="shared" si="1"/>
        <v>45962</v>
      </c>
      <c r="C86" s="8">
        <v>0.41666666666666669</v>
      </c>
      <c r="D86" t="s">
        <v>237</v>
      </c>
      <c r="E86" t="s">
        <v>204</v>
      </c>
      <c r="F86">
        <v>13</v>
      </c>
      <c r="G86" t="s">
        <v>324</v>
      </c>
      <c r="I86" t="s">
        <v>275</v>
      </c>
      <c r="L86" t="s">
        <v>211</v>
      </c>
      <c r="Q86" t="s">
        <v>200</v>
      </c>
    </row>
    <row r="87" spans="1:17" ht="409.6" x14ac:dyDescent="0.2">
      <c r="A87" s="3">
        <v>45974</v>
      </c>
      <c r="B87" s="3">
        <f t="shared" si="1"/>
        <v>45962</v>
      </c>
      <c r="C87" s="8">
        <v>0.45833333333333331</v>
      </c>
      <c r="D87" t="s">
        <v>294</v>
      </c>
      <c r="E87" t="s">
        <v>204</v>
      </c>
      <c r="F87">
        <v>11</v>
      </c>
      <c r="G87" t="s">
        <v>323</v>
      </c>
      <c r="I87" t="s">
        <v>239</v>
      </c>
      <c r="L87" t="s">
        <v>211</v>
      </c>
      <c r="M87" s="9" t="s">
        <v>322</v>
      </c>
      <c r="Q87" t="s">
        <v>200</v>
      </c>
    </row>
    <row r="88" spans="1:17" x14ac:dyDescent="0.2">
      <c r="A88" s="3">
        <v>45980</v>
      </c>
      <c r="B88" s="3">
        <f t="shared" si="1"/>
        <v>45962</v>
      </c>
      <c r="C88" s="8">
        <v>0.52083333333333337</v>
      </c>
      <c r="D88" t="s">
        <v>255</v>
      </c>
      <c r="E88" t="s">
        <v>204</v>
      </c>
      <c r="F88">
        <v>16</v>
      </c>
      <c r="G88" t="s">
        <v>253</v>
      </c>
      <c r="I88" t="s">
        <v>207</v>
      </c>
      <c r="L88">
        <v>9</v>
      </c>
      <c r="M88" t="s">
        <v>321</v>
      </c>
      <c r="N88">
        <v>6828</v>
      </c>
      <c r="Q88" t="s">
        <v>200</v>
      </c>
    </row>
    <row r="89" spans="1:17" x14ac:dyDescent="0.2">
      <c r="A89" s="3">
        <v>45980</v>
      </c>
      <c r="B89" s="3">
        <f t="shared" si="1"/>
        <v>45962</v>
      </c>
      <c r="C89" s="8">
        <v>0.58333333333333337</v>
      </c>
      <c r="D89" t="s">
        <v>209</v>
      </c>
      <c r="E89" t="s">
        <v>204</v>
      </c>
      <c r="F89">
        <v>14</v>
      </c>
      <c r="G89" t="s">
        <v>101</v>
      </c>
      <c r="I89" t="s">
        <v>202</v>
      </c>
      <c r="L89">
        <v>9</v>
      </c>
      <c r="M89" t="s">
        <v>320</v>
      </c>
      <c r="N89">
        <v>6832</v>
      </c>
      <c r="Q89" t="s">
        <v>200</v>
      </c>
    </row>
    <row r="90" spans="1:17" x14ac:dyDescent="0.2">
      <c r="A90" s="3">
        <v>45980</v>
      </c>
      <c r="B90" s="3">
        <f t="shared" si="1"/>
        <v>45962</v>
      </c>
      <c r="C90" s="8">
        <v>0.625</v>
      </c>
      <c r="D90" t="s">
        <v>229</v>
      </c>
      <c r="E90" t="s">
        <v>204</v>
      </c>
      <c r="F90">
        <v>16</v>
      </c>
      <c r="G90" t="s">
        <v>115</v>
      </c>
      <c r="I90" t="s">
        <v>247</v>
      </c>
      <c r="L90">
        <v>10</v>
      </c>
      <c r="M90" t="s">
        <v>319</v>
      </c>
      <c r="N90">
        <v>6836</v>
      </c>
      <c r="Q90" t="s">
        <v>200</v>
      </c>
    </row>
    <row r="91" spans="1:17" x14ac:dyDescent="0.2">
      <c r="A91" s="3">
        <v>45981</v>
      </c>
      <c r="B91" s="3">
        <f t="shared" si="1"/>
        <v>45962</v>
      </c>
      <c r="C91" s="8">
        <v>0.5</v>
      </c>
      <c r="D91" t="s">
        <v>288</v>
      </c>
      <c r="E91" t="s">
        <v>204</v>
      </c>
      <c r="F91">
        <v>5</v>
      </c>
      <c r="G91" t="s">
        <v>310</v>
      </c>
      <c r="I91" t="s">
        <v>275</v>
      </c>
      <c r="L91" t="s">
        <v>211</v>
      </c>
      <c r="Q91" t="s">
        <v>200</v>
      </c>
    </row>
    <row r="92" spans="1:17" x14ac:dyDescent="0.2">
      <c r="A92" s="3">
        <v>45982</v>
      </c>
      <c r="B92" s="3">
        <f t="shared" si="1"/>
        <v>45962</v>
      </c>
      <c r="C92" s="8">
        <v>0.5</v>
      </c>
      <c r="D92" t="s">
        <v>220</v>
      </c>
      <c r="E92" t="s">
        <v>204</v>
      </c>
      <c r="F92">
        <v>15</v>
      </c>
      <c r="G92" t="s">
        <v>101</v>
      </c>
      <c r="I92" t="s">
        <v>202</v>
      </c>
      <c r="K92" t="s">
        <v>318</v>
      </c>
      <c r="L92" t="s">
        <v>211</v>
      </c>
      <c r="M92" t="s">
        <v>317</v>
      </c>
      <c r="N92">
        <v>6859</v>
      </c>
      <c r="Q92" t="s">
        <v>200</v>
      </c>
    </row>
    <row r="93" spans="1:17" x14ac:dyDescent="0.2">
      <c r="A93" s="3">
        <v>45985</v>
      </c>
      <c r="B93" s="3">
        <f t="shared" si="1"/>
        <v>45962</v>
      </c>
      <c r="C93" s="8">
        <v>0.625</v>
      </c>
      <c r="D93" t="s">
        <v>232</v>
      </c>
      <c r="E93" t="s">
        <v>204</v>
      </c>
      <c r="F93">
        <v>18</v>
      </c>
      <c r="G93" t="s">
        <v>152</v>
      </c>
      <c r="I93" t="s">
        <v>219</v>
      </c>
      <c r="L93">
        <v>9</v>
      </c>
      <c r="M93" t="s">
        <v>316</v>
      </c>
      <c r="N93">
        <v>6872</v>
      </c>
      <c r="Q93" t="s">
        <v>200</v>
      </c>
    </row>
    <row r="94" spans="1:17" x14ac:dyDescent="0.2">
      <c r="A94" s="3">
        <v>45987</v>
      </c>
      <c r="B94" s="3">
        <f t="shared" si="1"/>
        <v>45962</v>
      </c>
      <c r="C94" s="8">
        <v>0.45833333333333331</v>
      </c>
      <c r="D94" t="s">
        <v>217</v>
      </c>
      <c r="E94" t="s">
        <v>204</v>
      </c>
      <c r="F94">
        <v>16</v>
      </c>
      <c r="G94" t="s">
        <v>115</v>
      </c>
      <c r="I94" t="s">
        <v>239</v>
      </c>
      <c r="K94" t="s">
        <v>315</v>
      </c>
      <c r="L94">
        <v>10</v>
      </c>
      <c r="M94" t="s">
        <v>314</v>
      </c>
      <c r="N94">
        <v>6906</v>
      </c>
      <c r="Q94" t="s">
        <v>200</v>
      </c>
    </row>
    <row r="95" spans="1:17" x14ac:dyDescent="0.2">
      <c r="A95" s="3">
        <v>45988</v>
      </c>
      <c r="B95" s="3">
        <f t="shared" si="1"/>
        <v>45962</v>
      </c>
      <c r="C95" s="8">
        <v>0.45833333333333331</v>
      </c>
      <c r="D95" t="s">
        <v>294</v>
      </c>
      <c r="E95" t="s">
        <v>204</v>
      </c>
      <c r="F95">
        <v>11</v>
      </c>
      <c r="G95" t="s">
        <v>115</v>
      </c>
      <c r="I95" t="s">
        <v>239</v>
      </c>
      <c r="L95">
        <v>10</v>
      </c>
      <c r="M95" t="s">
        <v>313</v>
      </c>
      <c r="N95">
        <v>6937</v>
      </c>
      <c r="Q95" t="s">
        <v>200</v>
      </c>
    </row>
    <row r="96" spans="1:17" x14ac:dyDescent="0.2">
      <c r="A96" s="3">
        <v>45988</v>
      </c>
      <c r="B96" s="3">
        <f t="shared" si="1"/>
        <v>45962</v>
      </c>
      <c r="C96" s="8">
        <v>0.5</v>
      </c>
      <c r="D96" t="s">
        <v>288</v>
      </c>
      <c r="E96" t="s">
        <v>204</v>
      </c>
      <c r="F96">
        <v>5</v>
      </c>
      <c r="G96" t="s">
        <v>301</v>
      </c>
      <c r="I96" t="s">
        <v>207</v>
      </c>
      <c r="L96" t="s">
        <v>211</v>
      </c>
      <c r="M96" t="s">
        <v>312</v>
      </c>
      <c r="N96">
        <v>6940</v>
      </c>
      <c r="Q96" t="s">
        <v>200</v>
      </c>
    </row>
    <row r="97" spans="1:17" x14ac:dyDescent="0.2">
      <c r="A97" s="3">
        <v>45994</v>
      </c>
      <c r="B97" s="3">
        <f t="shared" si="1"/>
        <v>45992</v>
      </c>
      <c r="C97" s="8">
        <v>0.54166666666666663</v>
      </c>
      <c r="D97" t="s">
        <v>255</v>
      </c>
      <c r="E97" t="s">
        <v>204</v>
      </c>
      <c r="F97">
        <v>16</v>
      </c>
      <c r="G97" t="s">
        <v>152</v>
      </c>
      <c r="I97" t="s">
        <v>239</v>
      </c>
      <c r="L97">
        <v>10</v>
      </c>
      <c r="M97" t="s">
        <v>311</v>
      </c>
      <c r="N97">
        <v>7002</v>
      </c>
      <c r="Q97" t="s">
        <v>200</v>
      </c>
    </row>
    <row r="98" spans="1:17" x14ac:dyDescent="0.2">
      <c r="A98" s="3">
        <v>45995</v>
      </c>
      <c r="B98" s="3">
        <f t="shared" si="1"/>
        <v>45992</v>
      </c>
      <c r="C98" s="8">
        <v>0.54166666666666663</v>
      </c>
      <c r="D98" t="s">
        <v>205</v>
      </c>
      <c r="E98" t="s">
        <v>204</v>
      </c>
      <c r="F98">
        <v>9</v>
      </c>
      <c r="G98" t="s">
        <v>310</v>
      </c>
      <c r="I98" t="s">
        <v>275</v>
      </c>
      <c r="L98" t="s">
        <v>211</v>
      </c>
      <c r="Q98" t="s">
        <v>200</v>
      </c>
    </row>
    <row r="99" spans="1:17" x14ac:dyDescent="0.2">
      <c r="A99" s="3">
        <v>45996</v>
      </c>
      <c r="B99" s="3">
        <f t="shared" si="1"/>
        <v>45992</v>
      </c>
      <c r="C99" s="8">
        <v>0.5</v>
      </c>
      <c r="D99" t="s">
        <v>288</v>
      </c>
      <c r="E99" t="s">
        <v>204</v>
      </c>
      <c r="F99">
        <v>5</v>
      </c>
      <c r="G99" t="s">
        <v>279</v>
      </c>
      <c r="H99" t="s">
        <v>221</v>
      </c>
      <c r="I99" t="s">
        <v>275</v>
      </c>
      <c r="L99">
        <v>8</v>
      </c>
      <c r="Q99" t="s">
        <v>200</v>
      </c>
    </row>
    <row r="100" spans="1:17" x14ac:dyDescent="0.2">
      <c r="A100" s="3">
        <v>45996</v>
      </c>
      <c r="B100" s="3">
        <f t="shared" si="1"/>
        <v>45992</v>
      </c>
      <c r="C100" s="8">
        <v>0.5</v>
      </c>
      <c r="D100" t="s">
        <v>220</v>
      </c>
      <c r="E100" t="s">
        <v>204</v>
      </c>
      <c r="F100">
        <v>15</v>
      </c>
      <c r="G100" t="s">
        <v>115</v>
      </c>
      <c r="I100" t="s">
        <v>202</v>
      </c>
      <c r="K100" t="s">
        <v>309</v>
      </c>
      <c r="L100">
        <v>10</v>
      </c>
      <c r="M100" t="s">
        <v>308</v>
      </c>
      <c r="N100">
        <v>7032</v>
      </c>
      <c r="Q100" t="s">
        <v>200</v>
      </c>
    </row>
    <row r="101" spans="1:17" x14ac:dyDescent="0.2">
      <c r="A101" s="3">
        <v>45996</v>
      </c>
      <c r="B101" s="3">
        <f t="shared" si="1"/>
        <v>45992</v>
      </c>
      <c r="C101" s="8">
        <v>0.58333333333333337</v>
      </c>
      <c r="D101" t="s">
        <v>213</v>
      </c>
      <c r="E101" t="s">
        <v>204</v>
      </c>
      <c r="F101">
        <v>11</v>
      </c>
      <c r="G101" t="s">
        <v>115</v>
      </c>
      <c r="I101" t="s">
        <v>239</v>
      </c>
      <c r="K101" t="s">
        <v>307</v>
      </c>
      <c r="L101">
        <v>9</v>
      </c>
      <c r="M101" t="s">
        <v>306</v>
      </c>
      <c r="N101">
        <v>7037</v>
      </c>
      <c r="Q101" t="s">
        <v>200</v>
      </c>
    </row>
    <row r="102" spans="1:17" x14ac:dyDescent="0.2">
      <c r="A102" s="3">
        <v>46001</v>
      </c>
      <c r="B102" s="3">
        <f t="shared" si="1"/>
        <v>45992</v>
      </c>
      <c r="C102" s="8">
        <v>0.45833333333333331</v>
      </c>
      <c r="D102" t="s">
        <v>217</v>
      </c>
      <c r="E102" t="s">
        <v>204</v>
      </c>
      <c r="F102">
        <v>16</v>
      </c>
      <c r="G102" t="s">
        <v>203</v>
      </c>
      <c r="I102" t="s">
        <v>239</v>
      </c>
      <c r="L102" t="s">
        <v>211</v>
      </c>
      <c r="Q102" t="s">
        <v>200</v>
      </c>
    </row>
    <row r="103" spans="1:17" x14ac:dyDescent="0.2">
      <c r="A103" s="3">
        <v>46001</v>
      </c>
      <c r="B103" s="3">
        <f t="shared" si="1"/>
        <v>45992</v>
      </c>
      <c r="C103" s="8">
        <v>0.58333333333333337</v>
      </c>
      <c r="D103" t="s">
        <v>229</v>
      </c>
      <c r="E103" t="s">
        <v>204</v>
      </c>
      <c r="F103">
        <v>16</v>
      </c>
      <c r="G103" t="s">
        <v>149</v>
      </c>
      <c r="I103" t="s">
        <v>239</v>
      </c>
      <c r="K103" t="s">
        <v>305</v>
      </c>
      <c r="L103">
        <v>10</v>
      </c>
      <c r="M103" t="s">
        <v>304</v>
      </c>
      <c r="N103">
        <v>7082</v>
      </c>
      <c r="Q103" t="s">
        <v>200</v>
      </c>
    </row>
    <row r="104" spans="1:17" ht="136" x14ac:dyDescent="0.2">
      <c r="A104" s="3">
        <v>46002</v>
      </c>
      <c r="B104" s="3">
        <f t="shared" si="1"/>
        <v>45992</v>
      </c>
      <c r="C104" s="8">
        <v>0.5</v>
      </c>
      <c r="D104" t="s">
        <v>288</v>
      </c>
      <c r="E104" t="s">
        <v>204</v>
      </c>
      <c r="F104">
        <v>5</v>
      </c>
      <c r="G104" t="s">
        <v>279</v>
      </c>
      <c r="H104" t="s">
        <v>221</v>
      </c>
      <c r="I104" t="s">
        <v>239</v>
      </c>
      <c r="K104" s="9" t="s">
        <v>303</v>
      </c>
      <c r="L104">
        <v>9</v>
      </c>
      <c r="M104" t="s">
        <v>302</v>
      </c>
      <c r="N104">
        <v>7098</v>
      </c>
      <c r="Q104" t="s">
        <v>200</v>
      </c>
    </row>
    <row r="105" spans="1:17" x14ac:dyDescent="0.2">
      <c r="A105" s="3">
        <v>46002</v>
      </c>
      <c r="B105" s="3">
        <f t="shared" si="1"/>
        <v>45992</v>
      </c>
      <c r="C105" s="8">
        <v>0.54166666666666663</v>
      </c>
      <c r="D105" t="s">
        <v>205</v>
      </c>
      <c r="E105" t="s">
        <v>204</v>
      </c>
      <c r="F105">
        <v>9</v>
      </c>
      <c r="G105" t="s">
        <v>301</v>
      </c>
      <c r="I105" t="s">
        <v>207</v>
      </c>
      <c r="L105">
        <v>8</v>
      </c>
      <c r="M105" t="s">
        <v>300</v>
      </c>
      <c r="N105">
        <v>7103</v>
      </c>
      <c r="Q105" t="s">
        <v>200</v>
      </c>
    </row>
    <row r="106" spans="1:17" x14ac:dyDescent="0.2">
      <c r="A106" s="3">
        <v>46003</v>
      </c>
      <c r="B106" s="3">
        <f t="shared" si="1"/>
        <v>45992</v>
      </c>
      <c r="C106" s="8">
        <v>0.45833333333333331</v>
      </c>
      <c r="D106" t="s">
        <v>294</v>
      </c>
      <c r="E106" t="s">
        <v>204</v>
      </c>
      <c r="F106">
        <v>11</v>
      </c>
      <c r="G106" t="s">
        <v>253</v>
      </c>
      <c r="I106" t="s">
        <v>219</v>
      </c>
      <c r="L106">
        <v>9</v>
      </c>
      <c r="M106" t="s">
        <v>299</v>
      </c>
      <c r="N106">
        <v>7114</v>
      </c>
      <c r="Q106" t="s">
        <v>200</v>
      </c>
    </row>
    <row r="107" spans="1:17" x14ac:dyDescent="0.2">
      <c r="A107" s="3">
        <v>46007</v>
      </c>
      <c r="B107" s="3">
        <f t="shared" si="1"/>
        <v>45992</v>
      </c>
      <c r="C107" s="8">
        <v>0.45833333333333331</v>
      </c>
      <c r="D107" t="s">
        <v>232</v>
      </c>
      <c r="E107" t="s">
        <v>204</v>
      </c>
      <c r="F107">
        <v>18</v>
      </c>
      <c r="G107" t="s">
        <v>225</v>
      </c>
      <c r="I107" t="s">
        <v>202</v>
      </c>
      <c r="L107">
        <v>10</v>
      </c>
      <c r="M107" t="s">
        <v>298</v>
      </c>
      <c r="Q107" t="s">
        <v>200</v>
      </c>
    </row>
    <row r="108" spans="1:17" x14ac:dyDescent="0.2">
      <c r="A108" s="3">
        <v>46010</v>
      </c>
      <c r="B108" s="3">
        <f t="shared" si="1"/>
        <v>45992</v>
      </c>
      <c r="C108" s="8">
        <v>0.5</v>
      </c>
      <c r="D108" t="s">
        <v>220</v>
      </c>
      <c r="E108" t="s">
        <v>204</v>
      </c>
      <c r="F108">
        <v>15</v>
      </c>
      <c r="G108" t="s">
        <v>253</v>
      </c>
      <c r="I108" t="s">
        <v>239</v>
      </c>
      <c r="L108">
        <v>10</v>
      </c>
      <c r="M108" t="s">
        <v>297</v>
      </c>
      <c r="N108">
        <v>7208</v>
      </c>
      <c r="Q108" t="s">
        <v>200</v>
      </c>
    </row>
    <row r="109" spans="1:17" x14ac:dyDescent="0.2">
      <c r="A109" s="3">
        <v>46010</v>
      </c>
      <c r="B109" s="3">
        <f t="shared" si="1"/>
        <v>45992</v>
      </c>
      <c r="C109" s="8">
        <v>0.58333333333333337</v>
      </c>
      <c r="D109" t="s">
        <v>213</v>
      </c>
      <c r="E109" t="s">
        <v>204</v>
      </c>
      <c r="F109">
        <v>11</v>
      </c>
      <c r="G109" t="s">
        <v>152</v>
      </c>
      <c r="I109" t="s">
        <v>202</v>
      </c>
      <c r="K109" t="s">
        <v>296</v>
      </c>
      <c r="L109">
        <v>10</v>
      </c>
      <c r="M109" t="s">
        <v>295</v>
      </c>
      <c r="N109">
        <v>7211</v>
      </c>
      <c r="Q109" t="s">
        <v>200</v>
      </c>
    </row>
    <row r="110" spans="1:17" x14ac:dyDescent="0.2">
      <c r="A110" s="3">
        <v>46030</v>
      </c>
      <c r="B110" s="3">
        <f t="shared" si="1"/>
        <v>46023</v>
      </c>
      <c r="C110" s="8">
        <v>0.45833333333333331</v>
      </c>
      <c r="D110" t="s">
        <v>294</v>
      </c>
      <c r="E110" t="s">
        <v>204</v>
      </c>
      <c r="F110">
        <v>11</v>
      </c>
      <c r="G110" t="s">
        <v>152</v>
      </c>
      <c r="I110" t="s">
        <v>239</v>
      </c>
      <c r="L110">
        <v>10</v>
      </c>
      <c r="M110" t="s">
        <v>293</v>
      </c>
      <c r="N110">
        <v>7320</v>
      </c>
      <c r="Q110" t="s">
        <v>200</v>
      </c>
    </row>
    <row r="111" spans="1:17" x14ac:dyDescent="0.2">
      <c r="A111" s="3">
        <v>46030</v>
      </c>
      <c r="B111" s="3">
        <f t="shared" si="1"/>
        <v>46023</v>
      </c>
      <c r="C111" s="8">
        <v>0.625</v>
      </c>
      <c r="D111" t="s">
        <v>209</v>
      </c>
      <c r="E111" t="s">
        <v>204</v>
      </c>
      <c r="F111">
        <v>14</v>
      </c>
      <c r="G111" t="s">
        <v>115</v>
      </c>
      <c r="I111" t="s">
        <v>207</v>
      </c>
      <c r="K111" t="s">
        <v>292</v>
      </c>
      <c r="L111">
        <v>8</v>
      </c>
      <c r="M111" t="s">
        <v>291</v>
      </c>
      <c r="N111">
        <v>7327</v>
      </c>
      <c r="Q111" t="s">
        <v>200</v>
      </c>
    </row>
    <row r="112" spans="1:17" x14ac:dyDescent="0.2">
      <c r="A112" s="3">
        <v>46034</v>
      </c>
      <c r="B112" s="3">
        <f t="shared" si="1"/>
        <v>46023</v>
      </c>
      <c r="C112" s="8">
        <v>0.54166666666666663</v>
      </c>
      <c r="D112" t="s">
        <v>232</v>
      </c>
      <c r="E112" t="s">
        <v>204</v>
      </c>
      <c r="F112">
        <v>18</v>
      </c>
      <c r="G112" t="s">
        <v>149</v>
      </c>
      <c r="I112" t="s">
        <v>239</v>
      </c>
      <c r="L112">
        <v>10</v>
      </c>
      <c r="M112" t="s">
        <v>290</v>
      </c>
      <c r="N112">
        <v>7368</v>
      </c>
      <c r="Q112" t="s">
        <v>200</v>
      </c>
    </row>
    <row r="113" spans="1:22" x14ac:dyDescent="0.2">
      <c r="A113" s="3">
        <v>46036</v>
      </c>
      <c r="B113" s="3">
        <f t="shared" si="1"/>
        <v>46023</v>
      </c>
      <c r="C113" s="8">
        <v>0.45833333333333331</v>
      </c>
      <c r="D113" t="s">
        <v>217</v>
      </c>
      <c r="E113" t="s">
        <v>204</v>
      </c>
      <c r="F113">
        <v>16</v>
      </c>
      <c r="G113" t="s">
        <v>253</v>
      </c>
      <c r="I113" t="s">
        <v>239</v>
      </c>
      <c r="L113">
        <v>10</v>
      </c>
      <c r="M113" t="s">
        <v>289</v>
      </c>
      <c r="N113">
        <v>7402</v>
      </c>
      <c r="Q113" t="s">
        <v>200</v>
      </c>
    </row>
    <row r="114" spans="1:22" x14ac:dyDescent="0.2">
      <c r="A114" s="3">
        <v>46037</v>
      </c>
      <c r="B114" s="3">
        <f t="shared" si="1"/>
        <v>46023</v>
      </c>
      <c r="C114" s="8">
        <v>0.5</v>
      </c>
      <c r="D114" t="s">
        <v>288</v>
      </c>
      <c r="E114" t="s">
        <v>204</v>
      </c>
      <c r="F114">
        <v>5</v>
      </c>
      <c r="G114" t="s">
        <v>273</v>
      </c>
      <c r="I114" t="s">
        <v>239</v>
      </c>
      <c r="L114">
        <v>10</v>
      </c>
      <c r="M114" t="s">
        <v>287</v>
      </c>
      <c r="N114">
        <v>7427</v>
      </c>
      <c r="Q114" t="s">
        <v>200</v>
      </c>
    </row>
    <row r="115" spans="1:22" x14ac:dyDescent="0.2">
      <c r="A115" s="3">
        <v>46038</v>
      </c>
      <c r="B115" s="3">
        <f t="shared" si="1"/>
        <v>46023</v>
      </c>
      <c r="C115" s="8">
        <v>0.41666666666666669</v>
      </c>
      <c r="D115" t="s">
        <v>205</v>
      </c>
      <c r="E115" t="s">
        <v>204</v>
      </c>
      <c r="F115">
        <v>9</v>
      </c>
      <c r="G115" t="s">
        <v>279</v>
      </c>
      <c r="H115" t="s">
        <v>221</v>
      </c>
      <c r="I115" t="s">
        <v>275</v>
      </c>
      <c r="L115">
        <v>10</v>
      </c>
      <c r="Q115" t="s">
        <v>200</v>
      </c>
    </row>
    <row r="116" spans="1:22" x14ac:dyDescent="0.2">
      <c r="A116" s="3">
        <v>46038</v>
      </c>
      <c r="B116" s="3">
        <f t="shared" si="1"/>
        <v>46023</v>
      </c>
      <c r="C116" s="8">
        <v>0.5</v>
      </c>
      <c r="D116" t="s">
        <v>220</v>
      </c>
      <c r="E116" t="s">
        <v>204</v>
      </c>
      <c r="F116">
        <v>15</v>
      </c>
      <c r="G116" t="s">
        <v>152</v>
      </c>
      <c r="I116" t="s">
        <v>219</v>
      </c>
      <c r="L116">
        <v>10</v>
      </c>
      <c r="M116" t="s">
        <v>286</v>
      </c>
      <c r="N116">
        <v>7449</v>
      </c>
      <c r="Q116" t="s">
        <v>200</v>
      </c>
    </row>
    <row r="117" spans="1:22" x14ac:dyDescent="0.2">
      <c r="A117" s="3">
        <v>46038</v>
      </c>
      <c r="B117" s="3">
        <f t="shared" si="1"/>
        <v>46023</v>
      </c>
      <c r="C117" s="8">
        <v>0.54166666666666663</v>
      </c>
      <c r="D117" t="s">
        <v>229</v>
      </c>
      <c r="E117" t="s">
        <v>204</v>
      </c>
      <c r="F117">
        <v>16</v>
      </c>
      <c r="G117" t="s">
        <v>285</v>
      </c>
      <c r="I117" t="s">
        <v>202</v>
      </c>
      <c r="L117">
        <v>10</v>
      </c>
      <c r="M117" t="s">
        <v>284</v>
      </c>
      <c r="N117">
        <v>7450</v>
      </c>
      <c r="Q117" t="s">
        <v>200</v>
      </c>
    </row>
    <row r="118" spans="1:22" x14ac:dyDescent="0.2">
      <c r="A118" s="3">
        <v>46043</v>
      </c>
      <c r="B118" s="3">
        <f t="shared" si="1"/>
        <v>46023</v>
      </c>
      <c r="C118" s="8">
        <v>0.54166666666666663</v>
      </c>
      <c r="D118" t="s">
        <v>255</v>
      </c>
      <c r="E118" t="s">
        <v>204</v>
      </c>
      <c r="F118">
        <v>16</v>
      </c>
      <c r="G118" t="s">
        <v>266</v>
      </c>
      <c r="I118" t="s">
        <v>239</v>
      </c>
      <c r="K118" t="s">
        <v>283</v>
      </c>
      <c r="L118">
        <v>10</v>
      </c>
      <c r="N118">
        <v>7486</v>
      </c>
      <c r="Q118" t="s">
        <v>200</v>
      </c>
    </row>
    <row r="119" spans="1:22" x14ac:dyDescent="0.2">
      <c r="A119" s="3">
        <v>46044</v>
      </c>
      <c r="B119" s="3">
        <f t="shared" si="1"/>
        <v>46023</v>
      </c>
      <c r="C119" s="8">
        <v>0.41666666666666669</v>
      </c>
      <c r="D119" t="s">
        <v>237</v>
      </c>
      <c r="E119" t="s">
        <v>204</v>
      </c>
      <c r="F119">
        <v>13</v>
      </c>
      <c r="G119" t="s">
        <v>115</v>
      </c>
      <c r="I119" t="s">
        <v>202</v>
      </c>
      <c r="L119">
        <v>9</v>
      </c>
      <c r="M119" t="s">
        <v>282</v>
      </c>
      <c r="N119">
        <v>7497</v>
      </c>
      <c r="Q119" t="s">
        <v>200</v>
      </c>
    </row>
    <row r="120" spans="1:22" x14ac:dyDescent="0.2">
      <c r="A120" s="3">
        <v>46044</v>
      </c>
      <c r="B120" s="3">
        <f t="shared" si="1"/>
        <v>46023</v>
      </c>
      <c r="C120" s="8">
        <v>0.58333333333333337</v>
      </c>
      <c r="D120" t="s">
        <v>209</v>
      </c>
      <c r="E120" t="s">
        <v>204</v>
      </c>
      <c r="F120">
        <v>14</v>
      </c>
      <c r="G120" t="s">
        <v>203</v>
      </c>
      <c r="I120" t="s">
        <v>202</v>
      </c>
      <c r="K120" t="s">
        <v>281</v>
      </c>
      <c r="L120">
        <v>10</v>
      </c>
      <c r="Q120" t="s">
        <v>200</v>
      </c>
      <c r="V120" t="s">
        <v>280</v>
      </c>
    </row>
    <row r="121" spans="1:22" x14ac:dyDescent="0.2">
      <c r="A121" s="3">
        <v>46045</v>
      </c>
      <c r="B121" s="3">
        <f t="shared" si="1"/>
        <v>46023</v>
      </c>
      <c r="C121" s="8">
        <v>0.41666666666666669</v>
      </c>
      <c r="D121" t="s">
        <v>205</v>
      </c>
      <c r="E121" t="s">
        <v>204</v>
      </c>
      <c r="F121">
        <v>9</v>
      </c>
      <c r="G121" t="s">
        <v>279</v>
      </c>
      <c r="H121" t="s">
        <v>221</v>
      </c>
      <c r="I121" t="s">
        <v>275</v>
      </c>
      <c r="L121">
        <v>10</v>
      </c>
      <c r="M121" t="s">
        <v>278</v>
      </c>
      <c r="N121">
        <v>7514</v>
      </c>
      <c r="Q121" t="s">
        <v>200</v>
      </c>
    </row>
    <row r="122" spans="1:22" x14ac:dyDescent="0.2">
      <c r="A122" s="3">
        <v>46050</v>
      </c>
      <c r="B122" s="3">
        <f t="shared" si="1"/>
        <v>46023</v>
      </c>
      <c r="C122" s="8">
        <v>0.45833333333333331</v>
      </c>
      <c r="D122" t="s">
        <v>217</v>
      </c>
      <c r="E122" t="s">
        <v>204</v>
      </c>
      <c r="F122">
        <v>16</v>
      </c>
      <c r="G122" t="s">
        <v>152</v>
      </c>
      <c r="I122" t="s">
        <v>202</v>
      </c>
      <c r="L122">
        <v>9</v>
      </c>
      <c r="M122" t="s">
        <v>277</v>
      </c>
      <c r="N122">
        <v>7543</v>
      </c>
      <c r="Q122" t="s">
        <v>200</v>
      </c>
    </row>
    <row r="123" spans="1:22" x14ac:dyDescent="0.2">
      <c r="A123" s="3">
        <v>46050</v>
      </c>
      <c r="B123" s="3">
        <f t="shared" si="1"/>
        <v>46023</v>
      </c>
      <c r="C123" s="8">
        <v>0.58333333333333337</v>
      </c>
      <c r="D123" t="s">
        <v>229</v>
      </c>
      <c r="E123" t="s">
        <v>204</v>
      </c>
      <c r="F123">
        <v>16</v>
      </c>
      <c r="G123" t="s">
        <v>276</v>
      </c>
      <c r="I123" t="s">
        <v>275</v>
      </c>
      <c r="K123" t="s">
        <v>274</v>
      </c>
      <c r="L123" t="s">
        <v>211</v>
      </c>
      <c r="Q123" t="s">
        <v>200</v>
      </c>
    </row>
    <row r="124" spans="1:22" x14ac:dyDescent="0.2">
      <c r="A124" s="3">
        <v>46051</v>
      </c>
      <c r="B124" s="3">
        <f t="shared" si="1"/>
        <v>46023</v>
      </c>
      <c r="C124" s="8">
        <v>0.41666666666666669</v>
      </c>
      <c r="D124" t="s">
        <v>205</v>
      </c>
      <c r="E124" t="s">
        <v>204</v>
      </c>
      <c r="F124">
        <v>9</v>
      </c>
      <c r="G124" t="s">
        <v>273</v>
      </c>
      <c r="I124" t="s">
        <v>239</v>
      </c>
      <c r="L124">
        <v>10</v>
      </c>
      <c r="M124" t="s">
        <v>272</v>
      </c>
      <c r="N124">
        <v>7553</v>
      </c>
      <c r="Q124" t="s">
        <v>200</v>
      </c>
    </row>
    <row r="125" spans="1:22" x14ac:dyDescent="0.2">
      <c r="A125" s="3">
        <v>46052</v>
      </c>
      <c r="B125" s="3">
        <f t="shared" si="1"/>
        <v>46023</v>
      </c>
      <c r="C125" s="8">
        <v>0.5</v>
      </c>
      <c r="D125" t="s">
        <v>220</v>
      </c>
      <c r="E125" t="s">
        <v>204</v>
      </c>
      <c r="F125">
        <v>15</v>
      </c>
      <c r="G125" t="s">
        <v>225</v>
      </c>
      <c r="I125" t="s">
        <v>219</v>
      </c>
      <c r="K125" t="s">
        <v>241</v>
      </c>
      <c r="L125">
        <v>9</v>
      </c>
      <c r="M125" t="s">
        <v>271</v>
      </c>
      <c r="Q125" t="s">
        <v>200</v>
      </c>
    </row>
    <row r="126" spans="1:22" x14ac:dyDescent="0.2">
      <c r="A126" s="3">
        <v>46057</v>
      </c>
      <c r="B126" s="3">
        <f t="shared" si="1"/>
        <v>46054</v>
      </c>
      <c r="C126" s="8">
        <v>0.54166666666666663</v>
      </c>
      <c r="D126" t="s">
        <v>255</v>
      </c>
      <c r="E126" t="s">
        <v>204</v>
      </c>
      <c r="F126">
        <v>16</v>
      </c>
      <c r="G126" t="s">
        <v>248</v>
      </c>
      <c r="I126" t="s">
        <v>202</v>
      </c>
      <c r="L126">
        <v>8</v>
      </c>
      <c r="Q126" t="s">
        <v>200</v>
      </c>
      <c r="S126" t="s">
        <v>270</v>
      </c>
      <c r="T126" t="s">
        <v>221</v>
      </c>
    </row>
    <row r="127" spans="1:22" x14ac:dyDescent="0.2">
      <c r="A127" s="3">
        <v>46057</v>
      </c>
      <c r="B127" s="3">
        <f t="shared" si="1"/>
        <v>46054</v>
      </c>
      <c r="C127" s="8">
        <v>0.54166666666666663</v>
      </c>
      <c r="D127" t="s">
        <v>232</v>
      </c>
      <c r="E127" t="s">
        <v>204</v>
      </c>
      <c r="F127">
        <v>18</v>
      </c>
      <c r="G127" t="s">
        <v>203</v>
      </c>
      <c r="I127" t="s">
        <v>207</v>
      </c>
      <c r="L127" t="s">
        <v>211</v>
      </c>
      <c r="M127" t="s">
        <v>269</v>
      </c>
      <c r="Q127" t="s">
        <v>200</v>
      </c>
    </row>
    <row r="128" spans="1:22" x14ac:dyDescent="0.2">
      <c r="A128" s="3">
        <v>46058</v>
      </c>
      <c r="B128" s="3">
        <f t="shared" si="1"/>
        <v>46054</v>
      </c>
      <c r="C128" s="8">
        <v>0.41666666666666669</v>
      </c>
      <c r="D128" t="s">
        <v>237</v>
      </c>
      <c r="E128" t="s">
        <v>204</v>
      </c>
      <c r="F128">
        <v>13</v>
      </c>
      <c r="G128" t="s">
        <v>152</v>
      </c>
      <c r="I128" t="s">
        <v>202</v>
      </c>
      <c r="L128">
        <v>9</v>
      </c>
      <c r="M128" t="s">
        <v>268</v>
      </c>
      <c r="N128">
        <v>7631</v>
      </c>
      <c r="Q128" t="s">
        <v>200</v>
      </c>
    </row>
    <row r="129" spans="1:17" x14ac:dyDescent="0.2">
      <c r="A129" s="3">
        <v>46059</v>
      </c>
      <c r="B129" s="3">
        <f t="shared" si="1"/>
        <v>46054</v>
      </c>
      <c r="C129" s="8">
        <v>0.41666666666666669</v>
      </c>
      <c r="D129" t="s">
        <v>205</v>
      </c>
      <c r="E129" t="s">
        <v>204</v>
      </c>
      <c r="F129">
        <v>9</v>
      </c>
      <c r="G129" t="s">
        <v>84</v>
      </c>
      <c r="I129" t="s">
        <v>247</v>
      </c>
      <c r="L129">
        <v>9</v>
      </c>
      <c r="M129" t="s">
        <v>267</v>
      </c>
      <c r="N129">
        <v>7645</v>
      </c>
      <c r="Q129" t="s">
        <v>200</v>
      </c>
    </row>
    <row r="130" spans="1:17" ht="153" x14ac:dyDescent="0.2">
      <c r="A130" s="3">
        <v>46065</v>
      </c>
      <c r="B130" s="3">
        <f t="shared" si="1"/>
        <v>46054</v>
      </c>
      <c r="C130" s="8">
        <v>0.58333333333333337</v>
      </c>
      <c r="D130" t="s">
        <v>229</v>
      </c>
      <c r="E130" t="s">
        <v>204</v>
      </c>
      <c r="F130">
        <v>16</v>
      </c>
      <c r="G130" t="s">
        <v>266</v>
      </c>
      <c r="I130" t="s">
        <v>247</v>
      </c>
      <c r="K130" t="s">
        <v>265</v>
      </c>
      <c r="L130">
        <v>10</v>
      </c>
      <c r="M130" s="9" t="s">
        <v>264</v>
      </c>
      <c r="N130">
        <v>7702</v>
      </c>
      <c r="Q130" t="s">
        <v>200</v>
      </c>
    </row>
    <row r="131" spans="1:17" x14ac:dyDescent="0.2">
      <c r="A131" s="3">
        <v>46066</v>
      </c>
      <c r="B131" s="3">
        <f t="shared" ref="B131:B155" si="2">DATE(YEAR(A131), MONTH(A131), 1)</f>
        <v>46054</v>
      </c>
      <c r="C131" s="8">
        <v>0.41666666666666669</v>
      </c>
      <c r="D131" t="s">
        <v>205</v>
      </c>
      <c r="E131" t="s">
        <v>204</v>
      </c>
      <c r="F131">
        <v>9</v>
      </c>
      <c r="G131" t="s">
        <v>263</v>
      </c>
      <c r="H131" t="s">
        <v>221</v>
      </c>
      <c r="I131" t="s">
        <v>239</v>
      </c>
      <c r="K131" t="s">
        <v>262</v>
      </c>
      <c r="L131">
        <v>10</v>
      </c>
      <c r="M131" t="s">
        <v>261</v>
      </c>
      <c r="N131">
        <v>7718</v>
      </c>
      <c r="Q131" t="s">
        <v>200</v>
      </c>
    </row>
    <row r="132" spans="1:17" x14ac:dyDescent="0.2">
      <c r="A132" s="3">
        <v>46066</v>
      </c>
      <c r="B132" s="3">
        <f t="shared" si="2"/>
        <v>46054</v>
      </c>
      <c r="C132" s="8">
        <v>0.5</v>
      </c>
      <c r="D132" t="s">
        <v>220</v>
      </c>
      <c r="E132" t="s">
        <v>204</v>
      </c>
      <c r="F132">
        <v>15</v>
      </c>
      <c r="G132" t="s">
        <v>208</v>
      </c>
      <c r="I132" t="s">
        <v>202</v>
      </c>
      <c r="K132" t="s">
        <v>260</v>
      </c>
      <c r="L132">
        <v>10</v>
      </c>
      <c r="M132" t="s">
        <v>259</v>
      </c>
      <c r="N132">
        <v>7721</v>
      </c>
      <c r="Q132" t="s">
        <v>200</v>
      </c>
    </row>
    <row r="133" spans="1:17" x14ac:dyDescent="0.2">
      <c r="A133" s="3">
        <v>46066</v>
      </c>
      <c r="B133" s="3">
        <f t="shared" si="2"/>
        <v>46054</v>
      </c>
      <c r="C133" s="8">
        <v>0.58333333333333337</v>
      </c>
      <c r="D133" t="s">
        <v>209</v>
      </c>
      <c r="E133" t="s">
        <v>204</v>
      </c>
      <c r="F133">
        <v>14</v>
      </c>
      <c r="G133" t="s">
        <v>253</v>
      </c>
      <c r="I133" t="s">
        <v>219</v>
      </c>
      <c r="L133">
        <v>8</v>
      </c>
      <c r="M133" t="s">
        <v>258</v>
      </c>
      <c r="N133">
        <v>7722</v>
      </c>
      <c r="Q133" t="s">
        <v>200</v>
      </c>
    </row>
    <row r="134" spans="1:17" x14ac:dyDescent="0.2">
      <c r="A134" s="3">
        <v>46071</v>
      </c>
      <c r="B134" s="3">
        <f t="shared" si="2"/>
        <v>46054</v>
      </c>
      <c r="C134" s="8">
        <v>0.45833333333333331</v>
      </c>
      <c r="D134" t="s">
        <v>217</v>
      </c>
      <c r="E134" t="s">
        <v>204</v>
      </c>
      <c r="F134">
        <v>16</v>
      </c>
      <c r="G134" t="s">
        <v>225</v>
      </c>
      <c r="I134" t="s">
        <v>202</v>
      </c>
      <c r="L134">
        <v>10</v>
      </c>
      <c r="M134" t="s">
        <v>257</v>
      </c>
      <c r="Q134" t="s">
        <v>200</v>
      </c>
    </row>
    <row r="135" spans="1:17" x14ac:dyDescent="0.2">
      <c r="A135" s="3">
        <v>46072</v>
      </c>
      <c r="B135" s="3">
        <f t="shared" si="2"/>
        <v>46054</v>
      </c>
      <c r="C135" s="8">
        <v>0.41666666666666669</v>
      </c>
      <c r="D135" t="s">
        <v>237</v>
      </c>
      <c r="E135" t="s">
        <v>204</v>
      </c>
      <c r="F135">
        <v>13</v>
      </c>
      <c r="G135" t="s">
        <v>225</v>
      </c>
      <c r="I135" t="s">
        <v>202</v>
      </c>
      <c r="L135">
        <v>10</v>
      </c>
      <c r="M135" t="s">
        <v>256</v>
      </c>
      <c r="Q135" t="s">
        <v>200</v>
      </c>
    </row>
    <row r="136" spans="1:17" x14ac:dyDescent="0.2">
      <c r="A136" s="3">
        <v>46072</v>
      </c>
      <c r="B136" s="3">
        <f t="shared" si="2"/>
        <v>46054</v>
      </c>
      <c r="C136" s="8">
        <v>0.58333333333333337</v>
      </c>
      <c r="D136" t="s">
        <v>255</v>
      </c>
      <c r="E136" t="s">
        <v>204</v>
      </c>
      <c r="F136">
        <v>16</v>
      </c>
      <c r="G136" t="s">
        <v>208</v>
      </c>
      <c r="I136" t="s">
        <v>207</v>
      </c>
      <c r="L136">
        <v>8</v>
      </c>
      <c r="M136" t="s">
        <v>254</v>
      </c>
      <c r="N136">
        <v>7774</v>
      </c>
      <c r="Q136" t="s">
        <v>200</v>
      </c>
    </row>
    <row r="137" spans="1:17" x14ac:dyDescent="0.2">
      <c r="A137" s="3">
        <v>46073</v>
      </c>
      <c r="B137" s="3">
        <f t="shared" si="2"/>
        <v>46054</v>
      </c>
      <c r="C137" s="8">
        <v>0.58333333333333337</v>
      </c>
      <c r="D137" t="s">
        <v>213</v>
      </c>
      <c r="E137" t="s">
        <v>204</v>
      </c>
      <c r="F137">
        <v>11</v>
      </c>
      <c r="G137" t="s">
        <v>253</v>
      </c>
      <c r="I137" t="s">
        <v>219</v>
      </c>
      <c r="L137">
        <v>10</v>
      </c>
      <c r="M137" t="s">
        <v>252</v>
      </c>
      <c r="N137">
        <v>7786</v>
      </c>
      <c r="Q137" t="s">
        <v>200</v>
      </c>
    </row>
    <row r="138" spans="1:17" ht="170" x14ac:dyDescent="0.2">
      <c r="A138" s="3">
        <v>46076</v>
      </c>
      <c r="B138" s="3">
        <f t="shared" si="2"/>
        <v>46054</v>
      </c>
      <c r="C138" s="8">
        <v>0.54166666666666663</v>
      </c>
      <c r="D138" t="s">
        <v>232</v>
      </c>
      <c r="E138" t="s">
        <v>204</v>
      </c>
      <c r="F138">
        <v>18</v>
      </c>
      <c r="G138" t="s">
        <v>208</v>
      </c>
      <c r="I138" t="s">
        <v>219</v>
      </c>
      <c r="L138">
        <v>10</v>
      </c>
      <c r="M138" s="9" t="s">
        <v>251</v>
      </c>
      <c r="N138">
        <v>7796</v>
      </c>
      <c r="Q138" t="s">
        <v>200</v>
      </c>
    </row>
    <row r="139" spans="1:17" x14ac:dyDescent="0.2">
      <c r="A139" s="3">
        <v>46079</v>
      </c>
      <c r="B139" s="3">
        <f t="shared" si="2"/>
        <v>46054</v>
      </c>
      <c r="C139" s="8">
        <v>0.58333333333333337</v>
      </c>
      <c r="D139" t="s">
        <v>209</v>
      </c>
      <c r="E139" t="s">
        <v>204</v>
      </c>
      <c r="F139">
        <v>14</v>
      </c>
      <c r="G139" t="s">
        <v>152</v>
      </c>
      <c r="I139" t="s">
        <v>202</v>
      </c>
      <c r="K139" t="s">
        <v>250</v>
      </c>
      <c r="L139">
        <v>9</v>
      </c>
      <c r="M139" t="s">
        <v>249</v>
      </c>
      <c r="N139">
        <v>7826</v>
      </c>
      <c r="Q139" t="s">
        <v>200</v>
      </c>
    </row>
    <row r="140" spans="1:17" x14ac:dyDescent="0.2">
      <c r="A140" s="3">
        <v>46079</v>
      </c>
      <c r="B140" s="3">
        <f t="shared" si="2"/>
        <v>46054</v>
      </c>
      <c r="C140" s="8">
        <v>0.58333333333333337</v>
      </c>
      <c r="D140" t="s">
        <v>229</v>
      </c>
      <c r="E140" t="s">
        <v>204</v>
      </c>
      <c r="F140">
        <v>16</v>
      </c>
      <c r="G140" t="s">
        <v>248</v>
      </c>
      <c r="I140" t="s">
        <v>247</v>
      </c>
      <c r="L140">
        <v>10</v>
      </c>
      <c r="M140" t="s">
        <v>246</v>
      </c>
      <c r="Q140" t="s">
        <v>200</v>
      </c>
    </row>
    <row r="141" spans="1:17" x14ac:dyDescent="0.2">
      <c r="A141" s="3">
        <v>46080</v>
      </c>
      <c r="B141" s="3">
        <f t="shared" si="2"/>
        <v>46054</v>
      </c>
      <c r="C141" s="8">
        <v>0.41666666666666669</v>
      </c>
      <c r="D141" t="s">
        <v>205</v>
      </c>
      <c r="E141" t="s">
        <v>204</v>
      </c>
      <c r="F141">
        <v>9</v>
      </c>
      <c r="G141" t="s">
        <v>101</v>
      </c>
      <c r="I141" t="s">
        <v>202</v>
      </c>
      <c r="K141" t="s">
        <v>245</v>
      </c>
      <c r="L141">
        <v>9</v>
      </c>
      <c r="M141" t="s">
        <v>244</v>
      </c>
      <c r="N141">
        <v>7839</v>
      </c>
      <c r="Q141" t="s">
        <v>200</v>
      </c>
    </row>
    <row r="142" spans="1:17" x14ac:dyDescent="0.2">
      <c r="A142" s="3">
        <v>46085</v>
      </c>
      <c r="B142" s="3">
        <f t="shared" si="2"/>
        <v>46082</v>
      </c>
      <c r="C142" s="8">
        <v>0.45833333333333331</v>
      </c>
      <c r="D142" t="s">
        <v>217</v>
      </c>
      <c r="E142" t="s">
        <v>204</v>
      </c>
      <c r="F142">
        <v>16</v>
      </c>
      <c r="G142" t="s">
        <v>208</v>
      </c>
      <c r="I142" t="s">
        <v>239</v>
      </c>
      <c r="L142">
        <v>9</v>
      </c>
      <c r="M142" t="s">
        <v>243</v>
      </c>
      <c r="N142">
        <v>7881</v>
      </c>
      <c r="Q142" t="s">
        <v>200</v>
      </c>
    </row>
    <row r="143" spans="1:17" x14ac:dyDescent="0.2">
      <c r="A143" s="3">
        <v>46093</v>
      </c>
      <c r="B143" s="3">
        <f t="shared" si="2"/>
        <v>46082</v>
      </c>
      <c r="C143" s="8">
        <v>0.45833333333333331</v>
      </c>
      <c r="D143" t="s">
        <v>232</v>
      </c>
      <c r="E143" t="s">
        <v>204</v>
      </c>
      <c r="F143">
        <v>18</v>
      </c>
      <c r="G143" t="s">
        <v>240</v>
      </c>
      <c r="I143" t="s">
        <v>239</v>
      </c>
      <c r="L143">
        <v>10</v>
      </c>
      <c r="M143" t="s">
        <v>242</v>
      </c>
      <c r="N143">
        <v>7975</v>
      </c>
      <c r="Q143" t="s">
        <v>200</v>
      </c>
    </row>
    <row r="144" spans="1:17" x14ac:dyDescent="0.2">
      <c r="A144" s="3">
        <v>46097</v>
      </c>
      <c r="B144" s="3">
        <f t="shared" si="2"/>
        <v>46082</v>
      </c>
      <c r="C144" s="8">
        <v>0.5</v>
      </c>
      <c r="D144" t="s">
        <v>220</v>
      </c>
      <c r="E144" t="s">
        <v>204</v>
      </c>
      <c r="F144">
        <v>15</v>
      </c>
      <c r="G144" t="s">
        <v>240</v>
      </c>
      <c r="I144" t="s">
        <v>207</v>
      </c>
      <c r="K144" t="s">
        <v>241</v>
      </c>
      <c r="L144">
        <v>10</v>
      </c>
      <c r="Q144" t="s">
        <v>200</v>
      </c>
    </row>
    <row r="145" spans="1:20" x14ac:dyDescent="0.2">
      <c r="A145" s="3">
        <v>46099</v>
      </c>
      <c r="B145" s="3">
        <f t="shared" si="2"/>
        <v>46082</v>
      </c>
      <c r="C145" s="8">
        <v>0.45833333333333331</v>
      </c>
      <c r="D145" t="s">
        <v>217</v>
      </c>
      <c r="E145" t="s">
        <v>204</v>
      </c>
      <c r="F145">
        <v>16</v>
      </c>
      <c r="G145" t="s">
        <v>240</v>
      </c>
      <c r="I145" t="s">
        <v>239</v>
      </c>
      <c r="L145">
        <v>9</v>
      </c>
      <c r="M145" t="s">
        <v>238</v>
      </c>
      <c r="N145">
        <v>8069</v>
      </c>
      <c r="Q145" t="s">
        <v>200</v>
      </c>
    </row>
    <row r="146" spans="1:20" x14ac:dyDescent="0.2">
      <c r="A146" s="3">
        <v>46100</v>
      </c>
      <c r="B146" s="3">
        <f t="shared" si="2"/>
        <v>46082</v>
      </c>
      <c r="C146" s="8">
        <v>0.41666666666666669</v>
      </c>
      <c r="D146" t="s">
        <v>237</v>
      </c>
      <c r="E146" t="s">
        <v>204</v>
      </c>
      <c r="F146">
        <v>13</v>
      </c>
      <c r="G146" t="s">
        <v>149</v>
      </c>
      <c r="I146" t="s">
        <v>202</v>
      </c>
      <c r="K146" t="s">
        <v>236</v>
      </c>
      <c r="L146">
        <v>9</v>
      </c>
      <c r="M146" t="s">
        <v>235</v>
      </c>
      <c r="N146">
        <v>8083</v>
      </c>
      <c r="O146" t="s">
        <v>234</v>
      </c>
      <c r="Q146" t="s">
        <v>200</v>
      </c>
    </row>
    <row r="147" spans="1:20" x14ac:dyDescent="0.2">
      <c r="A147" s="3">
        <v>46101</v>
      </c>
      <c r="B147" s="3">
        <f t="shared" si="2"/>
        <v>46082</v>
      </c>
      <c r="C147" s="8">
        <v>0.41666666666666669</v>
      </c>
      <c r="D147" t="s">
        <v>205</v>
      </c>
      <c r="E147" t="s">
        <v>204</v>
      </c>
      <c r="F147">
        <v>9</v>
      </c>
      <c r="G147" t="s">
        <v>115</v>
      </c>
      <c r="I147" t="s">
        <v>202</v>
      </c>
      <c r="L147">
        <v>8</v>
      </c>
      <c r="M147" t="s">
        <v>233</v>
      </c>
      <c r="N147">
        <v>8099</v>
      </c>
      <c r="Q147" t="s">
        <v>200</v>
      </c>
    </row>
    <row r="148" spans="1:20" ht="187" x14ac:dyDescent="0.2">
      <c r="A148" s="3">
        <v>46104</v>
      </c>
      <c r="B148" s="3">
        <f t="shared" si="2"/>
        <v>46082</v>
      </c>
      <c r="C148" s="8">
        <v>0.54166666666666663</v>
      </c>
      <c r="D148" t="s">
        <v>232</v>
      </c>
      <c r="E148" t="s">
        <v>204</v>
      </c>
      <c r="F148">
        <v>18</v>
      </c>
      <c r="G148" t="s">
        <v>192</v>
      </c>
      <c r="I148" t="s">
        <v>202</v>
      </c>
      <c r="K148" s="9" t="s">
        <v>231</v>
      </c>
      <c r="L148">
        <v>10</v>
      </c>
      <c r="M148" t="s">
        <v>230</v>
      </c>
      <c r="N148">
        <v>8117</v>
      </c>
      <c r="Q148" t="s">
        <v>200</v>
      </c>
    </row>
    <row r="149" spans="1:20" x14ac:dyDescent="0.2">
      <c r="A149" s="3">
        <v>46106</v>
      </c>
      <c r="B149" s="3">
        <f t="shared" si="2"/>
        <v>46082</v>
      </c>
      <c r="C149" s="8">
        <v>0.58333333333333337</v>
      </c>
      <c r="D149" t="s">
        <v>229</v>
      </c>
      <c r="E149" t="s">
        <v>204</v>
      </c>
      <c r="F149">
        <v>16</v>
      </c>
      <c r="G149" t="s">
        <v>228</v>
      </c>
      <c r="I149" t="s">
        <v>227</v>
      </c>
      <c r="K149" t="s">
        <v>226</v>
      </c>
      <c r="L149">
        <v>10</v>
      </c>
      <c r="Q149" t="s">
        <v>200</v>
      </c>
    </row>
    <row r="150" spans="1:20" x14ac:dyDescent="0.2">
      <c r="A150" s="3">
        <v>46107</v>
      </c>
      <c r="B150" s="3">
        <f t="shared" si="2"/>
        <v>46082</v>
      </c>
      <c r="C150" s="8">
        <v>0.58333333333333337</v>
      </c>
      <c r="D150" t="s">
        <v>209</v>
      </c>
      <c r="E150" t="s">
        <v>204</v>
      </c>
      <c r="F150">
        <v>14</v>
      </c>
      <c r="G150" t="s">
        <v>225</v>
      </c>
      <c r="I150" t="s">
        <v>202</v>
      </c>
      <c r="K150" t="s">
        <v>224</v>
      </c>
      <c r="L150">
        <v>9</v>
      </c>
      <c r="M150" t="s">
        <v>223</v>
      </c>
      <c r="Q150" t="s">
        <v>200</v>
      </c>
      <c r="S150" t="s">
        <v>222</v>
      </c>
      <c r="T150" t="s">
        <v>221</v>
      </c>
    </row>
    <row r="151" spans="1:20" x14ac:dyDescent="0.2">
      <c r="A151" s="3">
        <v>46111</v>
      </c>
      <c r="B151" s="3">
        <f t="shared" si="2"/>
        <v>46082</v>
      </c>
      <c r="C151" s="8">
        <v>0.5</v>
      </c>
      <c r="D151" t="s">
        <v>220</v>
      </c>
      <c r="E151" t="s">
        <v>204</v>
      </c>
      <c r="F151">
        <v>15</v>
      </c>
      <c r="G151" t="s">
        <v>203</v>
      </c>
      <c r="I151" t="s">
        <v>219</v>
      </c>
      <c r="L151">
        <v>9</v>
      </c>
      <c r="M151" t="s">
        <v>218</v>
      </c>
      <c r="Q151" t="s">
        <v>200</v>
      </c>
    </row>
    <row r="152" spans="1:20" x14ac:dyDescent="0.2">
      <c r="A152" s="3">
        <v>46113</v>
      </c>
      <c r="B152" s="3">
        <f t="shared" si="2"/>
        <v>46113</v>
      </c>
      <c r="C152" s="8">
        <v>0.45833333333333331</v>
      </c>
      <c r="D152" t="s">
        <v>217</v>
      </c>
      <c r="E152" t="s">
        <v>204</v>
      </c>
      <c r="F152">
        <v>16</v>
      </c>
      <c r="G152" t="s">
        <v>192</v>
      </c>
      <c r="I152" t="s">
        <v>202</v>
      </c>
      <c r="L152">
        <v>9</v>
      </c>
      <c r="M152" t="s">
        <v>216</v>
      </c>
      <c r="N152">
        <v>8282</v>
      </c>
      <c r="O152" t="s">
        <v>215</v>
      </c>
      <c r="P152" t="s">
        <v>214</v>
      </c>
      <c r="Q152" t="s">
        <v>200</v>
      </c>
    </row>
    <row r="153" spans="1:20" x14ac:dyDescent="0.2">
      <c r="A153" s="3">
        <v>46113</v>
      </c>
      <c r="B153" s="3">
        <f t="shared" si="2"/>
        <v>46113</v>
      </c>
      <c r="C153" s="8">
        <v>0.54166666666666663</v>
      </c>
      <c r="D153" t="s">
        <v>213</v>
      </c>
      <c r="E153" t="s">
        <v>204</v>
      </c>
      <c r="F153">
        <v>11</v>
      </c>
      <c r="G153" t="s">
        <v>208</v>
      </c>
      <c r="I153" t="s">
        <v>202</v>
      </c>
      <c r="K153" t="s">
        <v>212</v>
      </c>
      <c r="L153" t="s">
        <v>211</v>
      </c>
      <c r="M153" t="s">
        <v>210</v>
      </c>
      <c r="N153">
        <v>8284</v>
      </c>
      <c r="Q153" t="s">
        <v>200</v>
      </c>
    </row>
    <row r="154" spans="1:20" x14ac:dyDescent="0.2">
      <c r="A154" s="3">
        <v>46121</v>
      </c>
      <c r="B154" s="3">
        <f t="shared" si="2"/>
        <v>46113</v>
      </c>
      <c r="C154" s="8">
        <v>0.58333333333333337</v>
      </c>
      <c r="D154" t="s">
        <v>209</v>
      </c>
      <c r="E154" t="s">
        <v>204</v>
      </c>
      <c r="F154">
        <v>14</v>
      </c>
      <c r="G154" t="s">
        <v>208</v>
      </c>
      <c r="I154" t="s">
        <v>207</v>
      </c>
      <c r="L154">
        <v>9</v>
      </c>
      <c r="M154" t="s">
        <v>206</v>
      </c>
      <c r="N154">
        <v>8369</v>
      </c>
      <c r="Q154" t="s">
        <v>200</v>
      </c>
    </row>
    <row r="155" spans="1:20" x14ac:dyDescent="0.2">
      <c r="A155" s="3">
        <v>46122</v>
      </c>
      <c r="B155" s="3">
        <f t="shared" si="2"/>
        <v>46113</v>
      </c>
      <c r="C155" s="8">
        <v>0.41666666666666669</v>
      </c>
      <c r="D155" t="s">
        <v>205</v>
      </c>
      <c r="E155" t="s">
        <v>204</v>
      </c>
      <c r="F155">
        <v>9</v>
      </c>
      <c r="G155" t="s">
        <v>203</v>
      </c>
      <c r="I155" t="s">
        <v>202</v>
      </c>
      <c r="L155">
        <v>8</v>
      </c>
      <c r="M155" t="s">
        <v>201</v>
      </c>
      <c r="Q155" t="s">
        <v>200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54626-4DF4-B647-BB76-9FA2E83DB816}">
  <dimension ref="A1:B15"/>
  <sheetViews>
    <sheetView workbookViewId="0">
      <selection activeCell="L7" sqref="L7"/>
    </sheetView>
  </sheetViews>
  <sheetFormatPr baseColWidth="10" defaultRowHeight="16" x14ac:dyDescent="0.2"/>
  <cols>
    <col min="1" max="1" width="15" bestFit="1" customWidth="1"/>
    <col min="2" max="2" width="20" bestFit="1" customWidth="1"/>
  </cols>
  <sheetData>
    <row r="1" spans="1:2" x14ac:dyDescent="0.2">
      <c r="A1" s="4" t="s">
        <v>195</v>
      </c>
      <c r="B1" t="s">
        <v>199</v>
      </c>
    </row>
    <row r="3" spans="1:2" x14ac:dyDescent="0.2">
      <c r="A3" s="4" t="s">
        <v>196</v>
      </c>
      <c r="B3" t="s">
        <v>198</v>
      </c>
    </row>
    <row r="4" spans="1:2" x14ac:dyDescent="0.2">
      <c r="A4" s="6" t="s">
        <v>160</v>
      </c>
      <c r="B4" s="7">
        <v>8</v>
      </c>
    </row>
    <row r="5" spans="1:2" x14ac:dyDescent="0.2">
      <c r="A5" s="6" t="s">
        <v>119</v>
      </c>
      <c r="B5" s="7">
        <v>5</v>
      </c>
    </row>
    <row r="6" spans="1:2" x14ac:dyDescent="0.2">
      <c r="A6" s="6" t="s">
        <v>103</v>
      </c>
      <c r="B6" s="7">
        <v>5</v>
      </c>
    </row>
    <row r="7" spans="1:2" x14ac:dyDescent="0.2">
      <c r="A7" s="6" t="s">
        <v>109</v>
      </c>
      <c r="B7" s="7">
        <v>4</v>
      </c>
    </row>
    <row r="8" spans="1:2" x14ac:dyDescent="0.2">
      <c r="A8" s="6" t="s">
        <v>64</v>
      </c>
      <c r="B8" s="7">
        <v>4</v>
      </c>
    </row>
    <row r="9" spans="1:2" x14ac:dyDescent="0.2">
      <c r="A9" s="6" t="s">
        <v>91</v>
      </c>
      <c r="B9" s="7">
        <v>4</v>
      </c>
    </row>
    <row r="10" spans="1:2" x14ac:dyDescent="0.2">
      <c r="A10" s="6" t="s">
        <v>157</v>
      </c>
      <c r="B10" s="7">
        <v>3</v>
      </c>
    </row>
    <row r="11" spans="1:2" x14ac:dyDescent="0.2">
      <c r="A11" s="6" t="s">
        <v>106</v>
      </c>
      <c r="B11" s="7">
        <v>3</v>
      </c>
    </row>
    <row r="12" spans="1:2" x14ac:dyDescent="0.2">
      <c r="A12" s="6" t="s">
        <v>47</v>
      </c>
      <c r="B12" s="7">
        <v>3</v>
      </c>
    </row>
    <row r="13" spans="1:2" x14ac:dyDescent="0.2">
      <c r="A13" s="6" t="s">
        <v>75</v>
      </c>
      <c r="B13" s="7">
        <v>3</v>
      </c>
    </row>
    <row r="14" spans="1:2" x14ac:dyDescent="0.2">
      <c r="A14" s="6" t="s">
        <v>57</v>
      </c>
      <c r="B14" s="7">
        <v>2</v>
      </c>
    </row>
    <row r="15" spans="1:2" x14ac:dyDescent="0.2">
      <c r="A15" s="6" t="s">
        <v>197</v>
      </c>
      <c r="B15" s="7">
        <v>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44CE5-8BA8-0A40-A867-89451187C3D4}">
  <dimension ref="A1:AS117"/>
  <sheetViews>
    <sheetView workbookViewId="0">
      <selection sqref="A1:XFD1048576"/>
    </sheetView>
  </sheetViews>
  <sheetFormatPr baseColWidth="10" defaultRowHeight="16" x14ac:dyDescent="0.2"/>
  <sheetData>
    <row r="1" spans="1:45" x14ac:dyDescent="0.2">
      <c r="A1" t="s">
        <v>0</v>
      </c>
      <c r="B1" t="s">
        <v>195</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spans="1:45" x14ac:dyDescent="0.2">
      <c r="A2" t="s">
        <v>44</v>
      </c>
      <c r="B2" s="3">
        <f>DATE(YEAR(DATEVALUE(LEFT(A2,10))), MONTH(DATEVALUE(LEFT(A2,10))), 1)</f>
        <v>45839</v>
      </c>
      <c r="C2" t="s">
        <v>45</v>
      </c>
      <c r="D2" s="1">
        <v>9.3634259259259261E-3</v>
      </c>
      <c r="E2">
        <v>3</v>
      </c>
      <c r="F2" t="s">
        <v>46</v>
      </c>
      <c r="G2" t="s">
        <v>47</v>
      </c>
      <c r="H2" t="s">
        <v>48</v>
      </c>
      <c r="I2" s="2" t="s">
        <v>49</v>
      </c>
      <c r="J2" s="2" t="s">
        <v>50</v>
      </c>
      <c r="K2" s="2" t="s">
        <v>51</v>
      </c>
      <c r="L2" s="2" t="s">
        <v>52</v>
      </c>
      <c r="M2" s="2" t="s">
        <v>53</v>
      </c>
      <c r="N2">
        <v>0</v>
      </c>
      <c r="O2">
        <v>0</v>
      </c>
      <c r="P2">
        <v>1</v>
      </c>
      <c r="Q2">
        <v>0</v>
      </c>
      <c r="R2">
        <v>0</v>
      </c>
      <c r="S2">
        <v>0</v>
      </c>
      <c r="T2">
        <v>0</v>
      </c>
      <c r="U2">
        <v>0</v>
      </c>
      <c r="V2">
        <v>0</v>
      </c>
      <c r="W2">
        <v>0</v>
      </c>
      <c r="X2">
        <v>0</v>
      </c>
      <c r="Y2">
        <v>0</v>
      </c>
      <c r="Z2">
        <v>0</v>
      </c>
      <c r="AA2">
        <v>0</v>
      </c>
      <c r="AB2">
        <v>0</v>
      </c>
      <c r="AC2">
        <v>0</v>
      </c>
      <c r="AD2">
        <v>0</v>
      </c>
      <c r="AE2">
        <v>0</v>
      </c>
      <c r="AF2">
        <v>0</v>
      </c>
      <c r="AG2">
        <v>0</v>
      </c>
      <c r="AH2">
        <v>0</v>
      </c>
      <c r="AI2">
        <v>0</v>
      </c>
      <c r="AJ2">
        <v>1</v>
      </c>
      <c r="AK2">
        <v>0</v>
      </c>
      <c r="AL2">
        <v>0</v>
      </c>
      <c r="AM2" t="s">
        <v>54</v>
      </c>
      <c r="AN2">
        <v>0</v>
      </c>
      <c r="AO2">
        <v>1</v>
      </c>
      <c r="AP2">
        <v>2</v>
      </c>
      <c r="AQ2">
        <v>0</v>
      </c>
      <c r="AR2">
        <v>0</v>
      </c>
      <c r="AS2">
        <v>0</v>
      </c>
    </row>
    <row r="3" spans="1:45" x14ac:dyDescent="0.2">
      <c r="A3" t="s">
        <v>55</v>
      </c>
      <c r="B3" s="3">
        <f t="shared" ref="B3:B66" si="0">DATE(YEAR(DATEVALUE(LEFT(A3,10))), MONTH(DATEVALUE(LEFT(A3,10))), 1)</f>
        <v>45839</v>
      </c>
      <c r="C3" t="s">
        <v>56</v>
      </c>
      <c r="D3" s="1">
        <v>9.7337962962962959E-3</v>
      </c>
      <c r="E3">
        <v>3</v>
      </c>
      <c r="F3" t="s">
        <v>46</v>
      </c>
      <c r="G3" t="s">
        <v>57</v>
      </c>
      <c r="H3" t="s">
        <v>48</v>
      </c>
      <c r="I3" s="2" t="s">
        <v>58</v>
      </c>
      <c r="J3" s="2" t="s">
        <v>59</v>
      </c>
      <c r="K3" s="2" t="s">
        <v>60</v>
      </c>
      <c r="L3" s="2" t="s">
        <v>52</v>
      </c>
      <c r="M3" s="2" t="s">
        <v>61</v>
      </c>
      <c r="N3">
        <v>0</v>
      </c>
      <c r="O3">
        <v>0</v>
      </c>
      <c r="P3">
        <v>1</v>
      </c>
      <c r="Q3">
        <v>0</v>
      </c>
      <c r="R3">
        <v>0</v>
      </c>
      <c r="S3">
        <v>0</v>
      </c>
      <c r="T3">
        <v>0</v>
      </c>
      <c r="U3">
        <v>0</v>
      </c>
      <c r="V3">
        <v>0</v>
      </c>
      <c r="W3">
        <v>0</v>
      </c>
      <c r="X3">
        <v>0</v>
      </c>
      <c r="Y3">
        <v>0</v>
      </c>
      <c r="Z3">
        <v>0</v>
      </c>
      <c r="AA3">
        <v>0</v>
      </c>
      <c r="AB3">
        <v>0</v>
      </c>
      <c r="AC3">
        <v>0</v>
      </c>
      <c r="AD3">
        <v>0</v>
      </c>
      <c r="AE3">
        <v>0</v>
      </c>
      <c r="AF3">
        <v>0</v>
      </c>
      <c r="AG3">
        <v>0</v>
      </c>
      <c r="AH3">
        <v>0</v>
      </c>
      <c r="AI3">
        <v>0</v>
      </c>
      <c r="AJ3">
        <v>1</v>
      </c>
      <c r="AK3">
        <v>0</v>
      </c>
      <c r="AL3">
        <v>0</v>
      </c>
      <c r="AM3" t="s">
        <v>54</v>
      </c>
      <c r="AN3">
        <v>0</v>
      </c>
      <c r="AO3">
        <v>1</v>
      </c>
      <c r="AP3">
        <v>2</v>
      </c>
      <c r="AQ3">
        <v>0</v>
      </c>
      <c r="AR3">
        <v>0</v>
      </c>
      <c r="AS3">
        <v>0</v>
      </c>
    </row>
    <row r="4" spans="1:45" x14ac:dyDescent="0.2">
      <c r="A4" t="s">
        <v>62</v>
      </c>
      <c r="B4" s="3">
        <f t="shared" si="0"/>
        <v>45839</v>
      </c>
      <c r="C4" t="s">
        <v>63</v>
      </c>
      <c r="D4" s="1">
        <v>1.1793981481481482E-2</v>
      </c>
      <c r="E4">
        <v>3</v>
      </c>
      <c r="F4" t="s">
        <v>46</v>
      </c>
      <c r="G4" t="s">
        <v>64</v>
      </c>
      <c r="H4" t="s">
        <v>48</v>
      </c>
      <c r="I4" s="2" t="s">
        <v>65</v>
      </c>
      <c r="J4" s="2" t="s">
        <v>50</v>
      </c>
      <c r="K4" s="2" t="s">
        <v>60</v>
      </c>
      <c r="L4" s="2" t="s">
        <v>66</v>
      </c>
      <c r="M4" s="2" t="s">
        <v>67</v>
      </c>
      <c r="N4">
        <v>0</v>
      </c>
      <c r="O4">
        <v>0</v>
      </c>
      <c r="P4">
        <v>1</v>
      </c>
      <c r="Q4">
        <v>0</v>
      </c>
      <c r="R4">
        <v>0</v>
      </c>
      <c r="S4">
        <v>0</v>
      </c>
      <c r="T4">
        <v>0</v>
      </c>
      <c r="U4">
        <v>0</v>
      </c>
      <c r="V4">
        <v>0</v>
      </c>
      <c r="W4">
        <v>0</v>
      </c>
      <c r="X4">
        <v>0</v>
      </c>
      <c r="Y4">
        <v>0</v>
      </c>
      <c r="Z4">
        <v>0</v>
      </c>
      <c r="AA4">
        <v>0</v>
      </c>
      <c r="AB4">
        <v>0</v>
      </c>
      <c r="AC4">
        <v>0</v>
      </c>
      <c r="AD4">
        <v>0</v>
      </c>
      <c r="AE4">
        <v>0</v>
      </c>
      <c r="AF4">
        <v>0</v>
      </c>
      <c r="AG4">
        <v>0</v>
      </c>
      <c r="AH4">
        <v>0</v>
      </c>
      <c r="AI4">
        <v>0</v>
      </c>
      <c r="AJ4">
        <v>1</v>
      </c>
      <c r="AK4">
        <v>0</v>
      </c>
      <c r="AL4">
        <v>0</v>
      </c>
      <c r="AM4" t="s">
        <v>54</v>
      </c>
      <c r="AN4">
        <v>0</v>
      </c>
      <c r="AO4">
        <v>1</v>
      </c>
      <c r="AP4">
        <v>2</v>
      </c>
      <c r="AQ4">
        <v>0</v>
      </c>
      <c r="AR4">
        <v>0</v>
      </c>
      <c r="AS4">
        <v>0</v>
      </c>
    </row>
    <row r="5" spans="1:45" x14ac:dyDescent="0.2">
      <c r="A5" t="s">
        <v>68</v>
      </c>
      <c r="B5" s="3">
        <f t="shared" si="0"/>
        <v>45839</v>
      </c>
      <c r="C5" t="s">
        <v>56</v>
      </c>
      <c r="D5" s="1">
        <v>1.3912037037037037E-2</v>
      </c>
      <c r="E5">
        <v>5</v>
      </c>
      <c r="F5" t="s">
        <v>69</v>
      </c>
      <c r="G5" t="s">
        <v>57</v>
      </c>
      <c r="H5" t="s">
        <v>70</v>
      </c>
      <c r="I5" s="2" t="s">
        <v>71</v>
      </c>
      <c r="J5" s="2" t="s">
        <v>50</v>
      </c>
      <c r="K5" s="2" t="s">
        <v>60</v>
      </c>
      <c r="L5" s="2" t="s">
        <v>72</v>
      </c>
      <c r="M5" s="2" t="s">
        <v>53</v>
      </c>
      <c r="N5">
        <v>0</v>
      </c>
      <c r="O5">
        <v>0</v>
      </c>
      <c r="P5">
        <v>1</v>
      </c>
      <c r="Q5">
        <v>0</v>
      </c>
      <c r="R5">
        <v>0</v>
      </c>
      <c r="S5">
        <v>0</v>
      </c>
      <c r="T5">
        <v>0</v>
      </c>
      <c r="U5">
        <v>0</v>
      </c>
      <c r="V5">
        <v>0</v>
      </c>
      <c r="W5">
        <v>0</v>
      </c>
      <c r="X5">
        <v>0</v>
      </c>
      <c r="Y5">
        <v>1</v>
      </c>
      <c r="Z5">
        <v>0</v>
      </c>
      <c r="AA5">
        <v>0</v>
      </c>
      <c r="AB5">
        <v>0</v>
      </c>
      <c r="AC5">
        <v>0</v>
      </c>
      <c r="AD5">
        <v>0</v>
      </c>
      <c r="AE5">
        <v>0</v>
      </c>
      <c r="AF5">
        <v>0</v>
      </c>
      <c r="AG5">
        <v>0</v>
      </c>
      <c r="AH5">
        <v>0</v>
      </c>
      <c r="AI5">
        <v>0</v>
      </c>
      <c r="AJ5">
        <v>0</v>
      </c>
      <c r="AK5">
        <v>0</v>
      </c>
      <c r="AL5">
        <v>0</v>
      </c>
      <c r="AM5" t="s">
        <v>54</v>
      </c>
      <c r="AN5">
        <v>0</v>
      </c>
      <c r="AO5">
        <v>1</v>
      </c>
      <c r="AP5">
        <v>1</v>
      </c>
      <c r="AQ5">
        <v>0</v>
      </c>
      <c r="AR5">
        <v>0</v>
      </c>
      <c r="AS5">
        <v>0</v>
      </c>
    </row>
    <row r="6" spans="1:45" x14ac:dyDescent="0.2">
      <c r="A6" t="s">
        <v>73</v>
      </c>
      <c r="B6" s="3">
        <f t="shared" si="0"/>
        <v>45839</v>
      </c>
      <c r="C6" t="s">
        <v>45</v>
      </c>
      <c r="D6" s="1">
        <v>1.087962962962963E-2</v>
      </c>
      <c r="E6">
        <v>5</v>
      </c>
      <c r="F6" t="s">
        <v>69</v>
      </c>
      <c r="G6" t="s">
        <v>47</v>
      </c>
      <c r="H6" t="s">
        <v>48</v>
      </c>
      <c r="I6" s="2" t="s">
        <v>58</v>
      </c>
      <c r="J6" s="2" t="s">
        <v>50</v>
      </c>
      <c r="K6" s="2" t="s">
        <v>51</v>
      </c>
      <c r="L6" s="2" t="s">
        <v>49</v>
      </c>
      <c r="M6" s="2" t="s">
        <v>53</v>
      </c>
      <c r="N6">
        <v>0</v>
      </c>
      <c r="O6">
        <v>0</v>
      </c>
      <c r="P6">
        <v>1</v>
      </c>
      <c r="Q6">
        <v>0</v>
      </c>
      <c r="R6">
        <v>0</v>
      </c>
      <c r="S6">
        <v>0</v>
      </c>
      <c r="T6">
        <v>0</v>
      </c>
      <c r="U6">
        <v>0</v>
      </c>
      <c r="V6">
        <v>0</v>
      </c>
      <c r="W6">
        <v>0</v>
      </c>
      <c r="X6">
        <v>0</v>
      </c>
      <c r="Y6">
        <v>1</v>
      </c>
      <c r="Z6">
        <v>0</v>
      </c>
      <c r="AA6">
        <v>0</v>
      </c>
      <c r="AB6">
        <v>0</v>
      </c>
      <c r="AC6">
        <v>0</v>
      </c>
      <c r="AD6">
        <v>0</v>
      </c>
      <c r="AE6">
        <v>0</v>
      </c>
      <c r="AF6">
        <v>0</v>
      </c>
      <c r="AG6">
        <v>0</v>
      </c>
      <c r="AH6">
        <v>0</v>
      </c>
      <c r="AI6">
        <v>0</v>
      </c>
      <c r="AJ6">
        <v>0</v>
      </c>
      <c r="AK6">
        <v>0</v>
      </c>
      <c r="AL6">
        <v>0</v>
      </c>
      <c r="AM6" t="s">
        <v>54</v>
      </c>
      <c r="AN6">
        <v>0</v>
      </c>
      <c r="AO6">
        <v>1</v>
      </c>
      <c r="AP6">
        <v>1</v>
      </c>
      <c r="AQ6">
        <v>0</v>
      </c>
      <c r="AR6">
        <v>0</v>
      </c>
      <c r="AS6">
        <v>0</v>
      </c>
    </row>
    <row r="7" spans="1:45" x14ac:dyDescent="0.2">
      <c r="A7" t="s">
        <v>73</v>
      </c>
      <c r="B7" s="3">
        <f t="shared" si="0"/>
        <v>45839</v>
      </c>
      <c r="C7" t="s">
        <v>45</v>
      </c>
      <c r="D7" s="1">
        <v>1.2511574074074074E-2</v>
      </c>
      <c r="E7">
        <v>29</v>
      </c>
      <c r="F7" t="s">
        <v>74</v>
      </c>
      <c r="G7" t="s">
        <v>75</v>
      </c>
      <c r="H7" t="s">
        <v>48</v>
      </c>
      <c r="I7" s="2" t="s">
        <v>49</v>
      </c>
      <c r="J7" s="2" t="s">
        <v>59</v>
      </c>
      <c r="K7" s="2" t="s">
        <v>59</v>
      </c>
      <c r="L7" s="2" t="s">
        <v>76</v>
      </c>
      <c r="M7" s="2" t="s">
        <v>53</v>
      </c>
      <c r="N7">
        <v>0</v>
      </c>
      <c r="O7">
        <v>0</v>
      </c>
      <c r="P7">
        <v>1</v>
      </c>
      <c r="Q7">
        <v>0</v>
      </c>
      <c r="R7">
        <v>0</v>
      </c>
      <c r="S7">
        <v>0</v>
      </c>
      <c r="T7">
        <v>0</v>
      </c>
      <c r="U7">
        <v>0</v>
      </c>
      <c r="V7">
        <v>0</v>
      </c>
      <c r="W7">
        <v>0</v>
      </c>
      <c r="X7">
        <v>0</v>
      </c>
      <c r="Y7">
        <v>0</v>
      </c>
      <c r="Z7">
        <v>0</v>
      </c>
      <c r="AA7">
        <v>0</v>
      </c>
      <c r="AB7">
        <v>0</v>
      </c>
      <c r="AC7">
        <v>0</v>
      </c>
      <c r="AD7">
        <v>0</v>
      </c>
      <c r="AE7">
        <v>0</v>
      </c>
      <c r="AF7">
        <v>0</v>
      </c>
      <c r="AG7">
        <v>0</v>
      </c>
      <c r="AH7">
        <v>0</v>
      </c>
      <c r="AI7">
        <v>0</v>
      </c>
      <c r="AJ7">
        <v>1</v>
      </c>
      <c r="AK7">
        <v>0</v>
      </c>
      <c r="AL7">
        <v>0</v>
      </c>
      <c r="AM7" t="s">
        <v>54</v>
      </c>
      <c r="AN7">
        <v>0</v>
      </c>
      <c r="AO7">
        <v>1</v>
      </c>
      <c r="AP7">
        <v>2</v>
      </c>
      <c r="AQ7">
        <v>0</v>
      </c>
      <c r="AR7">
        <v>0</v>
      </c>
      <c r="AS7">
        <v>0</v>
      </c>
    </row>
    <row r="8" spans="1:45" x14ac:dyDescent="0.2">
      <c r="A8" t="s">
        <v>77</v>
      </c>
      <c r="B8" s="3">
        <f t="shared" si="0"/>
        <v>45839</v>
      </c>
      <c r="C8" t="s">
        <v>56</v>
      </c>
      <c r="D8" s="1">
        <v>1.3912037037037037E-2</v>
      </c>
      <c r="E8">
        <v>5</v>
      </c>
      <c r="F8" t="s">
        <v>69</v>
      </c>
      <c r="G8" t="s">
        <v>64</v>
      </c>
      <c r="H8" t="s">
        <v>70</v>
      </c>
      <c r="I8" s="2" t="s">
        <v>78</v>
      </c>
      <c r="J8" s="2" t="s">
        <v>50</v>
      </c>
      <c r="K8" s="2" t="s">
        <v>51</v>
      </c>
      <c r="L8" s="2" t="s">
        <v>52</v>
      </c>
      <c r="M8" s="2" t="s">
        <v>67</v>
      </c>
      <c r="N8">
        <v>0</v>
      </c>
      <c r="O8">
        <v>0</v>
      </c>
      <c r="P8">
        <v>1</v>
      </c>
      <c r="Q8">
        <v>0</v>
      </c>
      <c r="R8">
        <v>0</v>
      </c>
      <c r="S8">
        <v>0</v>
      </c>
      <c r="T8">
        <v>0</v>
      </c>
      <c r="U8">
        <v>0</v>
      </c>
      <c r="V8">
        <v>0</v>
      </c>
      <c r="W8">
        <v>0</v>
      </c>
      <c r="X8">
        <v>0</v>
      </c>
      <c r="Y8">
        <v>1</v>
      </c>
      <c r="Z8">
        <v>0</v>
      </c>
      <c r="AA8">
        <v>0</v>
      </c>
      <c r="AB8">
        <v>0</v>
      </c>
      <c r="AC8">
        <v>0</v>
      </c>
      <c r="AD8">
        <v>0</v>
      </c>
      <c r="AE8">
        <v>0</v>
      </c>
      <c r="AF8">
        <v>0</v>
      </c>
      <c r="AG8">
        <v>0</v>
      </c>
      <c r="AH8">
        <v>0</v>
      </c>
      <c r="AI8">
        <v>0</v>
      </c>
      <c r="AJ8">
        <v>0</v>
      </c>
      <c r="AK8">
        <v>0</v>
      </c>
      <c r="AL8">
        <v>0</v>
      </c>
      <c r="AM8" t="s">
        <v>54</v>
      </c>
      <c r="AN8">
        <v>0</v>
      </c>
      <c r="AO8">
        <v>1</v>
      </c>
      <c r="AP8">
        <v>1</v>
      </c>
      <c r="AQ8">
        <v>0</v>
      </c>
      <c r="AR8">
        <v>0</v>
      </c>
      <c r="AS8">
        <v>0</v>
      </c>
    </row>
    <row r="9" spans="1:45" x14ac:dyDescent="0.2">
      <c r="A9" t="s">
        <v>79</v>
      </c>
      <c r="B9" s="3">
        <f t="shared" si="0"/>
        <v>45839</v>
      </c>
      <c r="C9" t="s">
        <v>63</v>
      </c>
      <c r="D9" s="1">
        <v>1.4421296296296297E-2</v>
      </c>
      <c r="E9">
        <v>6</v>
      </c>
      <c r="F9" t="s">
        <v>80</v>
      </c>
      <c r="G9" t="s">
        <v>64</v>
      </c>
      <c r="H9" t="s">
        <v>48</v>
      </c>
      <c r="I9" s="2" t="s">
        <v>58</v>
      </c>
      <c r="J9" s="2" t="s">
        <v>59</v>
      </c>
      <c r="K9" s="2" t="s">
        <v>51</v>
      </c>
      <c r="L9" s="2" t="s">
        <v>81</v>
      </c>
      <c r="M9" s="2" t="s">
        <v>61</v>
      </c>
      <c r="N9">
        <v>0</v>
      </c>
      <c r="O9">
        <v>0</v>
      </c>
      <c r="P9">
        <v>0</v>
      </c>
      <c r="Q9">
        <v>0</v>
      </c>
      <c r="R9">
        <v>0</v>
      </c>
      <c r="S9">
        <v>0</v>
      </c>
      <c r="T9">
        <v>0</v>
      </c>
      <c r="U9">
        <v>0</v>
      </c>
      <c r="V9">
        <v>1</v>
      </c>
      <c r="W9">
        <v>0</v>
      </c>
      <c r="X9">
        <v>0</v>
      </c>
      <c r="Y9">
        <v>0</v>
      </c>
      <c r="Z9">
        <v>0</v>
      </c>
      <c r="AA9">
        <v>0</v>
      </c>
      <c r="AB9">
        <v>0</v>
      </c>
      <c r="AC9">
        <v>0</v>
      </c>
      <c r="AD9">
        <v>0</v>
      </c>
      <c r="AE9">
        <v>0</v>
      </c>
      <c r="AF9">
        <v>0</v>
      </c>
      <c r="AG9">
        <v>1</v>
      </c>
      <c r="AH9">
        <v>1</v>
      </c>
      <c r="AI9">
        <v>1</v>
      </c>
      <c r="AJ9">
        <v>0</v>
      </c>
      <c r="AK9">
        <v>0</v>
      </c>
      <c r="AL9">
        <v>0</v>
      </c>
      <c r="AM9" t="s">
        <v>54</v>
      </c>
      <c r="AN9">
        <v>0</v>
      </c>
      <c r="AO9">
        <v>2</v>
      </c>
      <c r="AP9">
        <v>0</v>
      </c>
      <c r="AQ9">
        <v>2</v>
      </c>
      <c r="AR9">
        <v>0</v>
      </c>
      <c r="AS9">
        <v>0</v>
      </c>
    </row>
    <row r="10" spans="1:45" x14ac:dyDescent="0.2">
      <c r="A10" t="s">
        <v>82</v>
      </c>
      <c r="B10" s="3">
        <f t="shared" si="0"/>
        <v>45839</v>
      </c>
      <c r="C10" t="s">
        <v>45</v>
      </c>
      <c r="D10" s="1">
        <v>1.3912037037037037E-2</v>
      </c>
      <c r="E10">
        <v>5</v>
      </c>
      <c r="F10" t="s">
        <v>69</v>
      </c>
      <c r="G10" t="s">
        <v>75</v>
      </c>
      <c r="H10" t="s">
        <v>70</v>
      </c>
      <c r="I10" s="2" t="s">
        <v>49</v>
      </c>
      <c r="J10" s="2" t="s">
        <v>50</v>
      </c>
      <c r="K10" s="2" t="s">
        <v>59</v>
      </c>
      <c r="L10" s="2" t="s">
        <v>49</v>
      </c>
      <c r="M10" s="2" t="s">
        <v>61</v>
      </c>
      <c r="N10">
        <v>0</v>
      </c>
      <c r="O10">
        <v>0</v>
      </c>
      <c r="P10">
        <v>1</v>
      </c>
      <c r="Q10">
        <v>0</v>
      </c>
      <c r="R10">
        <v>0</v>
      </c>
      <c r="S10">
        <v>0</v>
      </c>
      <c r="T10">
        <v>0</v>
      </c>
      <c r="U10">
        <v>0</v>
      </c>
      <c r="V10">
        <v>0</v>
      </c>
      <c r="W10">
        <v>0</v>
      </c>
      <c r="X10">
        <v>0</v>
      </c>
      <c r="Y10">
        <v>1</v>
      </c>
      <c r="Z10">
        <v>0</v>
      </c>
      <c r="AA10">
        <v>0</v>
      </c>
      <c r="AB10">
        <v>0</v>
      </c>
      <c r="AC10">
        <v>0</v>
      </c>
      <c r="AD10">
        <v>0</v>
      </c>
      <c r="AE10">
        <v>0</v>
      </c>
      <c r="AF10">
        <v>0</v>
      </c>
      <c r="AG10">
        <v>0</v>
      </c>
      <c r="AH10">
        <v>0</v>
      </c>
      <c r="AI10">
        <v>0</v>
      </c>
      <c r="AJ10">
        <v>0</v>
      </c>
      <c r="AK10">
        <v>0</v>
      </c>
      <c r="AL10">
        <v>0</v>
      </c>
      <c r="AM10" t="s">
        <v>54</v>
      </c>
      <c r="AN10">
        <v>0</v>
      </c>
      <c r="AO10">
        <v>1</v>
      </c>
      <c r="AP10">
        <v>1</v>
      </c>
      <c r="AQ10">
        <v>0</v>
      </c>
      <c r="AR10">
        <v>0</v>
      </c>
      <c r="AS10">
        <v>0</v>
      </c>
    </row>
    <row r="11" spans="1:45" x14ac:dyDescent="0.2">
      <c r="A11" t="s">
        <v>82</v>
      </c>
      <c r="B11" s="3">
        <f t="shared" si="0"/>
        <v>45839</v>
      </c>
      <c r="C11" t="s">
        <v>45</v>
      </c>
      <c r="D11" s="1">
        <v>1.1979166666666667E-2</v>
      </c>
      <c r="E11">
        <v>6</v>
      </c>
      <c r="F11" t="s">
        <v>80</v>
      </c>
      <c r="G11" t="s">
        <v>47</v>
      </c>
      <c r="H11" t="s">
        <v>48</v>
      </c>
      <c r="I11" s="2" t="s">
        <v>78</v>
      </c>
      <c r="J11" s="2" t="s">
        <v>50</v>
      </c>
      <c r="K11" s="2" t="s">
        <v>60</v>
      </c>
      <c r="L11" s="2" t="s">
        <v>49</v>
      </c>
      <c r="M11" s="2" t="s">
        <v>67</v>
      </c>
      <c r="N11">
        <v>0</v>
      </c>
      <c r="O11">
        <v>0</v>
      </c>
      <c r="P11">
        <v>0</v>
      </c>
      <c r="Q11">
        <v>0</v>
      </c>
      <c r="R11">
        <v>0</v>
      </c>
      <c r="S11">
        <v>0</v>
      </c>
      <c r="T11">
        <v>0</v>
      </c>
      <c r="U11">
        <v>0</v>
      </c>
      <c r="V11">
        <v>1</v>
      </c>
      <c r="W11">
        <v>0</v>
      </c>
      <c r="X11">
        <v>0</v>
      </c>
      <c r="Y11">
        <v>0</v>
      </c>
      <c r="Z11">
        <v>0</v>
      </c>
      <c r="AA11">
        <v>0</v>
      </c>
      <c r="AB11">
        <v>0</v>
      </c>
      <c r="AC11">
        <v>0</v>
      </c>
      <c r="AD11">
        <v>0</v>
      </c>
      <c r="AE11">
        <v>0</v>
      </c>
      <c r="AF11">
        <v>0</v>
      </c>
      <c r="AG11">
        <v>1</v>
      </c>
      <c r="AH11">
        <v>1</v>
      </c>
      <c r="AI11">
        <v>1</v>
      </c>
      <c r="AJ11">
        <v>0</v>
      </c>
      <c r="AK11">
        <v>0</v>
      </c>
      <c r="AL11">
        <v>0</v>
      </c>
      <c r="AM11" t="s">
        <v>54</v>
      </c>
      <c r="AN11">
        <v>0</v>
      </c>
      <c r="AO11">
        <v>2</v>
      </c>
      <c r="AP11">
        <v>0</v>
      </c>
      <c r="AQ11">
        <v>2</v>
      </c>
      <c r="AR11">
        <v>0</v>
      </c>
      <c r="AS11">
        <v>0</v>
      </c>
    </row>
    <row r="12" spans="1:45" x14ac:dyDescent="0.2">
      <c r="A12" t="s">
        <v>83</v>
      </c>
      <c r="B12" s="3">
        <f t="shared" si="0"/>
        <v>45870</v>
      </c>
      <c r="C12" t="s">
        <v>63</v>
      </c>
      <c r="D12" s="1">
        <v>1.3553240740740741E-2</v>
      </c>
      <c r="E12">
        <v>7</v>
      </c>
      <c r="F12" t="s">
        <v>84</v>
      </c>
      <c r="G12" t="s">
        <v>64</v>
      </c>
      <c r="H12" t="s">
        <v>48</v>
      </c>
      <c r="I12" s="2" t="s">
        <v>78</v>
      </c>
      <c r="J12" s="2" t="s">
        <v>50</v>
      </c>
      <c r="K12" s="2" t="s">
        <v>59</v>
      </c>
      <c r="L12" s="2" t="s">
        <v>72</v>
      </c>
      <c r="M12" s="2" t="s">
        <v>53</v>
      </c>
      <c r="N12">
        <v>0</v>
      </c>
      <c r="O12">
        <v>0</v>
      </c>
      <c r="P12">
        <v>0</v>
      </c>
      <c r="Q12">
        <v>0</v>
      </c>
      <c r="R12">
        <v>0</v>
      </c>
      <c r="S12">
        <v>0</v>
      </c>
      <c r="T12">
        <v>1</v>
      </c>
      <c r="U12">
        <v>0</v>
      </c>
      <c r="V12">
        <v>1</v>
      </c>
      <c r="W12">
        <v>0</v>
      </c>
      <c r="X12">
        <v>0</v>
      </c>
      <c r="Y12">
        <v>0</v>
      </c>
      <c r="Z12">
        <v>0</v>
      </c>
      <c r="AA12">
        <v>0</v>
      </c>
      <c r="AB12">
        <v>0</v>
      </c>
      <c r="AC12">
        <v>0</v>
      </c>
      <c r="AD12">
        <v>0</v>
      </c>
      <c r="AE12">
        <v>0</v>
      </c>
      <c r="AF12">
        <v>0</v>
      </c>
      <c r="AG12">
        <v>0</v>
      </c>
      <c r="AH12">
        <v>0</v>
      </c>
      <c r="AI12">
        <v>1</v>
      </c>
      <c r="AJ12">
        <v>0</v>
      </c>
      <c r="AK12">
        <v>0</v>
      </c>
      <c r="AL12">
        <v>0</v>
      </c>
      <c r="AM12" t="s">
        <v>54</v>
      </c>
      <c r="AN12">
        <v>0</v>
      </c>
      <c r="AO12">
        <v>2</v>
      </c>
      <c r="AP12">
        <v>0</v>
      </c>
      <c r="AQ12">
        <v>1</v>
      </c>
      <c r="AR12">
        <v>0</v>
      </c>
      <c r="AS12">
        <v>0</v>
      </c>
    </row>
    <row r="13" spans="1:45" x14ac:dyDescent="0.2">
      <c r="A13" t="s">
        <v>85</v>
      </c>
      <c r="B13" s="3">
        <f t="shared" si="0"/>
        <v>45870</v>
      </c>
      <c r="C13" t="s">
        <v>56</v>
      </c>
      <c r="D13" s="1">
        <v>1.3900462962962963E-2</v>
      </c>
      <c r="E13">
        <v>6</v>
      </c>
      <c r="F13" t="s">
        <v>80</v>
      </c>
      <c r="G13" t="s">
        <v>57</v>
      </c>
      <c r="H13" t="s">
        <v>70</v>
      </c>
      <c r="I13" s="2" t="s">
        <v>71</v>
      </c>
      <c r="J13" s="2" t="s">
        <v>50</v>
      </c>
      <c r="K13" s="2" t="s">
        <v>59</v>
      </c>
      <c r="L13" s="2" t="s">
        <v>76</v>
      </c>
      <c r="M13" s="2" t="s">
        <v>53</v>
      </c>
      <c r="N13">
        <v>0</v>
      </c>
      <c r="O13">
        <v>0</v>
      </c>
      <c r="P13">
        <v>0</v>
      </c>
      <c r="Q13">
        <v>0</v>
      </c>
      <c r="R13">
        <v>0</v>
      </c>
      <c r="S13">
        <v>0</v>
      </c>
      <c r="T13">
        <v>0</v>
      </c>
      <c r="U13">
        <v>0</v>
      </c>
      <c r="V13">
        <v>1</v>
      </c>
      <c r="W13">
        <v>0</v>
      </c>
      <c r="X13">
        <v>0</v>
      </c>
      <c r="Y13">
        <v>0</v>
      </c>
      <c r="Z13">
        <v>0</v>
      </c>
      <c r="AA13">
        <v>0</v>
      </c>
      <c r="AB13">
        <v>0</v>
      </c>
      <c r="AC13">
        <v>0</v>
      </c>
      <c r="AD13">
        <v>0</v>
      </c>
      <c r="AE13">
        <v>0</v>
      </c>
      <c r="AF13">
        <v>0</v>
      </c>
      <c r="AG13">
        <v>1</v>
      </c>
      <c r="AH13">
        <v>1</v>
      </c>
      <c r="AI13">
        <v>1</v>
      </c>
      <c r="AJ13">
        <v>0</v>
      </c>
      <c r="AK13">
        <v>0</v>
      </c>
      <c r="AL13">
        <v>0</v>
      </c>
      <c r="AM13" t="s">
        <v>54</v>
      </c>
      <c r="AN13">
        <v>0</v>
      </c>
      <c r="AO13">
        <v>2</v>
      </c>
      <c r="AP13">
        <v>0</v>
      </c>
      <c r="AQ13">
        <v>2</v>
      </c>
      <c r="AR13">
        <v>0</v>
      </c>
      <c r="AS13">
        <v>0</v>
      </c>
    </row>
    <row r="14" spans="1:45" x14ac:dyDescent="0.2">
      <c r="A14" t="s">
        <v>85</v>
      </c>
      <c r="B14" s="3">
        <f t="shared" si="0"/>
        <v>45870</v>
      </c>
      <c r="C14" t="s">
        <v>56</v>
      </c>
      <c r="D14" s="1">
        <v>1.3900462962962963E-2</v>
      </c>
      <c r="E14">
        <v>6</v>
      </c>
      <c r="F14" t="s">
        <v>80</v>
      </c>
      <c r="G14" t="s">
        <v>75</v>
      </c>
      <c r="H14" t="s">
        <v>70</v>
      </c>
      <c r="I14" s="2" t="s">
        <v>49</v>
      </c>
      <c r="J14" s="2" t="s">
        <v>50</v>
      </c>
      <c r="K14" s="2" t="s">
        <v>49</v>
      </c>
      <c r="L14" s="2" t="s">
        <v>76</v>
      </c>
      <c r="M14" s="2" t="s">
        <v>53</v>
      </c>
      <c r="N14">
        <v>0</v>
      </c>
      <c r="O14">
        <v>0</v>
      </c>
      <c r="P14">
        <v>0</v>
      </c>
      <c r="Q14">
        <v>0</v>
      </c>
      <c r="R14">
        <v>0</v>
      </c>
      <c r="S14">
        <v>0</v>
      </c>
      <c r="T14">
        <v>0</v>
      </c>
      <c r="U14">
        <v>0</v>
      </c>
      <c r="V14">
        <v>1</v>
      </c>
      <c r="W14">
        <v>0</v>
      </c>
      <c r="X14">
        <v>0</v>
      </c>
      <c r="Y14">
        <v>0</v>
      </c>
      <c r="Z14">
        <v>0</v>
      </c>
      <c r="AA14">
        <v>0</v>
      </c>
      <c r="AB14">
        <v>0</v>
      </c>
      <c r="AC14">
        <v>0</v>
      </c>
      <c r="AD14">
        <v>0</v>
      </c>
      <c r="AE14">
        <v>0</v>
      </c>
      <c r="AF14">
        <v>0</v>
      </c>
      <c r="AG14">
        <v>1</v>
      </c>
      <c r="AH14">
        <v>1</v>
      </c>
      <c r="AI14">
        <v>1</v>
      </c>
      <c r="AJ14">
        <v>0</v>
      </c>
      <c r="AK14">
        <v>0</v>
      </c>
      <c r="AL14">
        <v>0</v>
      </c>
      <c r="AM14" t="s">
        <v>54</v>
      </c>
      <c r="AN14">
        <v>0</v>
      </c>
      <c r="AO14">
        <v>2</v>
      </c>
      <c r="AP14">
        <v>0</v>
      </c>
      <c r="AQ14">
        <v>2</v>
      </c>
      <c r="AR14">
        <v>0</v>
      </c>
      <c r="AS14">
        <v>0</v>
      </c>
    </row>
    <row r="15" spans="1:45" x14ac:dyDescent="0.2">
      <c r="A15" t="s">
        <v>86</v>
      </c>
      <c r="B15" s="3">
        <f t="shared" si="0"/>
        <v>45870</v>
      </c>
      <c r="C15" t="s">
        <v>45</v>
      </c>
      <c r="D15" s="1">
        <v>5.2430555555555555E-3</v>
      </c>
      <c r="E15">
        <v>7</v>
      </c>
      <c r="F15" t="s">
        <v>84</v>
      </c>
      <c r="G15" t="s">
        <v>75</v>
      </c>
      <c r="H15" t="s">
        <v>48</v>
      </c>
      <c r="I15" s="2" t="s">
        <v>78</v>
      </c>
      <c r="J15" s="2" t="s">
        <v>50</v>
      </c>
      <c r="K15" s="2" t="s">
        <v>59</v>
      </c>
      <c r="L15" s="2" t="s">
        <v>87</v>
      </c>
      <c r="M15" s="2" t="s">
        <v>61</v>
      </c>
      <c r="N15">
        <v>0</v>
      </c>
      <c r="O15">
        <v>0</v>
      </c>
      <c r="P15">
        <v>0</v>
      </c>
      <c r="Q15">
        <v>0</v>
      </c>
      <c r="R15">
        <v>0</v>
      </c>
      <c r="S15">
        <v>0</v>
      </c>
      <c r="T15">
        <v>1</v>
      </c>
      <c r="U15">
        <v>0</v>
      </c>
      <c r="V15">
        <v>1</v>
      </c>
      <c r="W15">
        <v>0</v>
      </c>
      <c r="X15">
        <v>0</v>
      </c>
      <c r="Y15">
        <v>0</v>
      </c>
      <c r="Z15">
        <v>0</v>
      </c>
      <c r="AA15">
        <v>0</v>
      </c>
      <c r="AB15">
        <v>0</v>
      </c>
      <c r="AC15">
        <v>0</v>
      </c>
      <c r="AD15">
        <v>0</v>
      </c>
      <c r="AE15">
        <v>0</v>
      </c>
      <c r="AF15">
        <v>0</v>
      </c>
      <c r="AG15">
        <v>0</v>
      </c>
      <c r="AH15">
        <v>0</v>
      </c>
      <c r="AI15">
        <v>1</v>
      </c>
      <c r="AJ15">
        <v>0</v>
      </c>
      <c r="AK15">
        <v>0</v>
      </c>
      <c r="AL15">
        <v>0</v>
      </c>
      <c r="AM15" t="s">
        <v>54</v>
      </c>
      <c r="AN15">
        <v>0</v>
      </c>
      <c r="AO15">
        <v>2</v>
      </c>
      <c r="AP15">
        <v>0</v>
      </c>
      <c r="AQ15">
        <v>1</v>
      </c>
      <c r="AR15">
        <v>0</v>
      </c>
      <c r="AS15">
        <v>0</v>
      </c>
    </row>
    <row r="16" spans="1:45" x14ac:dyDescent="0.2">
      <c r="A16" t="s">
        <v>86</v>
      </c>
      <c r="B16" s="3">
        <f t="shared" si="0"/>
        <v>45870</v>
      </c>
      <c r="C16" t="s">
        <v>45</v>
      </c>
      <c r="D16" s="1">
        <v>8.6458333333333335E-3</v>
      </c>
      <c r="E16">
        <v>7</v>
      </c>
      <c r="F16" t="s">
        <v>84</v>
      </c>
      <c r="G16" t="s">
        <v>47</v>
      </c>
      <c r="H16" t="s">
        <v>48</v>
      </c>
      <c r="I16" s="2" t="s">
        <v>60</v>
      </c>
      <c r="J16" s="2" t="s">
        <v>50</v>
      </c>
      <c r="K16" s="2" t="s">
        <v>51</v>
      </c>
      <c r="L16" s="2" t="s">
        <v>49</v>
      </c>
      <c r="M16" s="2" t="s">
        <v>88</v>
      </c>
      <c r="N16">
        <v>0</v>
      </c>
      <c r="O16">
        <v>0</v>
      </c>
      <c r="P16">
        <v>0</v>
      </c>
      <c r="Q16">
        <v>0</v>
      </c>
      <c r="R16">
        <v>0</v>
      </c>
      <c r="S16">
        <v>0</v>
      </c>
      <c r="T16">
        <v>1</v>
      </c>
      <c r="U16">
        <v>0</v>
      </c>
      <c r="V16">
        <v>1</v>
      </c>
      <c r="W16">
        <v>0</v>
      </c>
      <c r="X16">
        <v>0</v>
      </c>
      <c r="Y16">
        <v>0</v>
      </c>
      <c r="Z16">
        <v>0</v>
      </c>
      <c r="AA16">
        <v>0</v>
      </c>
      <c r="AB16">
        <v>0</v>
      </c>
      <c r="AC16">
        <v>0</v>
      </c>
      <c r="AD16">
        <v>0</v>
      </c>
      <c r="AE16">
        <v>0</v>
      </c>
      <c r="AF16">
        <v>0</v>
      </c>
      <c r="AG16">
        <v>0</v>
      </c>
      <c r="AH16">
        <v>0</v>
      </c>
      <c r="AI16">
        <v>1</v>
      </c>
      <c r="AJ16">
        <v>0</v>
      </c>
      <c r="AK16">
        <v>0</v>
      </c>
      <c r="AL16">
        <v>0</v>
      </c>
      <c r="AM16" t="s">
        <v>54</v>
      </c>
      <c r="AN16">
        <v>0</v>
      </c>
      <c r="AO16">
        <v>2</v>
      </c>
      <c r="AP16">
        <v>0</v>
      </c>
      <c r="AQ16">
        <v>1</v>
      </c>
      <c r="AR16">
        <v>0</v>
      </c>
      <c r="AS16">
        <v>0</v>
      </c>
    </row>
    <row r="17" spans="1:45" x14ac:dyDescent="0.2">
      <c r="A17" t="s">
        <v>89</v>
      </c>
      <c r="B17" s="3">
        <f t="shared" si="0"/>
        <v>45870</v>
      </c>
      <c r="C17" t="s">
        <v>56</v>
      </c>
      <c r="D17" s="1">
        <v>1.3263888888888889E-2</v>
      </c>
      <c r="E17">
        <v>7</v>
      </c>
      <c r="F17" t="s">
        <v>84</v>
      </c>
      <c r="G17" t="s">
        <v>57</v>
      </c>
      <c r="H17" t="s">
        <v>48</v>
      </c>
      <c r="I17" s="2" t="s">
        <v>58</v>
      </c>
      <c r="J17" s="2" t="s">
        <v>59</v>
      </c>
      <c r="K17" s="2" t="s">
        <v>49</v>
      </c>
      <c r="L17" s="2" t="s">
        <v>76</v>
      </c>
      <c r="M17" s="2" t="s">
        <v>90</v>
      </c>
      <c r="N17">
        <v>0</v>
      </c>
      <c r="O17">
        <v>0</v>
      </c>
      <c r="P17">
        <v>0</v>
      </c>
      <c r="Q17">
        <v>0</v>
      </c>
      <c r="R17">
        <v>0</v>
      </c>
      <c r="S17">
        <v>0</v>
      </c>
      <c r="T17">
        <v>1</v>
      </c>
      <c r="U17">
        <v>0</v>
      </c>
      <c r="V17">
        <v>1</v>
      </c>
      <c r="W17">
        <v>0</v>
      </c>
      <c r="X17">
        <v>0</v>
      </c>
      <c r="Y17">
        <v>0</v>
      </c>
      <c r="Z17">
        <v>0</v>
      </c>
      <c r="AA17">
        <v>0</v>
      </c>
      <c r="AB17">
        <v>0</v>
      </c>
      <c r="AC17">
        <v>0</v>
      </c>
      <c r="AD17">
        <v>0</v>
      </c>
      <c r="AE17">
        <v>0</v>
      </c>
      <c r="AF17">
        <v>0</v>
      </c>
      <c r="AG17">
        <v>0</v>
      </c>
      <c r="AH17">
        <v>0</v>
      </c>
      <c r="AI17">
        <v>1</v>
      </c>
      <c r="AJ17">
        <v>0</v>
      </c>
      <c r="AK17">
        <v>0</v>
      </c>
      <c r="AL17">
        <v>0</v>
      </c>
      <c r="AM17" t="s">
        <v>54</v>
      </c>
      <c r="AN17">
        <v>0</v>
      </c>
      <c r="AO17">
        <v>2</v>
      </c>
      <c r="AP17">
        <v>0</v>
      </c>
      <c r="AQ17">
        <v>1</v>
      </c>
      <c r="AR17">
        <v>0</v>
      </c>
      <c r="AS17">
        <v>0</v>
      </c>
    </row>
    <row r="18" spans="1:45" x14ac:dyDescent="0.2">
      <c r="A18" t="s">
        <v>89</v>
      </c>
      <c r="B18" s="3">
        <f t="shared" si="0"/>
        <v>45870</v>
      </c>
      <c r="C18" t="s">
        <v>56</v>
      </c>
      <c r="D18" s="1">
        <v>1.4270833333333333E-2</v>
      </c>
      <c r="E18">
        <v>29</v>
      </c>
      <c r="F18" t="s">
        <v>74</v>
      </c>
      <c r="G18" t="s">
        <v>91</v>
      </c>
      <c r="H18" t="s">
        <v>48</v>
      </c>
      <c r="I18" s="2" t="s">
        <v>78</v>
      </c>
      <c r="J18" s="2" t="s">
        <v>50</v>
      </c>
      <c r="K18" s="2" t="s">
        <v>60</v>
      </c>
      <c r="L18" s="2" t="s">
        <v>81</v>
      </c>
      <c r="M18" s="2" t="s">
        <v>90</v>
      </c>
      <c r="N18">
        <v>0</v>
      </c>
      <c r="O18">
        <v>0</v>
      </c>
      <c r="P18">
        <v>1</v>
      </c>
      <c r="Q18">
        <v>0</v>
      </c>
      <c r="R18">
        <v>0</v>
      </c>
      <c r="S18">
        <v>0</v>
      </c>
      <c r="T18">
        <v>0</v>
      </c>
      <c r="U18">
        <v>0</v>
      </c>
      <c r="V18">
        <v>0</v>
      </c>
      <c r="W18">
        <v>0</v>
      </c>
      <c r="X18">
        <v>0</v>
      </c>
      <c r="Y18">
        <v>0</v>
      </c>
      <c r="Z18">
        <v>0</v>
      </c>
      <c r="AA18">
        <v>0</v>
      </c>
      <c r="AB18">
        <v>0</v>
      </c>
      <c r="AC18">
        <v>0</v>
      </c>
      <c r="AD18">
        <v>0</v>
      </c>
      <c r="AE18">
        <v>0</v>
      </c>
      <c r="AF18">
        <v>0</v>
      </c>
      <c r="AG18">
        <v>0</v>
      </c>
      <c r="AH18">
        <v>0</v>
      </c>
      <c r="AI18">
        <v>0</v>
      </c>
      <c r="AJ18">
        <v>1</v>
      </c>
      <c r="AK18">
        <v>0</v>
      </c>
      <c r="AL18">
        <v>0</v>
      </c>
      <c r="AM18" t="s">
        <v>54</v>
      </c>
      <c r="AN18">
        <v>0</v>
      </c>
      <c r="AO18">
        <v>1</v>
      </c>
      <c r="AP18">
        <v>2</v>
      </c>
      <c r="AQ18">
        <v>0</v>
      </c>
      <c r="AR18">
        <v>0</v>
      </c>
      <c r="AS18">
        <v>0</v>
      </c>
    </row>
    <row r="19" spans="1:45" x14ac:dyDescent="0.2">
      <c r="A19" t="s">
        <v>92</v>
      </c>
      <c r="B19" s="3">
        <f t="shared" si="0"/>
        <v>45870</v>
      </c>
      <c r="C19" t="s">
        <v>93</v>
      </c>
      <c r="D19" s="1">
        <v>1.0428240740740741E-2</v>
      </c>
      <c r="E19">
        <v>27</v>
      </c>
      <c r="F19" t="s">
        <v>94</v>
      </c>
      <c r="G19" t="s">
        <v>95</v>
      </c>
      <c r="H19" t="s">
        <v>70</v>
      </c>
      <c r="I19" s="2" t="s">
        <v>96</v>
      </c>
      <c r="J19" s="2" t="s">
        <v>59</v>
      </c>
      <c r="K19" s="2" t="s">
        <v>49</v>
      </c>
      <c r="L19" s="2" t="s">
        <v>76</v>
      </c>
      <c r="M19" s="2" t="s">
        <v>90</v>
      </c>
      <c r="N19">
        <v>0</v>
      </c>
      <c r="O19">
        <v>0</v>
      </c>
      <c r="P19">
        <v>1</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t="s">
        <v>54</v>
      </c>
      <c r="AN19">
        <v>0</v>
      </c>
      <c r="AO19">
        <v>0</v>
      </c>
      <c r="AP19">
        <v>1</v>
      </c>
      <c r="AQ19">
        <v>0</v>
      </c>
      <c r="AR19">
        <v>0</v>
      </c>
      <c r="AS19">
        <v>0</v>
      </c>
    </row>
    <row r="20" spans="1:45" x14ac:dyDescent="0.2">
      <c r="A20" t="s">
        <v>97</v>
      </c>
      <c r="B20" s="3">
        <f t="shared" si="0"/>
        <v>45870</v>
      </c>
      <c r="C20" t="s">
        <v>93</v>
      </c>
      <c r="D20" s="1">
        <v>1.087962962962963E-2</v>
      </c>
      <c r="E20">
        <v>14</v>
      </c>
      <c r="F20" t="s">
        <v>98</v>
      </c>
      <c r="G20" t="s">
        <v>75</v>
      </c>
      <c r="H20" t="s">
        <v>48</v>
      </c>
      <c r="I20" s="2" t="s">
        <v>58</v>
      </c>
      <c r="J20" s="2" t="s">
        <v>50</v>
      </c>
      <c r="K20" s="2" t="s">
        <v>59</v>
      </c>
      <c r="L20" s="2" t="s">
        <v>72</v>
      </c>
      <c r="M20" s="2" t="s">
        <v>61</v>
      </c>
      <c r="N20">
        <v>0</v>
      </c>
      <c r="O20">
        <v>0</v>
      </c>
      <c r="P20">
        <v>0</v>
      </c>
      <c r="Q20">
        <v>0</v>
      </c>
      <c r="R20">
        <v>0</v>
      </c>
      <c r="S20">
        <v>0</v>
      </c>
      <c r="T20">
        <v>0</v>
      </c>
      <c r="U20">
        <v>0</v>
      </c>
      <c r="V20">
        <v>1</v>
      </c>
      <c r="W20">
        <v>1</v>
      </c>
      <c r="X20">
        <v>0</v>
      </c>
      <c r="Y20">
        <v>0</v>
      </c>
      <c r="Z20">
        <v>0</v>
      </c>
      <c r="AA20">
        <v>0</v>
      </c>
      <c r="AB20">
        <v>1</v>
      </c>
      <c r="AC20">
        <v>0</v>
      </c>
      <c r="AD20">
        <v>0</v>
      </c>
      <c r="AE20">
        <v>0</v>
      </c>
      <c r="AF20">
        <v>0</v>
      </c>
      <c r="AG20">
        <v>0</v>
      </c>
      <c r="AH20">
        <v>0</v>
      </c>
      <c r="AI20">
        <v>0</v>
      </c>
      <c r="AJ20">
        <v>0</v>
      </c>
      <c r="AK20">
        <v>0</v>
      </c>
      <c r="AL20">
        <v>0</v>
      </c>
      <c r="AM20" t="s">
        <v>54</v>
      </c>
      <c r="AN20">
        <v>1</v>
      </c>
      <c r="AO20">
        <v>2</v>
      </c>
      <c r="AP20">
        <v>1</v>
      </c>
      <c r="AQ20">
        <v>1</v>
      </c>
      <c r="AR20">
        <v>2</v>
      </c>
      <c r="AS20">
        <v>1</v>
      </c>
    </row>
    <row r="21" spans="1:45" x14ac:dyDescent="0.2">
      <c r="A21" t="s">
        <v>99</v>
      </c>
      <c r="B21" s="3">
        <f t="shared" si="0"/>
        <v>45901</v>
      </c>
      <c r="C21" t="s">
        <v>100</v>
      </c>
      <c r="D21" s="1">
        <v>1.3113425925925926E-2</v>
      </c>
      <c r="E21">
        <v>16</v>
      </c>
      <c r="F21" t="s">
        <v>101</v>
      </c>
      <c r="G21" t="s">
        <v>64</v>
      </c>
      <c r="H21" t="s">
        <v>48</v>
      </c>
      <c r="I21" s="2" t="s">
        <v>60</v>
      </c>
      <c r="J21" s="2" t="s">
        <v>50</v>
      </c>
      <c r="K21" s="2" t="s">
        <v>60</v>
      </c>
      <c r="L21" s="2" t="s">
        <v>49</v>
      </c>
      <c r="M21" s="2" t="s">
        <v>90</v>
      </c>
      <c r="N21">
        <v>0</v>
      </c>
      <c r="O21">
        <v>0</v>
      </c>
      <c r="P21">
        <v>0</v>
      </c>
      <c r="Q21">
        <v>1</v>
      </c>
      <c r="R21">
        <v>0</v>
      </c>
      <c r="S21">
        <v>0</v>
      </c>
      <c r="T21">
        <v>0</v>
      </c>
      <c r="U21">
        <v>0</v>
      </c>
      <c r="V21">
        <v>0</v>
      </c>
      <c r="W21">
        <v>0</v>
      </c>
      <c r="X21">
        <v>0</v>
      </c>
      <c r="Y21">
        <v>0</v>
      </c>
      <c r="Z21">
        <v>0</v>
      </c>
      <c r="AA21">
        <v>1</v>
      </c>
      <c r="AB21">
        <v>0</v>
      </c>
      <c r="AC21">
        <v>0</v>
      </c>
      <c r="AD21">
        <v>0</v>
      </c>
      <c r="AE21">
        <v>0</v>
      </c>
      <c r="AF21">
        <v>0</v>
      </c>
      <c r="AG21">
        <v>0</v>
      </c>
      <c r="AH21">
        <v>0</v>
      </c>
      <c r="AI21">
        <v>0</v>
      </c>
      <c r="AJ21">
        <v>0</v>
      </c>
      <c r="AK21">
        <v>0</v>
      </c>
      <c r="AL21">
        <v>0</v>
      </c>
      <c r="AM21" t="s">
        <v>54</v>
      </c>
      <c r="AN21">
        <v>0</v>
      </c>
      <c r="AO21">
        <v>1</v>
      </c>
      <c r="AP21">
        <v>0</v>
      </c>
      <c r="AQ21">
        <v>0</v>
      </c>
      <c r="AR21">
        <v>1</v>
      </c>
      <c r="AS21">
        <v>0</v>
      </c>
    </row>
    <row r="22" spans="1:45" x14ac:dyDescent="0.2">
      <c r="A22" t="s">
        <v>102</v>
      </c>
      <c r="B22" s="3">
        <f t="shared" si="0"/>
        <v>45901</v>
      </c>
      <c r="C22" t="s">
        <v>45</v>
      </c>
      <c r="D22" s="1">
        <v>7.4884259259259262E-3</v>
      </c>
      <c r="E22">
        <v>29</v>
      </c>
      <c r="F22" t="s">
        <v>74</v>
      </c>
      <c r="G22" t="s">
        <v>103</v>
      </c>
      <c r="H22" t="s">
        <v>48</v>
      </c>
      <c r="I22" s="2" t="s">
        <v>58</v>
      </c>
      <c r="J22" s="2" t="s">
        <v>50</v>
      </c>
      <c r="K22" s="2" t="s">
        <v>59</v>
      </c>
      <c r="L22" s="2" t="s">
        <v>49</v>
      </c>
      <c r="M22" s="2" t="s">
        <v>90</v>
      </c>
      <c r="N22">
        <v>0</v>
      </c>
      <c r="O22">
        <v>0</v>
      </c>
      <c r="P22">
        <v>1</v>
      </c>
      <c r="Q22">
        <v>0</v>
      </c>
      <c r="R22">
        <v>0</v>
      </c>
      <c r="S22">
        <v>0</v>
      </c>
      <c r="T22">
        <v>0</v>
      </c>
      <c r="U22">
        <v>0</v>
      </c>
      <c r="V22">
        <v>0</v>
      </c>
      <c r="W22">
        <v>0</v>
      </c>
      <c r="X22">
        <v>0</v>
      </c>
      <c r="Y22">
        <v>0</v>
      </c>
      <c r="Z22">
        <v>0</v>
      </c>
      <c r="AA22">
        <v>0</v>
      </c>
      <c r="AB22">
        <v>0</v>
      </c>
      <c r="AC22">
        <v>0</v>
      </c>
      <c r="AD22">
        <v>0</v>
      </c>
      <c r="AE22">
        <v>0</v>
      </c>
      <c r="AF22">
        <v>0</v>
      </c>
      <c r="AG22">
        <v>0</v>
      </c>
      <c r="AH22">
        <v>0</v>
      </c>
      <c r="AI22">
        <v>0</v>
      </c>
      <c r="AJ22">
        <v>1</v>
      </c>
      <c r="AK22">
        <v>0</v>
      </c>
      <c r="AL22">
        <v>0</v>
      </c>
      <c r="AM22" t="s">
        <v>54</v>
      </c>
      <c r="AN22">
        <v>0</v>
      </c>
      <c r="AO22">
        <v>1</v>
      </c>
      <c r="AP22">
        <v>2</v>
      </c>
      <c r="AQ22">
        <v>0</v>
      </c>
      <c r="AR22">
        <v>0</v>
      </c>
      <c r="AS22">
        <v>0</v>
      </c>
    </row>
    <row r="23" spans="1:45" x14ac:dyDescent="0.2">
      <c r="A23" t="s">
        <v>104</v>
      </c>
      <c r="B23" s="3">
        <f t="shared" si="0"/>
        <v>45901</v>
      </c>
      <c r="C23" t="s">
        <v>56</v>
      </c>
      <c r="D23" s="1">
        <v>8.9930555555555562E-3</v>
      </c>
      <c r="E23">
        <v>31</v>
      </c>
      <c r="F23" t="s">
        <v>105</v>
      </c>
      <c r="G23" t="s">
        <v>106</v>
      </c>
      <c r="H23" t="s">
        <v>48</v>
      </c>
      <c r="I23" s="2" t="s">
        <v>71</v>
      </c>
      <c r="J23" s="2" t="s">
        <v>50</v>
      </c>
      <c r="K23" s="2" t="s">
        <v>60</v>
      </c>
      <c r="L23" s="2" t="s">
        <v>76</v>
      </c>
      <c r="M23" s="2" t="s">
        <v>53</v>
      </c>
      <c r="N23">
        <v>0</v>
      </c>
      <c r="O23">
        <v>0</v>
      </c>
      <c r="P23">
        <v>1</v>
      </c>
      <c r="Q23">
        <v>0</v>
      </c>
      <c r="R23">
        <v>0</v>
      </c>
      <c r="S23">
        <v>0</v>
      </c>
      <c r="T23">
        <v>0</v>
      </c>
      <c r="U23">
        <v>0</v>
      </c>
      <c r="V23">
        <v>0</v>
      </c>
      <c r="W23">
        <v>0</v>
      </c>
      <c r="X23">
        <v>0</v>
      </c>
      <c r="Y23">
        <v>1</v>
      </c>
      <c r="Z23">
        <v>0</v>
      </c>
      <c r="AA23">
        <v>0</v>
      </c>
      <c r="AB23">
        <v>0</v>
      </c>
      <c r="AC23">
        <v>0</v>
      </c>
      <c r="AD23">
        <v>0</v>
      </c>
      <c r="AE23">
        <v>0</v>
      </c>
      <c r="AF23">
        <v>0</v>
      </c>
      <c r="AG23">
        <v>0</v>
      </c>
      <c r="AH23">
        <v>0</v>
      </c>
      <c r="AI23">
        <v>0</v>
      </c>
      <c r="AJ23">
        <v>0</v>
      </c>
      <c r="AK23">
        <v>0</v>
      </c>
      <c r="AL23">
        <v>0</v>
      </c>
      <c r="AM23" t="s">
        <v>54</v>
      </c>
      <c r="AN23">
        <v>0</v>
      </c>
      <c r="AO23">
        <v>1</v>
      </c>
      <c r="AP23">
        <v>1</v>
      </c>
      <c r="AQ23">
        <v>0</v>
      </c>
      <c r="AR23">
        <v>0</v>
      </c>
      <c r="AS23">
        <v>0</v>
      </c>
    </row>
    <row r="24" spans="1:45" x14ac:dyDescent="0.2">
      <c r="A24" t="s">
        <v>104</v>
      </c>
      <c r="B24" s="3">
        <f t="shared" si="0"/>
        <v>45901</v>
      </c>
      <c r="C24" t="s">
        <v>56</v>
      </c>
      <c r="D24" s="1">
        <v>1.3912037037037037E-2</v>
      </c>
      <c r="E24">
        <v>31</v>
      </c>
      <c r="F24" t="s">
        <v>105</v>
      </c>
      <c r="G24" t="s">
        <v>91</v>
      </c>
      <c r="H24" t="s">
        <v>70</v>
      </c>
      <c r="I24" s="2" t="s">
        <v>60</v>
      </c>
      <c r="J24" s="2" t="s">
        <v>50</v>
      </c>
      <c r="K24" s="2" t="s">
        <v>60</v>
      </c>
      <c r="L24" s="2" t="s">
        <v>76</v>
      </c>
      <c r="M24">
        <v>0</v>
      </c>
      <c r="N24">
        <v>0</v>
      </c>
      <c r="O24">
        <v>0</v>
      </c>
      <c r="P24">
        <v>1</v>
      </c>
      <c r="Q24">
        <v>0</v>
      </c>
      <c r="R24">
        <v>0</v>
      </c>
      <c r="S24">
        <v>0</v>
      </c>
      <c r="T24">
        <v>0</v>
      </c>
      <c r="U24">
        <v>0</v>
      </c>
      <c r="V24">
        <v>0</v>
      </c>
      <c r="W24">
        <v>0</v>
      </c>
      <c r="X24">
        <v>0</v>
      </c>
      <c r="Y24">
        <v>1</v>
      </c>
      <c r="Z24">
        <v>0</v>
      </c>
      <c r="AA24">
        <v>0</v>
      </c>
      <c r="AB24">
        <v>0</v>
      </c>
      <c r="AC24">
        <v>0</v>
      </c>
      <c r="AD24">
        <v>0</v>
      </c>
      <c r="AE24">
        <v>0</v>
      </c>
      <c r="AF24">
        <v>0</v>
      </c>
      <c r="AG24">
        <v>0</v>
      </c>
      <c r="AH24">
        <v>0</v>
      </c>
      <c r="AI24">
        <v>0</v>
      </c>
      <c r="AJ24">
        <v>0</v>
      </c>
      <c r="AK24">
        <v>0</v>
      </c>
      <c r="AL24">
        <v>0</v>
      </c>
      <c r="AM24" t="s">
        <v>54</v>
      </c>
      <c r="AN24">
        <v>0</v>
      </c>
      <c r="AO24">
        <v>1</v>
      </c>
      <c r="AP24">
        <v>1</v>
      </c>
      <c r="AQ24">
        <v>0</v>
      </c>
      <c r="AR24">
        <v>0</v>
      </c>
      <c r="AS24">
        <v>0</v>
      </c>
    </row>
    <row r="25" spans="1:45" x14ac:dyDescent="0.2">
      <c r="A25" t="s">
        <v>107</v>
      </c>
      <c r="B25" s="3">
        <f t="shared" si="0"/>
        <v>45901</v>
      </c>
      <c r="C25" t="s">
        <v>93</v>
      </c>
      <c r="D25" s="1">
        <v>1.3900462962962963E-2</v>
      </c>
      <c r="E25">
        <v>31</v>
      </c>
      <c r="F25" t="s">
        <v>105</v>
      </c>
      <c r="G25" t="s">
        <v>95</v>
      </c>
      <c r="H25" t="s">
        <v>70</v>
      </c>
      <c r="I25" s="2" t="s">
        <v>58</v>
      </c>
      <c r="J25" s="2" t="s">
        <v>59</v>
      </c>
      <c r="K25" s="2" t="s">
        <v>59</v>
      </c>
      <c r="L25" s="2" t="s">
        <v>108</v>
      </c>
      <c r="M25" s="2" t="s">
        <v>61</v>
      </c>
      <c r="N25">
        <v>0</v>
      </c>
      <c r="O25">
        <v>0</v>
      </c>
      <c r="P25">
        <v>1</v>
      </c>
      <c r="Q25">
        <v>0</v>
      </c>
      <c r="R25">
        <v>0</v>
      </c>
      <c r="S25">
        <v>0</v>
      </c>
      <c r="T25">
        <v>0</v>
      </c>
      <c r="U25">
        <v>0</v>
      </c>
      <c r="V25">
        <v>0</v>
      </c>
      <c r="W25">
        <v>0</v>
      </c>
      <c r="X25">
        <v>0</v>
      </c>
      <c r="Y25">
        <v>1</v>
      </c>
      <c r="Z25">
        <v>0</v>
      </c>
      <c r="AA25">
        <v>0</v>
      </c>
      <c r="AB25">
        <v>0</v>
      </c>
      <c r="AC25">
        <v>0</v>
      </c>
      <c r="AD25">
        <v>0</v>
      </c>
      <c r="AE25">
        <v>0</v>
      </c>
      <c r="AF25">
        <v>0</v>
      </c>
      <c r="AG25">
        <v>0</v>
      </c>
      <c r="AH25">
        <v>0</v>
      </c>
      <c r="AI25">
        <v>0</v>
      </c>
      <c r="AJ25">
        <v>0</v>
      </c>
      <c r="AK25">
        <v>0</v>
      </c>
      <c r="AL25">
        <v>0</v>
      </c>
      <c r="AM25" t="s">
        <v>54</v>
      </c>
      <c r="AN25">
        <v>0</v>
      </c>
      <c r="AO25">
        <v>1</v>
      </c>
      <c r="AP25">
        <v>1</v>
      </c>
      <c r="AQ25">
        <v>0</v>
      </c>
      <c r="AR25">
        <v>0</v>
      </c>
      <c r="AS25">
        <v>0</v>
      </c>
    </row>
    <row r="26" spans="1:45" x14ac:dyDescent="0.2">
      <c r="A26" t="s">
        <v>107</v>
      </c>
      <c r="B26" s="3">
        <f t="shared" si="0"/>
        <v>45901</v>
      </c>
      <c r="C26" t="s">
        <v>93</v>
      </c>
      <c r="D26" s="1">
        <v>1.3900462962962963E-2</v>
      </c>
      <c r="E26">
        <v>16</v>
      </c>
      <c r="F26" t="s">
        <v>101</v>
      </c>
      <c r="G26" t="s">
        <v>75</v>
      </c>
      <c r="H26" t="s">
        <v>70</v>
      </c>
      <c r="I26" s="2" t="s">
        <v>71</v>
      </c>
      <c r="J26" s="2" t="s">
        <v>50</v>
      </c>
      <c r="K26" s="2" t="s">
        <v>59</v>
      </c>
      <c r="L26" s="2" t="s">
        <v>49</v>
      </c>
      <c r="M26" s="2" t="s">
        <v>61</v>
      </c>
      <c r="N26">
        <v>0</v>
      </c>
      <c r="O26">
        <v>0</v>
      </c>
      <c r="P26">
        <v>0</v>
      </c>
      <c r="Q26">
        <v>1</v>
      </c>
      <c r="R26">
        <v>0</v>
      </c>
      <c r="S26">
        <v>0</v>
      </c>
      <c r="T26">
        <v>0</v>
      </c>
      <c r="U26">
        <v>0</v>
      </c>
      <c r="V26">
        <v>0</v>
      </c>
      <c r="W26">
        <v>0</v>
      </c>
      <c r="X26">
        <v>0</v>
      </c>
      <c r="Y26">
        <v>0</v>
      </c>
      <c r="Z26">
        <v>0</v>
      </c>
      <c r="AA26">
        <v>1</v>
      </c>
      <c r="AB26">
        <v>0</v>
      </c>
      <c r="AC26">
        <v>0</v>
      </c>
      <c r="AD26">
        <v>0</v>
      </c>
      <c r="AE26">
        <v>0</v>
      </c>
      <c r="AF26">
        <v>0</v>
      </c>
      <c r="AG26">
        <v>0</v>
      </c>
      <c r="AH26">
        <v>0</v>
      </c>
      <c r="AI26">
        <v>0</v>
      </c>
      <c r="AJ26">
        <v>0</v>
      </c>
      <c r="AK26">
        <v>0</v>
      </c>
      <c r="AL26">
        <v>0</v>
      </c>
      <c r="AM26" t="s">
        <v>54</v>
      </c>
      <c r="AN26">
        <v>0</v>
      </c>
      <c r="AO26">
        <v>1</v>
      </c>
      <c r="AP26">
        <v>0</v>
      </c>
      <c r="AQ26">
        <v>0</v>
      </c>
      <c r="AR26">
        <v>1</v>
      </c>
      <c r="AS26">
        <v>0</v>
      </c>
    </row>
    <row r="27" spans="1:45" x14ac:dyDescent="0.2">
      <c r="A27" t="s">
        <v>107</v>
      </c>
      <c r="B27" s="3">
        <f t="shared" si="0"/>
        <v>45901</v>
      </c>
      <c r="C27" t="s">
        <v>93</v>
      </c>
      <c r="D27" s="1">
        <v>1.3182870370370371E-2</v>
      </c>
      <c r="E27">
        <v>29</v>
      </c>
      <c r="F27" t="s">
        <v>74</v>
      </c>
      <c r="G27" t="s">
        <v>109</v>
      </c>
      <c r="H27" t="s">
        <v>48</v>
      </c>
      <c r="I27" s="2" t="s">
        <v>58</v>
      </c>
      <c r="J27" s="2" t="s">
        <v>50</v>
      </c>
      <c r="K27" s="2" t="s">
        <v>59</v>
      </c>
      <c r="L27" s="2" t="s">
        <v>76</v>
      </c>
      <c r="M27" s="2" t="s">
        <v>61</v>
      </c>
      <c r="N27">
        <v>0</v>
      </c>
      <c r="O27">
        <v>0</v>
      </c>
      <c r="P27">
        <v>1</v>
      </c>
      <c r="Q27">
        <v>0</v>
      </c>
      <c r="R27">
        <v>0</v>
      </c>
      <c r="S27">
        <v>0</v>
      </c>
      <c r="T27">
        <v>0</v>
      </c>
      <c r="U27">
        <v>0</v>
      </c>
      <c r="V27">
        <v>0</v>
      </c>
      <c r="W27">
        <v>0</v>
      </c>
      <c r="X27">
        <v>0</v>
      </c>
      <c r="Y27">
        <v>0</v>
      </c>
      <c r="Z27">
        <v>0</v>
      </c>
      <c r="AA27">
        <v>0</v>
      </c>
      <c r="AB27">
        <v>0</v>
      </c>
      <c r="AC27">
        <v>0</v>
      </c>
      <c r="AD27">
        <v>0</v>
      </c>
      <c r="AE27">
        <v>0</v>
      </c>
      <c r="AF27">
        <v>0</v>
      </c>
      <c r="AG27">
        <v>0</v>
      </c>
      <c r="AH27">
        <v>0</v>
      </c>
      <c r="AI27">
        <v>0</v>
      </c>
      <c r="AJ27">
        <v>1</v>
      </c>
      <c r="AK27">
        <v>0</v>
      </c>
      <c r="AL27">
        <v>0</v>
      </c>
      <c r="AM27" t="s">
        <v>54</v>
      </c>
      <c r="AN27">
        <v>0</v>
      </c>
      <c r="AO27">
        <v>1</v>
      </c>
      <c r="AP27">
        <v>2</v>
      </c>
      <c r="AQ27">
        <v>0</v>
      </c>
      <c r="AR27">
        <v>0</v>
      </c>
      <c r="AS27">
        <v>0</v>
      </c>
    </row>
    <row r="28" spans="1:45" x14ac:dyDescent="0.2">
      <c r="A28" t="s">
        <v>110</v>
      </c>
      <c r="B28" s="3">
        <f t="shared" si="0"/>
        <v>45901</v>
      </c>
      <c r="C28" t="s">
        <v>45</v>
      </c>
      <c r="D28" s="1">
        <v>1.306712962962963E-2</v>
      </c>
      <c r="E28">
        <v>31</v>
      </c>
      <c r="F28" t="s">
        <v>105</v>
      </c>
      <c r="G28" t="s">
        <v>103</v>
      </c>
      <c r="H28" t="s">
        <v>48</v>
      </c>
      <c r="I28" s="2" t="s">
        <v>58</v>
      </c>
      <c r="J28" s="2" t="s">
        <v>50</v>
      </c>
      <c r="K28" s="2" t="s">
        <v>60</v>
      </c>
      <c r="L28" s="2" t="s">
        <v>49</v>
      </c>
      <c r="M28" s="2" t="s">
        <v>53</v>
      </c>
      <c r="N28">
        <v>0</v>
      </c>
      <c r="O28">
        <v>0</v>
      </c>
      <c r="P28">
        <v>1</v>
      </c>
      <c r="Q28">
        <v>0</v>
      </c>
      <c r="R28">
        <v>0</v>
      </c>
      <c r="S28">
        <v>0</v>
      </c>
      <c r="T28">
        <v>0</v>
      </c>
      <c r="U28">
        <v>0</v>
      </c>
      <c r="V28">
        <v>0</v>
      </c>
      <c r="W28">
        <v>0</v>
      </c>
      <c r="X28">
        <v>0</v>
      </c>
      <c r="Y28">
        <v>1</v>
      </c>
      <c r="Z28">
        <v>0</v>
      </c>
      <c r="AA28">
        <v>0</v>
      </c>
      <c r="AB28">
        <v>0</v>
      </c>
      <c r="AC28">
        <v>0</v>
      </c>
      <c r="AD28">
        <v>0</v>
      </c>
      <c r="AE28">
        <v>0</v>
      </c>
      <c r="AF28">
        <v>0</v>
      </c>
      <c r="AG28">
        <v>0</v>
      </c>
      <c r="AH28">
        <v>0</v>
      </c>
      <c r="AI28">
        <v>0</v>
      </c>
      <c r="AJ28">
        <v>0</v>
      </c>
      <c r="AK28">
        <v>0</v>
      </c>
      <c r="AL28">
        <v>0</v>
      </c>
      <c r="AM28" t="s">
        <v>54</v>
      </c>
      <c r="AN28">
        <v>0</v>
      </c>
      <c r="AO28">
        <v>1</v>
      </c>
      <c r="AP28">
        <v>1</v>
      </c>
      <c r="AQ28">
        <v>0</v>
      </c>
      <c r="AR28">
        <v>0</v>
      </c>
      <c r="AS28">
        <v>0</v>
      </c>
    </row>
    <row r="29" spans="1:45" x14ac:dyDescent="0.2">
      <c r="A29" t="s">
        <v>110</v>
      </c>
      <c r="B29" s="3">
        <f t="shared" si="0"/>
        <v>45901</v>
      </c>
      <c r="C29" t="s">
        <v>45</v>
      </c>
      <c r="D29" s="1">
        <v>1.1041666666666667E-2</v>
      </c>
      <c r="E29">
        <v>14</v>
      </c>
      <c r="F29" t="s">
        <v>98</v>
      </c>
      <c r="G29" t="s">
        <v>47</v>
      </c>
      <c r="H29" t="s">
        <v>48</v>
      </c>
      <c r="I29" s="2" t="s">
        <v>65</v>
      </c>
      <c r="J29" s="2" t="s">
        <v>50</v>
      </c>
      <c r="K29" s="2" t="s">
        <v>60</v>
      </c>
      <c r="L29" s="2" t="s">
        <v>111</v>
      </c>
      <c r="M29" s="2" t="s">
        <v>112</v>
      </c>
      <c r="N29">
        <v>0</v>
      </c>
      <c r="O29">
        <v>0</v>
      </c>
      <c r="P29">
        <v>0</v>
      </c>
      <c r="Q29">
        <v>0</v>
      </c>
      <c r="R29">
        <v>0</v>
      </c>
      <c r="S29">
        <v>0</v>
      </c>
      <c r="T29">
        <v>0</v>
      </c>
      <c r="U29">
        <v>0</v>
      </c>
      <c r="V29">
        <v>1</v>
      </c>
      <c r="W29">
        <v>1</v>
      </c>
      <c r="X29">
        <v>0</v>
      </c>
      <c r="Y29">
        <v>0</v>
      </c>
      <c r="Z29">
        <v>0</v>
      </c>
      <c r="AA29">
        <v>0</v>
      </c>
      <c r="AB29">
        <v>1</v>
      </c>
      <c r="AC29">
        <v>0</v>
      </c>
      <c r="AD29">
        <v>0</v>
      </c>
      <c r="AE29">
        <v>0</v>
      </c>
      <c r="AF29">
        <v>0</v>
      </c>
      <c r="AG29">
        <v>0</v>
      </c>
      <c r="AH29">
        <v>0</v>
      </c>
      <c r="AI29">
        <v>0</v>
      </c>
      <c r="AJ29">
        <v>0</v>
      </c>
      <c r="AK29">
        <v>0</v>
      </c>
      <c r="AL29">
        <v>0</v>
      </c>
      <c r="AM29" t="s">
        <v>54</v>
      </c>
      <c r="AN29">
        <v>1</v>
      </c>
      <c r="AO29">
        <v>2</v>
      </c>
      <c r="AP29">
        <v>1</v>
      </c>
      <c r="AQ29">
        <v>1</v>
      </c>
      <c r="AR29">
        <v>2</v>
      </c>
      <c r="AS29">
        <v>1</v>
      </c>
    </row>
    <row r="30" spans="1:45" x14ac:dyDescent="0.2">
      <c r="A30" t="s">
        <v>113</v>
      </c>
      <c r="B30" s="3">
        <f t="shared" si="0"/>
        <v>45901</v>
      </c>
      <c r="C30" t="s">
        <v>56</v>
      </c>
      <c r="D30" s="1">
        <v>1.3333333333333334E-2</v>
      </c>
      <c r="E30">
        <v>6</v>
      </c>
      <c r="F30" t="s">
        <v>80</v>
      </c>
      <c r="G30" t="s">
        <v>106</v>
      </c>
      <c r="H30" t="s">
        <v>48</v>
      </c>
      <c r="I30" s="2" t="s">
        <v>49</v>
      </c>
      <c r="J30" s="2" t="s">
        <v>50</v>
      </c>
      <c r="K30" s="2" t="s">
        <v>49</v>
      </c>
      <c r="L30" s="2" t="s">
        <v>81</v>
      </c>
      <c r="M30" s="2" t="s">
        <v>61</v>
      </c>
      <c r="N30">
        <v>0</v>
      </c>
      <c r="O30">
        <v>0</v>
      </c>
      <c r="P30">
        <v>0</v>
      </c>
      <c r="Q30">
        <v>0</v>
      </c>
      <c r="R30">
        <v>0</v>
      </c>
      <c r="S30">
        <v>0</v>
      </c>
      <c r="T30">
        <v>0</v>
      </c>
      <c r="U30">
        <v>0</v>
      </c>
      <c r="V30">
        <v>1</v>
      </c>
      <c r="W30">
        <v>0</v>
      </c>
      <c r="X30">
        <v>0</v>
      </c>
      <c r="Y30">
        <v>0</v>
      </c>
      <c r="Z30">
        <v>0</v>
      </c>
      <c r="AA30">
        <v>0</v>
      </c>
      <c r="AB30">
        <v>0</v>
      </c>
      <c r="AC30">
        <v>0</v>
      </c>
      <c r="AD30">
        <v>0</v>
      </c>
      <c r="AE30">
        <v>0</v>
      </c>
      <c r="AF30">
        <v>0</v>
      </c>
      <c r="AG30">
        <v>1</v>
      </c>
      <c r="AH30">
        <v>1</v>
      </c>
      <c r="AI30">
        <v>1</v>
      </c>
      <c r="AJ30">
        <v>0</v>
      </c>
      <c r="AK30">
        <v>0</v>
      </c>
      <c r="AL30">
        <v>0</v>
      </c>
      <c r="AM30" t="s">
        <v>54</v>
      </c>
      <c r="AN30">
        <v>0</v>
      </c>
      <c r="AO30">
        <v>2</v>
      </c>
      <c r="AP30">
        <v>0</v>
      </c>
      <c r="AQ30">
        <v>2</v>
      </c>
      <c r="AR30">
        <v>0</v>
      </c>
      <c r="AS30">
        <v>0</v>
      </c>
    </row>
    <row r="31" spans="1:45" x14ac:dyDescent="0.2">
      <c r="A31" t="s">
        <v>114</v>
      </c>
      <c r="B31" s="3">
        <f t="shared" si="0"/>
        <v>45901</v>
      </c>
      <c r="C31" t="s">
        <v>93</v>
      </c>
      <c r="D31" s="1">
        <v>1.3900462962962963E-2</v>
      </c>
      <c r="E31">
        <v>4</v>
      </c>
      <c r="F31" t="s">
        <v>115</v>
      </c>
      <c r="G31" t="s">
        <v>75</v>
      </c>
      <c r="H31" t="s">
        <v>70</v>
      </c>
      <c r="I31" s="2" t="s">
        <v>71</v>
      </c>
      <c r="J31" s="2" t="s">
        <v>50</v>
      </c>
      <c r="K31" s="2" t="s">
        <v>49</v>
      </c>
      <c r="L31" s="2" t="s">
        <v>76</v>
      </c>
      <c r="M31" s="2" t="s">
        <v>90</v>
      </c>
      <c r="N31">
        <v>1</v>
      </c>
      <c r="O31">
        <v>0</v>
      </c>
      <c r="P31">
        <v>0</v>
      </c>
      <c r="Q31">
        <v>0</v>
      </c>
      <c r="R31">
        <v>0</v>
      </c>
      <c r="S31">
        <v>0</v>
      </c>
      <c r="T31">
        <v>0</v>
      </c>
      <c r="U31">
        <v>0</v>
      </c>
      <c r="V31">
        <v>0</v>
      </c>
      <c r="W31">
        <v>0</v>
      </c>
      <c r="X31">
        <v>0</v>
      </c>
      <c r="Y31">
        <v>0</v>
      </c>
      <c r="Z31">
        <v>0</v>
      </c>
      <c r="AA31">
        <v>0</v>
      </c>
      <c r="AB31">
        <v>1</v>
      </c>
      <c r="AC31">
        <v>0</v>
      </c>
      <c r="AD31">
        <v>1</v>
      </c>
      <c r="AE31">
        <v>0</v>
      </c>
      <c r="AF31">
        <v>1</v>
      </c>
      <c r="AG31">
        <v>0</v>
      </c>
      <c r="AH31">
        <v>0</v>
      </c>
      <c r="AI31">
        <v>0</v>
      </c>
      <c r="AJ31">
        <v>0</v>
      </c>
      <c r="AK31">
        <v>0</v>
      </c>
      <c r="AL31">
        <v>0</v>
      </c>
      <c r="AM31" t="s">
        <v>54</v>
      </c>
      <c r="AN31">
        <v>1</v>
      </c>
      <c r="AO31">
        <v>4</v>
      </c>
      <c r="AP31">
        <v>1</v>
      </c>
      <c r="AQ31">
        <v>1</v>
      </c>
      <c r="AR31">
        <v>1</v>
      </c>
      <c r="AS31">
        <v>1</v>
      </c>
    </row>
    <row r="32" spans="1:45" x14ac:dyDescent="0.2">
      <c r="A32" t="s">
        <v>114</v>
      </c>
      <c r="B32" s="3">
        <f t="shared" si="0"/>
        <v>45901</v>
      </c>
      <c r="C32" t="s">
        <v>93</v>
      </c>
      <c r="D32" s="1">
        <v>1.2847222222222222E-2</v>
      </c>
      <c r="E32">
        <v>31</v>
      </c>
      <c r="F32" t="s">
        <v>105</v>
      </c>
      <c r="G32" t="s">
        <v>109</v>
      </c>
      <c r="H32" t="s">
        <v>48</v>
      </c>
      <c r="I32" s="2" t="s">
        <v>78</v>
      </c>
      <c r="J32" s="2" t="s">
        <v>50</v>
      </c>
      <c r="K32" s="2" t="s">
        <v>49</v>
      </c>
      <c r="L32" s="2" t="s">
        <v>76</v>
      </c>
      <c r="M32" s="2" t="s">
        <v>53</v>
      </c>
      <c r="N32">
        <v>0</v>
      </c>
      <c r="O32">
        <v>0</v>
      </c>
      <c r="P32">
        <v>1</v>
      </c>
      <c r="Q32">
        <v>0</v>
      </c>
      <c r="R32">
        <v>0</v>
      </c>
      <c r="S32">
        <v>0</v>
      </c>
      <c r="T32">
        <v>0</v>
      </c>
      <c r="U32">
        <v>0</v>
      </c>
      <c r="V32">
        <v>0</v>
      </c>
      <c r="W32">
        <v>0</v>
      </c>
      <c r="X32">
        <v>0</v>
      </c>
      <c r="Y32">
        <v>1</v>
      </c>
      <c r="Z32">
        <v>0</v>
      </c>
      <c r="AA32">
        <v>0</v>
      </c>
      <c r="AB32">
        <v>0</v>
      </c>
      <c r="AC32">
        <v>0</v>
      </c>
      <c r="AD32">
        <v>0</v>
      </c>
      <c r="AE32">
        <v>0</v>
      </c>
      <c r="AF32">
        <v>0</v>
      </c>
      <c r="AG32">
        <v>0</v>
      </c>
      <c r="AH32">
        <v>0</v>
      </c>
      <c r="AI32">
        <v>0</v>
      </c>
      <c r="AJ32">
        <v>0</v>
      </c>
      <c r="AK32">
        <v>0</v>
      </c>
      <c r="AL32">
        <v>0</v>
      </c>
      <c r="AM32" t="s">
        <v>54</v>
      </c>
      <c r="AN32">
        <v>0</v>
      </c>
      <c r="AO32">
        <v>1</v>
      </c>
      <c r="AP32">
        <v>1</v>
      </c>
      <c r="AQ32">
        <v>0</v>
      </c>
      <c r="AR32">
        <v>0</v>
      </c>
      <c r="AS32">
        <v>0</v>
      </c>
    </row>
    <row r="33" spans="1:45" x14ac:dyDescent="0.2">
      <c r="A33" t="s">
        <v>116</v>
      </c>
      <c r="B33" s="3">
        <f t="shared" si="0"/>
        <v>45901</v>
      </c>
      <c r="C33" t="s">
        <v>56</v>
      </c>
      <c r="D33" s="1">
        <v>9.1435185185185178E-3</v>
      </c>
      <c r="E33">
        <v>7</v>
      </c>
      <c r="F33" t="s">
        <v>84</v>
      </c>
      <c r="G33" t="s">
        <v>106</v>
      </c>
      <c r="H33" t="s">
        <v>48</v>
      </c>
      <c r="I33" s="2" t="s">
        <v>58</v>
      </c>
      <c r="J33" s="2" t="s">
        <v>59</v>
      </c>
      <c r="K33" s="2" t="s">
        <v>117</v>
      </c>
      <c r="L33" s="2" t="s">
        <v>81</v>
      </c>
      <c r="M33" s="2" t="s">
        <v>61</v>
      </c>
      <c r="N33">
        <v>0</v>
      </c>
      <c r="O33">
        <v>0</v>
      </c>
      <c r="P33">
        <v>0</v>
      </c>
      <c r="Q33">
        <v>0</v>
      </c>
      <c r="R33">
        <v>0</v>
      </c>
      <c r="S33">
        <v>0</v>
      </c>
      <c r="T33">
        <v>1</v>
      </c>
      <c r="U33">
        <v>0</v>
      </c>
      <c r="V33">
        <v>1</v>
      </c>
      <c r="W33">
        <v>0</v>
      </c>
      <c r="X33">
        <v>0</v>
      </c>
      <c r="Y33">
        <v>0</v>
      </c>
      <c r="Z33">
        <v>0</v>
      </c>
      <c r="AA33">
        <v>0</v>
      </c>
      <c r="AB33">
        <v>0</v>
      </c>
      <c r="AC33">
        <v>0</v>
      </c>
      <c r="AD33">
        <v>0</v>
      </c>
      <c r="AE33">
        <v>0</v>
      </c>
      <c r="AF33">
        <v>0</v>
      </c>
      <c r="AG33">
        <v>0</v>
      </c>
      <c r="AH33">
        <v>0</v>
      </c>
      <c r="AI33">
        <v>1</v>
      </c>
      <c r="AJ33">
        <v>0</v>
      </c>
      <c r="AK33">
        <v>0</v>
      </c>
      <c r="AL33">
        <v>0</v>
      </c>
      <c r="AM33" t="s">
        <v>54</v>
      </c>
      <c r="AN33">
        <v>0</v>
      </c>
      <c r="AO33">
        <v>2</v>
      </c>
      <c r="AP33">
        <v>0</v>
      </c>
      <c r="AQ33">
        <v>1</v>
      </c>
      <c r="AR33">
        <v>0</v>
      </c>
      <c r="AS33">
        <v>0</v>
      </c>
    </row>
    <row r="34" spans="1:45" x14ac:dyDescent="0.2">
      <c r="A34" t="s">
        <v>116</v>
      </c>
      <c r="B34" s="3">
        <f t="shared" si="0"/>
        <v>45901</v>
      </c>
      <c r="C34" t="s">
        <v>56</v>
      </c>
      <c r="D34" s="1">
        <v>1.3900462962962963E-2</v>
      </c>
      <c r="E34">
        <v>6</v>
      </c>
      <c r="F34" t="s">
        <v>80</v>
      </c>
      <c r="G34" t="s">
        <v>91</v>
      </c>
      <c r="H34" t="s">
        <v>70</v>
      </c>
      <c r="I34" s="2" t="s">
        <v>78</v>
      </c>
      <c r="J34" s="2" t="s">
        <v>50</v>
      </c>
      <c r="K34" s="2" t="s">
        <v>51</v>
      </c>
      <c r="L34" s="2" t="s">
        <v>81</v>
      </c>
      <c r="M34" s="2" t="s">
        <v>61</v>
      </c>
      <c r="N34">
        <v>0</v>
      </c>
      <c r="O34">
        <v>0</v>
      </c>
      <c r="P34">
        <v>0</v>
      </c>
      <c r="Q34">
        <v>0</v>
      </c>
      <c r="R34">
        <v>0</v>
      </c>
      <c r="S34">
        <v>0</v>
      </c>
      <c r="T34">
        <v>0</v>
      </c>
      <c r="U34">
        <v>0</v>
      </c>
      <c r="V34">
        <v>1</v>
      </c>
      <c r="W34">
        <v>0</v>
      </c>
      <c r="X34">
        <v>0</v>
      </c>
      <c r="Y34">
        <v>0</v>
      </c>
      <c r="Z34">
        <v>0</v>
      </c>
      <c r="AA34">
        <v>0</v>
      </c>
      <c r="AB34">
        <v>0</v>
      </c>
      <c r="AC34">
        <v>0</v>
      </c>
      <c r="AD34">
        <v>0</v>
      </c>
      <c r="AE34">
        <v>0</v>
      </c>
      <c r="AF34">
        <v>0</v>
      </c>
      <c r="AG34">
        <v>1</v>
      </c>
      <c r="AH34">
        <v>1</v>
      </c>
      <c r="AI34">
        <v>1</v>
      </c>
      <c r="AJ34">
        <v>0</v>
      </c>
      <c r="AK34">
        <v>0</v>
      </c>
      <c r="AL34">
        <v>0</v>
      </c>
      <c r="AM34" t="s">
        <v>54</v>
      </c>
      <c r="AN34">
        <v>0</v>
      </c>
      <c r="AO34">
        <v>2</v>
      </c>
      <c r="AP34">
        <v>0</v>
      </c>
      <c r="AQ34">
        <v>2</v>
      </c>
      <c r="AR34">
        <v>0</v>
      </c>
      <c r="AS34">
        <v>0</v>
      </c>
    </row>
    <row r="35" spans="1:45" x14ac:dyDescent="0.2">
      <c r="A35" t="s">
        <v>118</v>
      </c>
      <c r="B35" s="3">
        <f t="shared" si="0"/>
        <v>45901</v>
      </c>
      <c r="C35" t="s">
        <v>93</v>
      </c>
      <c r="D35" s="1">
        <v>1.7291666666666667E-2</v>
      </c>
      <c r="E35">
        <v>29</v>
      </c>
      <c r="F35" t="s">
        <v>74</v>
      </c>
      <c r="G35" t="s">
        <v>119</v>
      </c>
      <c r="H35" t="s">
        <v>48</v>
      </c>
      <c r="I35" s="2" t="s">
        <v>78</v>
      </c>
      <c r="J35" s="2" t="s">
        <v>50</v>
      </c>
      <c r="K35" s="2" t="s">
        <v>59</v>
      </c>
      <c r="L35" s="2" t="s">
        <v>72</v>
      </c>
      <c r="M35">
        <v>0</v>
      </c>
      <c r="N35">
        <v>0</v>
      </c>
      <c r="O35">
        <v>0</v>
      </c>
      <c r="P35">
        <v>1</v>
      </c>
      <c r="Q35">
        <v>0</v>
      </c>
      <c r="R35">
        <v>0</v>
      </c>
      <c r="S35">
        <v>0</v>
      </c>
      <c r="T35">
        <v>0</v>
      </c>
      <c r="U35">
        <v>0</v>
      </c>
      <c r="V35">
        <v>0</v>
      </c>
      <c r="W35">
        <v>0</v>
      </c>
      <c r="X35">
        <v>0</v>
      </c>
      <c r="Y35">
        <v>0</v>
      </c>
      <c r="Z35">
        <v>0</v>
      </c>
      <c r="AA35">
        <v>0</v>
      </c>
      <c r="AB35">
        <v>0</v>
      </c>
      <c r="AC35">
        <v>0</v>
      </c>
      <c r="AD35">
        <v>0</v>
      </c>
      <c r="AE35">
        <v>0</v>
      </c>
      <c r="AF35">
        <v>0</v>
      </c>
      <c r="AG35">
        <v>0</v>
      </c>
      <c r="AH35">
        <v>0</v>
      </c>
      <c r="AI35">
        <v>0</v>
      </c>
      <c r="AJ35">
        <v>1</v>
      </c>
      <c r="AK35">
        <v>0</v>
      </c>
      <c r="AL35">
        <v>0</v>
      </c>
      <c r="AM35" t="s">
        <v>54</v>
      </c>
      <c r="AN35">
        <v>0</v>
      </c>
      <c r="AO35">
        <v>1</v>
      </c>
      <c r="AP35">
        <v>2</v>
      </c>
      <c r="AQ35">
        <v>0</v>
      </c>
      <c r="AR35">
        <v>0</v>
      </c>
      <c r="AS35">
        <v>0</v>
      </c>
    </row>
    <row r="36" spans="1:45" x14ac:dyDescent="0.2">
      <c r="A36" t="s">
        <v>118</v>
      </c>
      <c r="B36" s="3">
        <f t="shared" si="0"/>
        <v>45901</v>
      </c>
      <c r="C36" t="s">
        <v>93</v>
      </c>
      <c r="D36" s="1">
        <v>1.3912037037037037E-2</v>
      </c>
      <c r="E36">
        <v>6</v>
      </c>
      <c r="F36" t="s">
        <v>80</v>
      </c>
      <c r="G36" t="s">
        <v>95</v>
      </c>
      <c r="H36" t="s">
        <v>70</v>
      </c>
      <c r="I36" s="2" t="s">
        <v>60</v>
      </c>
      <c r="J36" s="2" t="s">
        <v>50</v>
      </c>
      <c r="K36" s="2" t="s">
        <v>49</v>
      </c>
      <c r="L36" s="2" t="s">
        <v>49</v>
      </c>
      <c r="M36" s="2" t="s">
        <v>90</v>
      </c>
      <c r="N36">
        <v>0</v>
      </c>
      <c r="O36">
        <v>0</v>
      </c>
      <c r="P36">
        <v>0</v>
      </c>
      <c r="Q36">
        <v>0</v>
      </c>
      <c r="R36">
        <v>0</v>
      </c>
      <c r="S36">
        <v>0</v>
      </c>
      <c r="T36">
        <v>0</v>
      </c>
      <c r="U36">
        <v>0</v>
      </c>
      <c r="V36">
        <v>1</v>
      </c>
      <c r="W36">
        <v>0</v>
      </c>
      <c r="X36">
        <v>0</v>
      </c>
      <c r="Y36">
        <v>0</v>
      </c>
      <c r="Z36">
        <v>0</v>
      </c>
      <c r="AA36">
        <v>0</v>
      </c>
      <c r="AB36">
        <v>0</v>
      </c>
      <c r="AC36">
        <v>0</v>
      </c>
      <c r="AD36">
        <v>0</v>
      </c>
      <c r="AE36">
        <v>0</v>
      </c>
      <c r="AF36">
        <v>0</v>
      </c>
      <c r="AG36">
        <v>1</v>
      </c>
      <c r="AH36">
        <v>1</v>
      </c>
      <c r="AI36">
        <v>1</v>
      </c>
      <c r="AJ36">
        <v>0</v>
      </c>
      <c r="AK36">
        <v>0</v>
      </c>
      <c r="AL36">
        <v>0</v>
      </c>
      <c r="AM36" t="s">
        <v>54</v>
      </c>
      <c r="AN36">
        <v>0</v>
      </c>
      <c r="AO36">
        <v>2</v>
      </c>
      <c r="AP36">
        <v>0</v>
      </c>
      <c r="AQ36">
        <v>2</v>
      </c>
      <c r="AR36">
        <v>0</v>
      </c>
      <c r="AS36">
        <v>0</v>
      </c>
    </row>
    <row r="37" spans="1:45" x14ac:dyDescent="0.2">
      <c r="A37" t="s">
        <v>120</v>
      </c>
      <c r="B37" s="3">
        <f t="shared" si="0"/>
        <v>45901</v>
      </c>
      <c r="C37" t="s">
        <v>45</v>
      </c>
      <c r="D37" s="1">
        <v>1.292824074074074E-2</v>
      </c>
      <c r="E37">
        <v>6</v>
      </c>
      <c r="F37" t="s">
        <v>80</v>
      </c>
      <c r="G37" t="s">
        <v>103</v>
      </c>
      <c r="H37" t="s">
        <v>48</v>
      </c>
      <c r="I37" s="2" t="s">
        <v>58</v>
      </c>
      <c r="J37" s="2" t="s">
        <v>50</v>
      </c>
      <c r="K37" s="2" t="s">
        <v>60</v>
      </c>
      <c r="L37" s="2" t="s">
        <v>49</v>
      </c>
      <c r="M37" s="2" t="s">
        <v>90</v>
      </c>
      <c r="N37">
        <v>0</v>
      </c>
      <c r="O37">
        <v>0</v>
      </c>
      <c r="P37">
        <v>0</v>
      </c>
      <c r="Q37">
        <v>0</v>
      </c>
      <c r="R37">
        <v>0</v>
      </c>
      <c r="S37">
        <v>0</v>
      </c>
      <c r="T37">
        <v>0</v>
      </c>
      <c r="U37">
        <v>0</v>
      </c>
      <c r="V37">
        <v>1</v>
      </c>
      <c r="W37">
        <v>0</v>
      </c>
      <c r="X37">
        <v>0</v>
      </c>
      <c r="Y37">
        <v>0</v>
      </c>
      <c r="Z37">
        <v>0</v>
      </c>
      <c r="AA37">
        <v>0</v>
      </c>
      <c r="AB37">
        <v>0</v>
      </c>
      <c r="AC37">
        <v>0</v>
      </c>
      <c r="AD37">
        <v>0</v>
      </c>
      <c r="AE37">
        <v>0</v>
      </c>
      <c r="AF37">
        <v>0</v>
      </c>
      <c r="AG37">
        <v>1</v>
      </c>
      <c r="AH37">
        <v>1</v>
      </c>
      <c r="AI37">
        <v>1</v>
      </c>
      <c r="AJ37">
        <v>0</v>
      </c>
      <c r="AK37">
        <v>0</v>
      </c>
      <c r="AL37">
        <v>0</v>
      </c>
      <c r="AM37" t="s">
        <v>54</v>
      </c>
      <c r="AN37">
        <v>0</v>
      </c>
      <c r="AO37">
        <v>2</v>
      </c>
      <c r="AP37">
        <v>0</v>
      </c>
      <c r="AQ37">
        <v>2</v>
      </c>
      <c r="AR37">
        <v>0</v>
      </c>
      <c r="AS37">
        <v>0</v>
      </c>
    </row>
    <row r="38" spans="1:45" x14ac:dyDescent="0.2">
      <c r="A38" t="s">
        <v>121</v>
      </c>
      <c r="B38" s="3">
        <f t="shared" si="0"/>
        <v>45901</v>
      </c>
      <c r="C38" t="s">
        <v>56</v>
      </c>
      <c r="D38" s="1">
        <v>1.2824074074074075E-2</v>
      </c>
      <c r="E38">
        <v>14</v>
      </c>
      <c r="F38" t="s">
        <v>98</v>
      </c>
      <c r="G38" t="s">
        <v>106</v>
      </c>
      <c r="H38" t="s">
        <v>48</v>
      </c>
      <c r="I38" s="2" t="s">
        <v>60</v>
      </c>
      <c r="J38" s="2" t="s">
        <v>50</v>
      </c>
      <c r="K38" s="2" t="s">
        <v>59</v>
      </c>
      <c r="L38" s="2" t="s">
        <v>81</v>
      </c>
      <c r="M38" s="2" t="s">
        <v>67</v>
      </c>
      <c r="N38">
        <v>0</v>
      </c>
      <c r="O38">
        <v>0</v>
      </c>
      <c r="P38">
        <v>0</v>
      </c>
      <c r="Q38">
        <v>0</v>
      </c>
      <c r="R38">
        <v>0</v>
      </c>
      <c r="S38">
        <v>0</v>
      </c>
      <c r="T38">
        <v>0</v>
      </c>
      <c r="U38">
        <v>0</v>
      </c>
      <c r="V38">
        <v>1</v>
      </c>
      <c r="W38">
        <v>1</v>
      </c>
      <c r="X38">
        <v>0</v>
      </c>
      <c r="Y38">
        <v>0</v>
      </c>
      <c r="Z38">
        <v>0</v>
      </c>
      <c r="AA38">
        <v>0</v>
      </c>
      <c r="AB38">
        <v>1</v>
      </c>
      <c r="AC38">
        <v>0</v>
      </c>
      <c r="AD38">
        <v>0</v>
      </c>
      <c r="AE38">
        <v>0</v>
      </c>
      <c r="AF38">
        <v>0</v>
      </c>
      <c r="AG38">
        <v>0</v>
      </c>
      <c r="AH38">
        <v>0</v>
      </c>
      <c r="AI38">
        <v>0</v>
      </c>
      <c r="AJ38">
        <v>0</v>
      </c>
      <c r="AK38">
        <v>0</v>
      </c>
      <c r="AL38">
        <v>0</v>
      </c>
      <c r="AM38" t="s">
        <v>54</v>
      </c>
      <c r="AN38">
        <v>1</v>
      </c>
      <c r="AO38">
        <v>2</v>
      </c>
      <c r="AP38">
        <v>1</v>
      </c>
      <c r="AQ38">
        <v>1</v>
      </c>
      <c r="AR38">
        <v>2</v>
      </c>
      <c r="AS38">
        <v>1</v>
      </c>
    </row>
    <row r="39" spans="1:45" x14ac:dyDescent="0.2">
      <c r="A39" t="s">
        <v>121</v>
      </c>
      <c r="B39" s="3">
        <f t="shared" si="0"/>
        <v>45901</v>
      </c>
      <c r="C39" t="s">
        <v>56</v>
      </c>
      <c r="D39" s="1">
        <v>1.7384259259259259E-2</v>
      </c>
      <c r="E39">
        <v>14</v>
      </c>
      <c r="F39" t="s">
        <v>98</v>
      </c>
      <c r="G39" t="s">
        <v>57</v>
      </c>
      <c r="H39" t="s">
        <v>70</v>
      </c>
      <c r="I39" s="2" t="s">
        <v>60</v>
      </c>
      <c r="J39" s="2" t="s">
        <v>50</v>
      </c>
      <c r="K39" s="2" t="s">
        <v>51</v>
      </c>
      <c r="L39" s="2" t="s">
        <v>60</v>
      </c>
      <c r="M39" s="2" t="s">
        <v>122</v>
      </c>
      <c r="N39">
        <v>0</v>
      </c>
      <c r="O39">
        <v>0</v>
      </c>
      <c r="P39">
        <v>0</v>
      </c>
      <c r="Q39">
        <v>0</v>
      </c>
      <c r="R39">
        <v>0</v>
      </c>
      <c r="S39">
        <v>0</v>
      </c>
      <c r="T39">
        <v>0</v>
      </c>
      <c r="U39">
        <v>0</v>
      </c>
      <c r="V39">
        <v>1</v>
      </c>
      <c r="W39">
        <v>1</v>
      </c>
      <c r="X39">
        <v>0</v>
      </c>
      <c r="Y39">
        <v>0</v>
      </c>
      <c r="Z39">
        <v>0</v>
      </c>
      <c r="AA39">
        <v>0</v>
      </c>
      <c r="AB39">
        <v>1</v>
      </c>
      <c r="AC39">
        <v>0</v>
      </c>
      <c r="AD39">
        <v>0</v>
      </c>
      <c r="AE39">
        <v>0</v>
      </c>
      <c r="AF39">
        <v>0</v>
      </c>
      <c r="AG39">
        <v>0</v>
      </c>
      <c r="AH39">
        <v>0</v>
      </c>
      <c r="AI39">
        <v>0</v>
      </c>
      <c r="AJ39">
        <v>0</v>
      </c>
      <c r="AK39">
        <v>0</v>
      </c>
      <c r="AL39">
        <v>0</v>
      </c>
      <c r="AM39" t="s">
        <v>54</v>
      </c>
      <c r="AN39">
        <v>1</v>
      </c>
      <c r="AO39">
        <v>2</v>
      </c>
      <c r="AP39">
        <v>1</v>
      </c>
      <c r="AQ39">
        <v>1</v>
      </c>
      <c r="AR39">
        <v>2</v>
      </c>
      <c r="AS39">
        <v>1</v>
      </c>
    </row>
    <row r="40" spans="1:45" x14ac:dyDescent="0.2">
      <c r="A40" t="s">
        <v>121</v>
      </c>
      <c r="B40" s="3">
        <f t="shared" si="0"/>
        <v>45901</v>
      </c>
      <c r="C40" t="s">
        <v>56</v>
      </c>
      <c r="D40" s="1">
        <v>1.7372685185185185E-2</v>
      </c>
      <c r="E40">
        <v>14</v>
      </c>
      <c r="F40" t="s">
        <v>98</v>
      </c>
      <c r="G40" t="s">
        <v>91</v>
      </c>
      <c r="H40" t="s">
        <v>70</v>
      </c>
      <c r="I40" s="2" t="s">
        <v>78</v>
      </c>
      <c r="J40" s="2" t="s">
        <v>50</v>
      </c>
      <c r="K40" s="2" t="s">
        <v>49</v>
      </c>
      <c r="L40" s="2" t="s">
        <v>52</v>
      </c>
      <c r="M40" s="2" t="s">
        <v>67</v>
      </c>
      <c r="N40">
        <v>0</v>
      </c>
      <c r="O40">
        <v>0</v>
      </c>
      <c r="P40">
        <v>0</v>
      </c>
      <c r="Q40">
        <v>0</v>
      </c>
      <c r="R40">
        <v>0</v>
      </c>
      <c r="S40">
        <v>0</v>
      </c>
      <c r="T40">
        <v>0</v>
      </c>
      <c r="U40">
        <v>0</v>
      </c>
      <c r="V40">
        <v>1</v>
      </c>
      <c r="W40">
        <v>1</v>
      </c>
      <c r="X40">
        <v>0</v>
      </c>
      <c r="Y40">
        <v>0</v>
      </c>
      <c r="Z40">
        <v>0</v>
      </c>
      <c r="AA40">
        <v>0</v>
      </c>
      <c r="AB40">
        <v>1</v>
      </c>
      <c r="AC40">
        <v>0</v>
      </c>
      <c r="AD40">
        <v>0</v>
      </c>
      <c r="AE40">
        <v>0</v>
      </c>
      <c r="AF40">
        <v>0</v>
      </c>
      <c r="AG40">
        <v>0</v>
      </c>
      <c r="AH40">
        <v>0</v>
      </c>
      <c r="AI40">
        <v>0</v>
      </c>
      <c r="AJ40">
        <v>0</v>
      </c>
      <c r="AK40">
        <v>0</v>
      </c>
      <c r="AL40">
        <v>0</v>
      </c>
      <c r="AM40" t="s">
        <v>54</v>
      </c>
      <c r="AN40">
        <v>1</v>
      </c>
      <c r="AO40">
        <v>2</v>
      </c>
      <c r="AP40">
        <v>1</v>
      </c>
      <c r="AQ40">
        <v>1</v>
      </c>
      <c r="AR40">
        <v>2</v>
      </c>
      <c r="AS40">
        <v>1</v>
      </c>
    </row>
    <row r="41" spans="1:45" x14ac:dyDescent="0.2">
      <c r="A41" t="s">
        <v>123</v>
      </c>
      <c r="B41" s="3">
        <f t="shared" si="0"/>
        <v>45901</v>
      </c>
      <c r="C41" t="s">
        <v>93</v>
      </c>
      <c r="D41" s="1">
        <v>1.3206018518518518E-2</v>
      </c>
      <c r="E41">
        <v>31</v>
      </c>
      <c r="F41" t="s">
        <v>105</v>
      </c>
      <c r="G41" t="s">
        <v>119</v>
      </c>
      <c r="H41" t="s">
        <v>48</v>
      </c>
      <c r="I41" s="2" t="s">
        <v>60</v>
      </c>
      <c r="J41" s="2" t="s">
        <v>50</v>
      </c>
      <c r="K41" s="2" t="s">
        <v>60</v>
      </c>
      <c r="L41" s="2" t="s">
        <v>66</v>
      </c>
      <c r="M41" s="2" t="s">
        <v>90</v>
      </c>
      <c r="N41">
        <v>0</v>
      </c>
      <c r="O41">
        <v>0</v>
      </c>
      <c r="P41">
        <v>1</v>
      </c>
      <c r="Q41">
        <v>0</v>
      </c>
      <c r="R41">
        <v>0</v>
      </c>
      <c r="S41">
        <v>0</v>
      </c>
      <c r="T41">
        <v>0</v>
      </c>
      <c r="U41">
        <v>0</v>
      </c>
      <c r="V41">
        <v>0</v>
      </c>
      <c r="W41">
        <v>0</v>
      </c>
      <c r="X41">
        <v>0</v>
      </c>
      <c r="Y41">
        <v>1</v>
      </c>
      <c r="Z41">
        <v>0</v>
      </c>
      <c r="AA41">
        <v>0</v>
      </c>
      <c r="AB41">
        <v>0</v>
      </c>
      <c r="AC41">
        <v>0</v>
      </c>
      <c r="AD41">
        <v>0</v>
      </c>
      <c r="AE41">
        <v>0</v>
      </c>
      <c r="AF41">
        <v>0</v>
      </c>
      <c r="AG41">
        <v>0</v>
      </c>
      <c r="AH41">
        <v>0</v>
      </c>
      <c r="AI41">
        <v>0</v>
      </c>
      <c r="AJ41">
        <v>0</v>
      </c>
      <c r="AK41">
        <v>0</v>
      </c>
      <c r="AL41">
        <v>0</v>
      </c>
      <c r="AM41" t="s">
        <v>54</v>
      </c>
      <c r="AN41">
        <v>0</v>
      </c>
      <c r="AO41">
        <v>1</v>
      </c>
      <c r="AP41">
        <v>1</v>
      </c>
      <c r="AQ41">
        <v>0</v>
      </c>
      <c r="AR41">
        <v>0</v>
      </c>
      <c r="AS41">
        <v>0</v>
      </c>
    </row>
    <row r="42" spans="1:45" x14ac:dyDescent="0.2">
      <c r="A42" t="s">
        <v>123</v>
      </c>
      <c r="B42" s="3">
        <f t="shared" si="0"/>
        <v>45901</v>
      </c>
      <c r="C42" t="s">
        <v>93</v>
      </c>
      <c r="D42" s="1">
        <v>1.6886574074074075E-2</v>
      </c>
      <c r="E42">
        <v>14</v>
      </c>
      <c r="F42" t="s">
        <v>98</v>
      </c>
      <c r="G42" t="s">
        <v>95</v>
      </c>
      <c r="H42" t="s">
        <v>48</v>
      </c>
      <c r="I42" s="2" t="s">
        <v>65</v>
      </c>
      <c r="J42" s="2" t="s">
        <v>50</v>
      </c>
      <c r="K42" s="2" t="s">
        <v>60</v>
      </c>
      <c r="L42" s="2" t="s">
        <v>124</v>
      </c>
      <c r="M42" s="2" t="s">
        <v>88</v>
      </c>
      <c r="N42">
        <v>0</v>
      </c>
      <c r="O42">
        <v>0</v>
      </c>
      <c r="P42">
        <v>0</v>
      </c>
      <c r="Q42">
        <v>0</v>
      </c>
      <c r="R42">
        <v>0</v>
      </c>
      <c r="S42">
        <v>0</v>
      </c>
      <c r="T42">
        <v>0</v>
      </c>
      <c r="U42">
        <v>0</v>
      </c>
      <c r="V42">
        <v>1</v>
      </c>
      <c r="W42">
        <v>1</v>
      </c>
      <c r="X42">
        <v>0</v>
      </c>
      <c r="Y42">
        <v>0</v>
      </c>
      <c r="Z42">
        <v>0</v>
      </c>
      <c r="AA42">
        <v>0</v>
      </c>
      <c r="AB42">
        <v>1</v>
      </c>
      <c r="AC42">
        <v>0</v>
      </c>
      <c r="AD42">
        <v>0</v>
      </c>
      <c r="AE42">
        <v>0</v>
      </c>
      <c r="AF42">
        <v>0</v>
      </c>
      <c r="AG42">
        <v>0</v>
      </c>
      <c r="AH42">
        <v>0</v>
      </c>
      <c r="AI42">
        <v>0</v>
      </c>
      <c r="AJ42">
        <v>0</v>
      </c>
      <c r="AK42">
        <v>0</v>
      </c>
      <c r="AL42">
        <v>0</v>
      </c>
      <c r="AM42" t="s">
        <v>54</v>
      </c>
      <c r="AN42">
        <v>1</v>
      </c>
      <c r="AO42">
        <v>2</v>
      </c>
      <c r="AP42">
        <v>1</v>
      </c>
      <c r="AQ42">
        <v>1</v>
      </c>
      <c r="AR42">
        <v>2</v>
      </c>
      <c r="AS42">
        <v>1</v>
      </c>
    </row>
    <row r="43" spans="1:45" x14ac:dyDescent="0.2">
      <c r="A43" t="s">
        <v>123</v>
      </c>
      <c r="B43" s="3">
        <f t="shared" si="0"/>
        <v>45901</v>
      </c>
      <c r="C43" t="s">
        <v>93</v>
      </c>
      <c r="D43" s="1">
        <v>1.4189814814814815E-2</v>
      </c>
      <c r="E43">
        <v>6</v>
      </c>
      <c r="F43" t="s">
        <v>80</v>
      </c>
      <c r="G43" t="s">
        <v>109</v>
      </c>
      <c r="H43" t="s">
        <v>48</v>
      </c>
      <c r="I43" s="2" t="s">
        <v>78</v>
      </c>
      <c r="J43" s="2" t="s">
        <v>50</v>
      </c>
      <c r="K43" s="2" t="s">
        <v>60</v>
      </c>
      <c r="L43" s="2" t="s">
        <v>81</v>
      </c>
      <c r="M43" s="2" t="s">
        <v>90</v>
      </c>
      <c r="N43">
        <v>0</v>
      </c>
      <c r="O43">
        <v>0</v>
      </c>
      <c r="P43">
        <v>0</v>
      </c>
      <c r="Q43">
        <v>0</v>
      </c>
      <c r="R43">
        <v>0</v>
      </c>
      <c r="S43">
        <v>0</v>
      </c>
      <c r="T43">
        <v>0</v>
      </c>
      <c r="U43">
        <v>0</v>
      </c>
      <c r="V43">
        <v>1</v>
      </c>
      <c r="W43">
        <v>0</v>
      </c>
      <c r="X43">
        <v>0</v>
      </c>
      <c r="Y43">
        <v>0</v>
      </c>
      <c r="Z43">
        <v>0</v>
      </c>
      <c r="AA43">
        <v>0</v>
      </c>
      <c r="AB43">
        <v>0</v>
      </c>
      <c r="AC43">
        <v>0</v>
      </c>
      <c r="AD43">
        <v>0</v>
      </c>
      <c r="AE43">
        <v>0</v>
      </c>
      <c r="AF43">
        <v>0</v>
      </c>
      <c r="AG43">
        <v>1</v>
      </c>
      <c r="AH43">
        <v>1</v>
      </c>
      <c r="AI43">
        <v>1</v>
      </c>
      <c r="AJ43">
        <v>0</v>
      </c>
      <c r="AK43">
        <v>0</v>
      </c>
      <c r="AL43">
        <v>0</v>
      </c>
      <c r="AM43" t="s">
        <v>54</v>
      </c>
      <c r="AN43">
        <v>0</v>
      </c>
      <c r="AO43">
        <v>2</v>
      </c>
      <c r="AP43">
        <v>0</v>
      </c>
      <c r="AQ43">
        <v>2</v>
      </c>
      <c r="AR43">
        <v>0</v>
      </c>
      <c r="AS43">
        <v>0</v>
      </c>
    </row>
    <row r="44" spans="1:45" x14ac:dyDescent="0.2">
      <c r="A44" t="s">
        <v>125</v>
      </c>
      <c r="B44" s="3">
        <f t="shared" si="0"/>
        <v>45901</v>
      </c>
      <c r="C44" t="s">
        <v>63</v>
      </c>
      <c r="D44" s="1">
        <v>2.7800925925925927E-2</v>
      </c>
      <c r="E44">
        <v>30</v>
      </c>
      <c r="F44" t="s">
        <v>126</v>
      </c>
      <c r="G44" t="s">
        <v>64</v>
      </c>
      <c r="H44" t="s">
        <v>70</v>
      </c>
      <c r="I44" s="2" t="s">
        <v>49</v>
      </c>
      <c r="J44" s="2" t="s">
        <v>50</v>
      </c>
      <c r="K44" s="2" t="s">
        <v>59</v>
      </c>
      <c r="L44" s="2" t="s">
        <v>76</v>
      </c>
      <c r="M44" s="2" t="s">
        <v>61</v>
      </c>
      <c r="N44">
        <v>0</v>
      </c>
      <c r="O44">
        <v>1</v>
      </c>
      <c r="P44">
        <v>0</v>
      </c>
      <c r="Q44">
        <v>0</v>
      </c>
      <c r="R44">
        <v>0</v>
      </c>
      <c r="S44">
        <v>1</v>
      </c>
      <c r="T44">
        <v>0</v>
      </c>
      <c r="U44">
        <v>0</v>
      </c>
      <c r="V44">
        <v>0</v>
      </c>
      <c r="W44">
        <v>0</v>
      </c>
      <c r="X44">
        <v>1</v>
      </c>
      <c r="Y44">
        <v>0</v>
      </c>
      <c r="Z44">
        <v>0</v>
      </c>
      <c r="AA44">
        <v>0</v>
      </c>
      <c r="AB44">
        <v>0</v>
      </c>
      <c r="AC44">
        <v>0</v>
      </c>
      <c r="AD44">
        <v>0</v>
      </c>
      <c r="AE44">
        <v>1</v>
      </c>
      <c r="AF44">
        <v>0</v>
      </c>
      <c r="AG44">
        <v>0</v>
      </c>
      <c r="AH44">
        <v>0</v>
      </c>
      <c r="AI44">
        <v>0</v>
      </c>
      <c r="AJ44">
        <v>0</v>
      </c>
      <c r="AK44">
        <v>0</v>
      </c>
      <c r="AL44">
        <v>0</v>
      </c>
      <c r="AM44" t="s">
        <v>54</v>
      </c>
      <c r="AN44">
        <v>1</v>
      </c>
      <c r="AO44">
        <v>2</v>
      </c>
      <c r="AP44">
        <v>2</v>
      </c>
      <c r="AQ44">
        <v>2</v>
      </c>
      <c r="AR44">
        <v>2</v>
      </c>
      <c r="AS44">
        <v>0</v>
      </c>
    </row>
    <row r="45" spans="1:45" x14ac:dyDescent="0.2">
      <c r="A45" t="s">
        <v>127</v>
      </c>
      <c r="B45" s="3">
        <f t="shared" si="0"/>
        <v>45931</v>
      </c>
      <c r="C45" t="s">
        <v>56</v>
      </c>
      <c r="D45" s="1">
        <v>1.1307870370370371E-2</v>
      </c>
      <c r="E45">
        <v>16</v>
      </c>
      <c r="F45" t="s">
        <v>101</v>
      </c>
      <c r="G45" t="s">
        <v>106</v>
      </c>
      <c r="H45" t="s">
        <v>48</v>
      </c>
      <c r="I45" s="2" t="s">
        <v>49</v>
      </c>
      <c r="J45" s="2" t="s">
        <v>50</v>
      </c>
      <c r="K45" s="2" t="s">
        <v>60</v>
      </c>
      <c r="L45" s="2" t="s">
        <v>49</v>
      </c>
      <c r="M45" s="2" t="s">
        <v>90</v>
      </c>
      <c r="N45">
        <v>0</v>
      </c>
      <c r="O45">
        <v>0</v>
      </c>
      <c r="P45">
        <v>0</v>
      </c>
      <c r="Q45">
        <v>1</v>
      </c>
      <c r="R45">
        <v>0</v>
      </c>
      <c r="S45">
        <v>0</v>
      </c>
      <c r="T45">
        <v>0</v>
      </c>
      <c r="U45">
        <v>0</v>
      </c>
      <c r="V45">
        <v>0</v>
      </c>
      <c r="W45">
        <v>0</v>
      </c>
      <c r="X45">
        <v>0</v>
      </c>
      <c r="Y45">
        <v>0</v>
      </c>
      <c r="Z45">
        <v>0</v>
      </c>
      <c r="AA45">
        <v>1</v>
      </c>
      <c r="AB45">
        <v>0</v>
      </c>
      <c r="AC45">
        <v>0</v>
      </c>
      <c r="AD45">
        <v>0</v>
      </c>
      <c r="AE45">
        <v>0</v>
      </c>
      <c r="AF45">
        <v>0</v>
      </c>
      <c r="AG45">
        <v>0</v>
      </c>
      <c r="AH45">
        <v>0</v>
      </c>
      <c r="AI45">
        <v>0</v>
      </c>
      <c r="AJ45">
        <v>0</v>
      </c>
      <c r="AK45">
        <v>0</v>
      </c>
      <c r="AL45">
        <v>0</v>
      </c>
      <c r="AM45" t="s">
        <v>54</v>
      </c>
      <c r="AN45">
        <v>0</v>
      </c>
      <c r="AO45">
        <v>1</v>
      </c>
      <c r="AP45">
        <v>0</v>
      </c>
      <c r="AQ45">
        <v>0</v>
      </c>
      <c r="AR45">
        <v>1</v>
      </c>
      <c r="AS45">
        <v>0</v>
      </c>
    </row>
    <row r="46" spans="1:45" x14ac:dyDescent="0.2">
      <c r="A46" t="s">
        <v>128</v>
      </c>
      <c r="B46" s="3">
        <f t="shared" si="0"/>
        <v>45931</v>
      </c>
      <c r="C46" t="s">
        <v>93</v>
      </c>
      <c r="D46" s="1">
        <v>1.3912037037037037E-2</v>
      </c>
      <c r="E46">
        <v>32</v>
      </c>
      <c r="F46" t="s">
        <v>129</v>
      </c>
      <c r="G46" t="s">
        <v>119</v>
      </c>
      <c r="H46" t="s">
        <v>70</v>
      </c>
      <c r="I46" s="2" t="s">
        <v>60</v>
      </c>
      <c r="J46" s="2" t="s">
        <v>50</v>
      </c>
      <c r="K46" s="2" t="s">
        <v>59</v>
      </c>
      <c r="L46" s="2" t="s">
        <v>49</v>
      </c>
      <c r="M46" s="2" t="s">
        <v>90</v>
      </c>
      <c r="N46">
        <v>0</v>
      </c>
      <c r="O46">
        <v>0</v>
      </c>
      <c r="P46">
        <v>0</v>
      </c>
      <c r="Q46">
        <v>0</v>
      </c>
      <c r="R46">
        <v>0</v>
      </c>
      <c r="S46">
        <v>0</v>
      </c>
      <c r="T46">
        <v>1</v>
      </c>
      <c r="U46">
        <v>1</v>
      </c>
      <c r="V46">
        <v>0</v>
      </c>
      <c r="W46">
        <v>0</v>
      </c>
      <c r="X46">
        <v>0</v>
      </c>
      <c r="Y46">
        <v>0</v>
      </c>
      <c r="Z46">
        <v>0</v>
      </c>
      <c r="AA46">
        <v>0</v>
      </c>
      <c r="AB46">
        <v>0</v>
      </c>
      <c r="AC46">
        <v>0</v>
      </c>
      <c r="AD46">
        <v>0</v>
      </c>
      <c r="AE46">
        <v>0</v>
      </c>
      <c r="AF46">
        <v>0</v>
      </c>
      <c r="AG46">
        <v>0</v>
      </c>
      <c r="AH46">
        <v>0</v>
      </c>
      <c r="AI46">
        <v>0</v>
      </c>
      <c r="AJ46">
        <v>0</v>
      </c>
      <c r="AK46">
        <v>0</v>
      </c>
      <c r="AL46">
        <v>0</v>
      </c>
      <c r="AM46" t="s">
        <v>54</v>
      </c>
      <c r="AN46">
        <v>0</v>
      </c>
      <c r="AO46">
        <v>2</v>
      </c>
      <c r="AP46">
        <v>0</v>
      </c>
      <c r="AQ46">
        <v>0</v>
      </c>
      <c r="AR46">
        <v>0</v>
      </c>
      <c r="AS46">
        <v>0</v>
      </c>
    </row>
    <row r="47" spans="1:45" x14ac:dyDescent="0.2">
      <c r="A47" t="s">
        <v>130</v>
      </c>
      <c r="B47" s="3">
        <f t="shared" si="0"/>
        <v>45931</v>
      </c>
      <c r="C47" t="s">
        <v>63</v>
      </c>
      <c r="D47" s="1">
        <v>9.0509259259259258E-3</v>
      </c>
      <c r="E47">
        <v>29</v>
      </c>
      <c r="F47" t="s">
        <v>74</v>
      </c>
      <c r="G47" t="s">
        <v>131</v>
      </c>
      <c r="H47" t="s">
        <v>48</v>
      </c>
      <c r="I47" s="2" t="s">
        <v>60</v>
      </c>
      <c r="J47">
        <v>0</v>
      </c>
      <c r="K47" s="2" t="s">
        <v>59</v>
      </c>
      <c r="L47" s="2" t="s">
        <v>111</v>
      </c>
      <c r="M47" s="2" t="s">
        <v>122</v>
      </c>
      <c r="N47">
        <v>0</v>
      </c>
      <c r="O47">
        <v>0</v>
      </c>
      <c r="P47">
        <v>1</v>
      </c>
      <c r="Q47">
        <v>0</v>
      </c>
      <c r="R47">
        <v>0</v>
      </c>
      <c r="S47">
        <v>0</v>
      </c>
      <c r="T47">
        <v>0</v>
      </c>
      <c r="U47">
        <v>0</v>
      </c>
      <c r="V47">
        <v>0</v>
      </c>
      <c r="W47">
        <v>0</v>
      </c>
      <c r="X47">
        <v>0</v>
      </c>
      <c r="Y47">
        <v>0</v>
      </c>
      <c r="Z47">
        <v>0</v>
      </c>
      <c r="AA47">
        <v>0</v>
      </c>
      <c r="AB47">
        <v>0</v>
      </c>
      <c r="AC47">
        <v>0</v>
      </c>
      <c r="AD47">
        <v>0</v>
      </c>
      <c r="AE47">
        <v>0</v>
      </c>
      <c r="AF47">
        <v>0</v>
      </c>
      <c r="AG47">
        <v>0</v>
      </c>
      <c r="AH47">
        <v>0</v>
      </c>
      <c r="AI47">
        <v>0</v>
      </c>
      <c r="AJ47">
        <v>1</v>
      </c>
      <c r="AK47">
        <v>0</v>
      </c>
      <c r="AL47">
        <v>0</v>
      </c>
      <c r="AM47" t="s">
        <v>54</v>
      </c>
      <c r="AN47">
        <v>0</v>
      </c>
      <c r="AO47">
        <v>1</v>
      </c>
      <c r="AP47">
        <v>2</v>
      </c>
      <c r="AQ47">
        <v>0</v>
      </c>
      <c r="AR47">
        <v>0</v>
      </c>
      <c r="AS47">
        <v>0</v>
      </c>
    </row>
    <row r="48" spans="1:45" x14ac:dyDescent="0.2">
      <c r="A48" t="s">
        <v>132</v>
      </c>
      <c r="B48" s="3">
        <f t="shared" si="0"/>
        <v>45931</v>
      </c>
      <c r="C48" t="s">
        <v>45</v>
      </c>
      <c r="D48" s="1">
        <v>1.1215277777777777E-2</v>
      </c>
      <c r="E48">
        <v>7</v>
      </c>
      <c r="F48" t="s">
        <v>84</v>
      </c>
      <c r="G48" t="s">
        <v>103</v>
      </c>
      <c r="H48" t="s">
        <v>48</v>
      </c>
      <c r="I48" s="2" t="s">
        <v>71</v>
      </c>
      <c r="J48" s="2" t="s">
        <v>59</v>
      </c>
      <c r="K48" s="2" t="s">
        <v>49</v>
      </c>
      <c r="L48" s="2" t="s">
        <v>87</v>
      </c>
      <c r="M48" s="2" t="s">
        <v>53</v>
      </c>
      <c r="N48">
        <v>0</v>
      </c>
      <c r="O48">
        <v>0</v>
      </c>
      <c r="P48">
        <v>0</v>
      </c>
      <c r="Q48">
        <v>0</v>
      </c>
      <c r="R48">
        <v>0</v>
      </c>
      <c r="S48">
        <v>0</v>
      </c>
      <c r="T48">
        <v>1</v>
      </c>
      <c r="U48">
        <v>0</v>
      </c>
      <c r="V48">
        <v>1</v>
      </c>
      <c r="W48">
        <v>0</v>
      </c>
      <c r="X48">
        <v>0</v>
      </c>
      <c r="Y48">
        <v>0</v>
      </c>
      <c r="Z48">
        <v>0</v>
      </c>
      <c r="AA48">
        <v>0</v>
      </c>
      <c r="AB48">
        <v>0</v>
      </c>
      <c r="AC48">
        <v>0</v>
      </c>
      <c r="AD48">
        <v>0</v>
      </c>
      <c r="AE48">
        <v>0</v>
      </c>
      <c r="AF48">
        <v>0</v>
      </c>
      <c r="AG48">
        <v>0</v>
      </c>
      <c r="AH48">
        <v>0</v>
      </c>
      <c r="AI48">
        <v>1</v>
      </c>
      <c r="AJ48">
        <v>0</v>
      </c>
      <c r="AK48">
        <v>0</v>
      </c>
      <c r="AL48">
        <v>0</v>
      </c>
      <c r="AM48" t="s">
        <v>54</v>
      </c>
      <c r="AN48">
        <v>0</v>
      </c>
      <c r="AO48">
        <v>2</v>
      </c>
      <c r="AP48">
        <v>0</v>
      </c>
      <c r="AQ48">
        <v>1</v>
      </c>
      <c r="AR48">
        <v>0</v>
      </c>
      <c r="AS48">
        <v>0</v>
      </c>
    </row>
    <row r="49" spans="1:45" x14ac:dyDescent="0.2">
      <c r="A49" t="s">
        <v>132</v>
      </c>
      <c r="B49" s="3">
        <f t="shared" si="0"/>
        <v>45931</v>
      </c>
      <c r="C49" t="s">
        <v>45</v>
      </c>
      <c r="D49" s="1">
        <v>2.7083333333333334E-2</v>
      </c>
      <c r="E49">
        <v>30</v>
      </c>
      <c r="F49" t="s">
        <v>126</v>
      </c>
      <c r="G49" t="s">
        <v>75</v>
      </c>
      <c r="H49" t="s">
        <v>48</v>
      </c>
      <c r="I49" s="2" t="s">
        <v>49</v>
      </c>
      <c r="J49" s="2" t="s">
        <v>50</v>
      </c>
      <c r="K49" s="2" t="s">
        <v>59</v>
      </c>
      <c r="L49" s="2" t="s">
        <v>76</v>
      </c>
      <c r="M49" s="2" t="s">
        <v>61</v>
      </c>
      <c r="N49">
        <v>0</v>
      </c>
      <c r="O49">
        <v>1</v>
      </c>
      <c r="P49">
        <v>0</v>
      </c>
      <c r="Q49">
        <v>0</v>
      </c>
      <c r="R49">
        <v>0</v>
      </c>
      <c r="S49">
        <v>1</v>
      </c>
      <c r="T49">
        <v>0</v>
      </c>
      <c r="U49">
        <v>0</v>
      </c>
      <c r="V49">
        <v>0</v>
      </c>
      <c r="W49">
        <v>0</v>
      </c>
      <c r="X49">
        <v>1</v>
      </c>
      <c r="Y49">
        <v>0</v>
      </c>
      <c r="Z49">
        <v>0</v>
      </c>
      <c r="AA49">
        <v>0</v>
      </c>
      <c r="AB49">
        <v>0</v>
      </c>
      <c r="AC49">
        <v>0</v>
      </c>
      <c r="AD49">
        <v>0</v>
      </c>
      <c r="AE49">
        <v>1</v>
      </c>
      <c r="AF49">
        <v>0</v>
      </c>
      <c r="AG49">
        <v>0</v>
      </c>
      <c r="AH49">
        <v>0</v>
      </c>
      <c r="AI49">
        <v>0</v>
      </c>
      <c r="AJ49">
        <v>0</v>
      </c>
      <c r="AK49">
        <v>0</v>
      </c>
      <c r="AL49">
        <v>0</v>
      </c>
      <c r="AM49" t="s">
        <v>54</v>
      </c>
      <c r="AN49">
        <v>1</v>
      </c>
      <c r="AO49">
        <v>2</v>
      </c>
      <c r="AP49">
        <v>2</v>
      </c>
      <c r="AQ49">
        <v>2</v>
      </c>
      <c r="AR49">
        <v>2</v>
      </c>
      <c r="AS49">
        <v>0</v>
      </c>
    </row>
    <row r="50" spans="1:45" x14ac:dyDescent="0.2">
      <c r="A50" t="s">
        <v>132</v>
      </c>
      <c r="B50" s="3">
        <f t="shared" si="0"/>
        <v>45931</v>
      </c>
      <c r="C50" t="s">
        <v>45</v>
      </c>
      <c r="D50" s="1">
        <v>2.1516203703703704E-2</v>
      </c>
      <c r="E50">
        <v>30</v>
      </c>
      <c r="F50" t="s">
        <v>126</v>
      </c>
      <c r="G50" t="s">
        <v>47</v>
      </c>
      <c r="H50" t="s">
        <v>48</v>
      </c>
      <c r="I50" s="2" t="s">
        <v>58</v>
      </c>
      <c r="J50">
        <v>0</v>
      </c>
      <c r="K50" s="2" t="s">
        <v>117</v>
      </c>
      <c r="L50" s="2" t="s">
        <v>124</v>
      </c>
      <c r="M50" s="2" t="s">
        <v>88</v>
      </c>
      <c r="N50">
        <v>0</v>
      </c>
      <c r="O50">
        <v>1</v>
      </c>
      <c r="P50">
        <v>0</v>
      </c>
      <c r="Q50">
        <v>0</v>
      </c>
      <c r="R50">
        <v>0</v>
      </c>
      <c r="S50">
        <v>1</v>
      </c>
      <c r="T50">
        <v>0</v>
      </c>
      <c r="U50">
        <v>0</v>
      </c>
      <c r="V50">
        <v>0</v>
      </c>
      <c r="W50">
        <v>0</v>
      </c>
      <c r="X50">
        <v>1</v>
      </c>
      <c r="Y50">
        <v>0</v>
      </c>
      <c r="Z50">
        <v>0</v>
      </c>
      <c r="AA50">
        <v>0</v>
      </c>
      <c r="AB50">
        <v>0</v>
      </c>
      <c r="AC50">
        <v>0</v>
      </c>
      <c r="AD50">
        <v>0</v>
      </c>
      <c r="AE50">
        <v>1</v>
      </c>
      <c r="AF50">
        <v>0</v>
      </c>
      <c r="AG50">
        <v>0</v>
      </c>
      <c r="AH50">
        <v>0</v>
      </c>
      <c r="AI50">
        <v>0</v>
      </c>
      <c r="AJ50">
        <v>0</v>
      </c>
      <c r="AK50">
        <v>0</v>
      </c>
      <c r="AL50">
        <v>0</v>
      </c>
      <c r="AM50" t="s">
        <v>54</v>
      </c>
      <c r="AN50">
        <v>1</v>
      </c>
      <c r="AO50">
        <v>2</v>
      </c>
      <c r="AP50">
        <v>2</v>
      </c>
      <c r="AQ50">
        <v>2</v>
      </c>
      <c r="AR50">
        <v>2</v>
      </c>
      <c r="AS50">
        <v>0</v>
      </c>
    </row>
    <row r="51" spans="1:45" x14ac:dyDescent="0.2">
      <c r="A51" t="s">
        <v>132</v>
      </c>
      <c r="B51" s="3">
        <f t="shared" si="0"/>
        <v>45931</v>
      </c>
      <c r="C51" t="s">
        <v>45</v>
      </c>
      <c r="D51" s="1">
        <v>1.3912037037037037E-2</v>
      </c>
      <c r="E51">
        <v>7</v>
      </c>
      <c r="F51" t="s">
        <v>84</v>
      </c>
      <c r="G51" t="s">
        <v>91</v>
      </c>
      <c r="H51" t="s">
        <v>70</v>
      </c>
      <c r="I51" s="2" t="s">
        <v>49</v>
      </c>
      <c r="J51" s="2" t="s">
        <v>50</v>
      </c>
      <c r="K51" s="2" t="s">
        <v>117</v>
      </c>
      <c r="L51">
        <v>0</v>
      </c>
      <c r="M51">
        <v>0</v>
      </c>
      <c r="N51">
        <v>0</v>
      </c>
      <c r="O51">
        <v>0</v>
      </c>
      <c r="P51">
        <v>0</v>
      </c>
      <c r="Q51">
        <v>0</v>
      </c>
      <c r="R51">
        <v>0</v>
      </c>
      <c r="S51">
        <v>0</v>
      </c>
      <c r="T51">
        <v>1</v>
      </c>
      <c r="U51">
        <v>0</v>
      </c>
      <c r="V51">
        <v>1</v>
      </c>
      <c r="W51">
        <v>0</v>
      </c>
      <c r="X51">
        <v>0</v>
      </c>
      <c r="Y51">
        <v>0</v>
      </c>
      <c r="Z51">
        <v>0</v>
      </c>
      <c r="AA51">
        <v>0</v>
      </c>
      <c r="AB51">
        <v>0</v>
      </c>
      <c r="AC51">
        <v>0</v>
      </c>
      <c r="AD51">
        <v>0</v>
      </c>
      <c r="AE51">
        <v>0</v>
      </c>
      <c r="AF51">
        <v>0</v>
      </c>
      <c r="AG51">
        <v>0</v>
      </c>
      <c r="AH51">
        <v>0</v>
      </c>
      <c r="AI51">
        <v>1</v>
      </c>
      <c r="AJ51">
        <v>0</v>
      </c>
      <c r="AK51">
        <v>0</v>
      </c>
      <c r="AL51">
        <v>0</v>
      </c>
      <c r="AM51" t="s">
        <v>54</v>
      </c>
      <c r="AN51">
        <v>0</v>
      </c>
      <c r="AO51">
        <v>2</v>
      </c>
      <c r="AP51">
        <v>0</v>
      </c>
      <c r="AQ51">
        <v>1</v>
      </c>
      <c r="AR51">
        <v>0</v>
      </c>
      <c r="AS51">
        <v>0</v>
      </c>
    </row>
    <row r="52" spans="1:45" x14ac:dyDescent="0.2">
      <c r="A52" t="s">
        <v>133</v>
      </c>
      <c r="B52" s="3">
        <f t="shared" si="0"/>
        <v>45931</v>
      </c>
      <c r="C52" t="s">
        <v>56</v>
      </c>
      <c r="D52" s="1">
        <v>1.3912037037037037E-2</v>
      </c>
      <c r="E52">
        <v>16</v>
      </c>
      <c r="F52" t="s">
        <v>101</v>
      </c>
      <c r="G52" t="s">
        <v>57</v>
      </c>
      <c r="H52" t="s">
        <v>70</v>
      </c>
      <c r="I52" s="2" t="s">
        <v>134</v>
      </c>
      <c r="J52" s="2" t="s">
        <v>50</v>
      </c>
      <c r="K52" s="2" t="s">
        <v>59</v>
      </c>
      <c r="L52" s="2" t="s">
        <v>81</v>
      </c>
      <c r="M52" s="2" t="s">
        <v>122</v>
      </c>
      <c r="N52">
        <v>0</v>
      </c>
      <c r="O52">
        <v>0</v>
      </c>
      <c r="P52">
        <v>0</v>
      </c>
      <c r="Q52">
        <v>1</v>
      </c>
      <c r="R52">
        <v>0</v>
      </c>
      <c r="S52">
        <v>0</v>
      </c>
      <c r="T52">
        <v>0</v>
      </c>
      <c r="U52">
        <v>0</v>
      </c>
      <c r="V52">
        <v>0</v>
      </c>
      <c r="W52">
        <v>0</v>
      </c>
      <c r="X52">
        <v>0</v>
      </c>
      <c r="Y52">
        <v>0</v>
      </c>
      <c r="Z52">
        <v>0</v>
      </c>
      <c r="AA52">
        <v>1</v>
      </c>
      <c r="AB52">
        <v>0</v>
      </c>
      <c r="AC52">
        <v>0</v>
      </c>
      <c r="AD52">
        <v>0</v>
      </c>
      <c r="AE52">
        <v>0</v>
      </c>
      <c r="AF52">
        <v>0</v>
      </c>
      <c r="AG52">
        <v>0</v>
      </c>
      <c r="AH52">
        <v>0</v>
      </c>
      <c r="AI52">
        <v>0</v>
      </c>
      <c r="AJ52">
        <v>0</v>
      </c>
      <c r="AK52">
        <v>0</v>
      </c>
      <c r="AL52">
        <v>0</v>
      </c>
      <c r="AM52" t="s">
        <v>54</v>
      </c>
      <c r="AN52">
        <v>0</v>
      </c>
      <c r="AO52">
        <v>1</v>
      </c>
      <c r="AP52">
        <v>0</v>
      </c>
      <c r="AQ52">
        <v>0</v>
      </c>
      <c r="AR52">
        <v>1</v>
      </c>
      <c r="AS52">
        <v>0</v>
      </c>
    </row>
    <row r="53" spans="1:45" x14ac:dyDescent="0.2">
      <c r="A53" t="s">
        <v>135</v>
      </c>
      <c r="B53" s="3">
        <f t="shared" si="0"/>
        <v>45931</v>
      </c>
      <c r="C53" t="s">
        <v>93</v>
      </c>
      <c r="D53" s="1">
        <v>1.5891203703703703E-2</v>
      </c>
      <c r="E53">
        <v>14</v>
      </c>
      <c r="F53" t="s">
        <v>98</v>
      </c>
      <c r="G53" t="s">
        <v>119</v>
      </c>
      <c r="H53" t="s">
        <v>48</v>
      </c>
      <c r="I53" s="2" t="s">
        <v>65</v>
      </c>
      <c r="J53" s="2" t="s">
        <v>50</v>
      </c>
      <c r="K53" s="2" t="s">
        <v>51</v>
      </c>
      <c r="L53" s="2" t="s">
        <v>111</v>
      </c>
      <c r="M53" s="2" t="s">
        <v>112</v>
      </c>
      <c r="N53">
        <v>0</v>
      </c>
      <c r="O53">
        <v>0</v>
      </c>
      <c r="P53">
        <v>0</v>
      </c>
      <c r="Q53">
        <v>0</v>
      </c>
      <c r="R53">
        <v>0</v>
      </c>
      <c r="S53">
        <v>0</v>
      </c>
      <c r="T53">
        <v>0</v>
      </c>
      <c r="U53">
        <v>0</v>
      </c>
      <c r="V53">
        <v>1</v>
      </c>
      <c r="W53">
        <v>1</v>
      </c>
      <c r="X53">
        <v>0</v>
      </c>
      <c r="Y53">
        <v>0</v>
      </c>
      <c r="Z53">
        <v>0</v>
      </c>
      <c r="AA53">
        <v>0</v>
      </c>
      <c r="AB53">
        <v>1</v>
      </c>
      <c r="AC53">
        <v>0</v>
      </c>
      <c r="AD53">
        <v>0</v>
      </c>
      <c r="AE53">
        <v>0</v>
      </c>
      <c r="AF53">
        <v>0</v>
      </c>
      <c r="AG53">
        <v>0</v>
      </c>
      <c r="AH53">
        <v>0</v>
      </c>
      <c r="AI53">
        <v>0</v>
      </c>
      <c r="AJ53">
        <v>0</v>
      </c>
      <c r="AK53">
        <v>0</v>
      </c>
      <c r="AL53">
        <v>0</v>
      </c>
      <c r="AM53" t="s">
        <v>54</v>
      </c>
      <c r="AN53">
        <v>1</v>
      </c>
      <c r="AO53">
        <v>2</v>
      </c>
      <c r="AP53">
        <v>1</v>
      </c>
      <c r="AQ53">
        <v>1</v>
      </c>
      <c r="AR53">
        <v>2</v>
      </c>
      <c r="AS53">
        <v>1</v>
      </c>
    </row>
    <row r="54" spans="1:45" x14ac:dyDescent="0.2">
      <c r="A54" t="s">
        <v>136</v>
      </c>
      <c r="B54" s="3">
        <f t="shared" si="0"/>
        <v>45931</v>
      </c>
      <c r="C54" t="s">
        <v>63</v>
      </c>
      <c r="D54" s="1">
        <v>1.2835648148148148E-2</v>
      </c>
      <c r="E54">
        <v>31</v>
      </c>
      <c r="F54" t="s">
        <v>105</v>
      </c>
      <c r="G54" t="s">
        <v>131</v>
      </c>
      <c r="H54" t="s">
        <v>48</v>
      </c>
      <c r="I54" s="2" t="s">
        <v>78</v>
      </c>
      <c r="J54" s="2" t="s">
        <v>50</v>
      </c>
      <c r="K54" s="2" t="s">
        <v>60</v>
      </c>
      <c r="L54" s="2" t="s">
        <v>66</v>
      </c>
      <c r="M54" s="2" t="s">
        <v>53</v>
      </c>
      <c r="N54">
        <v>0</v>
      </c>
      <c r="O54">
        <v>0</v>
      </c>
      <c r="P54">
        <v>1</v>
      </c>
      <c r="Q54">
        <v>0</v>
      </c>
      <c r="R54">
        <v>0</v>
      </c>
      <c r="S54">
        <v>0</v>
      </c>
      <c r="T54">
        <v>0</v>
      </c>
      <c r="U54">
        <v>0</v>
      </c>
      <c r="V54">
        <v>0</v>
      </c>
      <c r="W54">
        <v>0</v>
      </c>
      <c r="X54">
        <v>0</v>
      </c>
      <c r="Y54">
        <v>1</v>
      </c>
      <c r="Z54">
        <v>0</v>
      </c>
      <c r="AA54">
        <v>0</v>
      </c>
      <c r="AB54">
        <v>0</v>
      </c>
      <c r="AC54">
        <v>0</v>
      </c>
      <c r="AD54">
        <v>0</v>
      </c>
      <c r="AE54">
        <v>0</v>
      </c>
      <c r="AF54">
        <v>0</v>
      </c>
      <c r="AG54">
        <v>0</v>
      </c>
      <c r="AH54">
        <v>0</v>
      </c>
      <c r="AI54">
        <v>0</v>
      </c>
      <c r="AJ54">
        <v>0</v>
      </c>
      <c r="AK54">
        <v>0</v>
      </c>
      <c r="AL54">
        <v>0</v>
      </c>
      <c r="AM54" t="s">
        <v>54</v>
      </c>
      <c r="AN54">
        <v>0</v>
      </c>
      <c r="AO54">
        <v>1</v>
      </c>
      <c r="AP54">
        <v>1</v>
      </c>
      <c r="AQ54">
        <v>0</v>
      </c>
      <c r="AR54">
        <v>0</v>
      </c>
      <c r="AS54">
        <v>0</v>
      </c>
    </row>
    <row r="55" spans="1:45" x14ac:dyDescent="0.2">
      <c r="A55" t="s">
        <v>137</v>
      </c>
      <c r="B55" s="3">
        <f t="shared" si="0"/>
        <v>45931</v>
      </c>
      <c r="C55" t="s">
        <v>45</v>
      </c>
      <c r="D55" s="1">
        <v>1.5983796296296298E-2</v>
      </c>
      <c r="E55">
        <v>14</v>
      </c>
      <c r="F55" t="s">
        <v>98</v>
      </c>
      <c r="G55" t="s">
        <v>103</v>
      </c>
      <c r="H55" t="s">
        <v>48</v>
      </c>
      <c r="I55" s="2" t="s">
        <v>60</v>
      </c>
      <c r="J55" s="2" t="s">
        <v>50</v>
      </c>
      <c r="K55" s="2" t="s">
        <v>60</v>
      </c>
      <c r="L55" s="2" t="s">
        <v>81</v>
      </c>
      <c r="M55" s="2" t="s">
        <v>67</v>
      </c>
      <c r="N55">
        <v>0</v>
      </c>
      <c r="O55">
        <v>0</v>
      </c>
      <c r="P55">
        <v>0</v>
      </c>
      <c r="Q55">
        <v>0</v>
      </c>
      <c r="R55">
        <v>0</v>
      </c>
      <c r="S55">
        <v>0</v>
      </c>
      <c r="T55">
        <v>0</v>
      </c>
      <c r="U55">
        <v>0</v>
      </c>
      <c r="V55">
        <v>1</v>
      </c>
      <c r="W55">
        <v>1</v>
      </c>
      <c r="X55">
        <v>0</v>
      </c>
      <c r="Y55">
        <v>0</v>
      </c>
      <c r="Z55">
        <v>0</v>
      </c>
      <c r="AA55">
        <v>0</v>
      </c>
      <c r="AB55">
        <v>1</v>
      </c>
      <c r="AC55">
        <v>0</v>
      </c>
      <c r="AD55">
        <v>0</v>
      </c>
      <c r="AE55">
        <v>0</v>
      </c>
      <c r="AF55">
        <v>0</v>
      </c>
      <c r="AG55">
        <v>0</v>
      </c>
      <c r="AH55">
        <v>0</v>
      </c>
      <c r="AI55">
        <v>0</v>
      </c>
      <c r="AJ55">
        <v>0</v>
      </c>
      <c r="AK55">
        <v>0</v>
      </c>
      <c r="AL55">
        <v>0</v>
      </c>
      <c r="AM55" t="s">
        <v>54</v>
      </c>
      <c r="AN55">
        <v>1</v>
      </c>
      <c r="AO55">
        <v>2</v>
      </c>
      <c r="AP55">
        <v>1</v>
      </c>
      <c r="AQ55">
        <v>1</v>
      </c>
      <c r="AR55">
        <v>2</v>
      </c>
      <c r="AS55">
        <v>1</v>
      </c>
    </row>
    <row r="56" spans="1:45" x14ac:dyDescent="0.2">
      <c r="A56" t="s">
        <v>138</v>
      </c>
      <c r="B56" s="3">
        <f t="shared" si="0"/>
        <v>45931</v>
      </c>
      <c r="C56" t="s">
        <v>56</v>
      </c>
      <c r="D56" s="1">
        <v>2.5266203703703704E-2</v>
      </c>
      <c r="E56">
        <v>30</v>
      </c>
      <c r="F56" t="s">
        <v>126</v>
      </c>
      <c r="G56" t="s">
        <v>106</v>
      </c>
      <c r="H56" t="s">
        <v>48</v>
      </c>
      <c r="I56" s="2" t="s">
        <v>134</v>
      </c>
      <c r="J56" s="2" t="s">
        <v>59</v>
      </c>
      <c r="K56" s="2" t="s">
        <v>59</v>
      </c>
      <c r="L56" s="2" t="s">
        <v>139</v>
      </c>
      <c r="M56" s="2" t="s">
        <v>140</v>
      </c>
      <c r="N56">
        <v>0</v>
      </c>
      <c r="O56">
        <v>1</v>
      </c>
      <c r="P56">
        <v>0</v>
      </c>
      <c r="Q56">
        <v>0</v>
      </c>
      <c r="R56">
        <v>0</v>
      </c>
      <c r="S56">
        <v>1</v>
      </c>
      <c r="T56">
        <v>0</v>
      </c>
      <c r="U56">
        <v>0</v>
      </c>
      <c r="V56">
        <v>0</v>
      </c>
      <c r="W56">
        <v>0</v>
      </c>
      <c r="X56">
        <v>1</v>
      </c>
      <c r="Y56">
        <v>0</v>
      </c>
      <c r="Z56">
        <v>0</v>
      </c>
      <c r="AA56">
        <v>0</v>
      </c>
      <c r="AB56">
        <v>0</v>
      </c>
      <c r="AC56">
        <v>0</v>
      </c>
      <c r="AD56">
        <v>0</v>
      </c>
      <c r="AE56">
        <v>1</v>
      </c>
      <c r="AF56">
        <v>0</v>
      </c>
      <c r="AG56">
        <v>0</v>
      </c>
      <c r="AH56">
        <v>0</v>
      </c>
      <c r="AI56">
        <v>0</v>
      </c>
      <c r="AJ56">
        <v>0</v>
      </c>
      <c r="AK56">
        <v>0</v>
      </c>
      <c r="AL56">
        <v>0</v>
      </c>
      <c r="AM56" t="s">
        <v>54</v>
      </c>
      <c r="AN56">
        <v>1</v>
      </c>
      <c r="AO56">
        <v>2</v>
      </c>
      <c r="AP56">
        <v>2</v>
      </c>
      <c r="AQ56">
        <v>2</v>
      </c>
      <c r="AR56">
        <v>2</v>
      </c>
      <c r="AS56">
        <v>0</v>
      </c>
    </row>
    <row r="57" spans="1:45" x14ac:dyDescent="0.2">
      <c r="A57" t="s">
        <v>138</v>
      </c>
      <c r="B57" s="3">
        <f t="shared" si="0"/>
        <v>45931</v>
      </c>
      <c r="C57" t="s">
        <v>56</v>
      </c>
      <c r="D57" s="1">
        <v>2.7523148148148147E-2</v>
      </c>
      <c r="E57">
        <v>30</v>
      </c>
      <c r="F57" t="s">
        <v>126</v>
      </c>
      <c r="G57" t="s">
        <v>57</v>
      </c>
      <c r="H57" t="s">
        <v>48</v>
      </c>
      <c r="I57" s="2" t="s">
        <v>60</v>
      </c>
      <c r="J57" s="2" t="s">
        <v>50</v>
      </c>
      <c r="K57" s="2" t="s">
        <v>59</v>
      </c>
      <c r="L57" s="2" t="s">
        <v>66</v>
      </c>
      <c r="M57" s="2" t="s">
        <v>122</v>
      </c>
      <c r="N57">
        <v>0</v>
      </c>
      <c r="O57">
        <v>1</v>
      </c>
      <c r="P57">
        <v>0</v>
      </c>
      <c r="Q57">
        <v>0</v>
      </c>
      <c r="R57">
        <v>0</v>
      </c>
      <c r="S57">
        <v>1</v>
      </c>
      <c r="T57">
        <v>0</v>
      </c>
      <c r="U57">
        <v>0</v>
      </c>
      <c r="V57">
        <v>0</v>
      </c>
      <c r="W57">
        <v>0</v>
      </c>
      <c r="X57">
        <v>1</v>
      </c>
      <c r="Y57">
        <v>0</v>
      </c>
      <c r="Z57">
        <v>0</v>
      </c>
      <c r="AA57">
        <v>0</v>
      </c>
      <c r="AB57">
        <v>0</v>
      </c>
      <c r="AC57">
        <v>0</v>
      </c>
      <c r="AD57">
        <v>0</v>
      </c>
      <c r="AE57">
        <v>1</v>
      </c>
      <c r="AF57">
        <v>0</v>
      </c>
      <c r="AG57">
        <v>0</v>
      </c>
      <c r="AH57">
        <v>0</v>
      </c>
      <c r="AI57">
        <v>0</v>
      </c>
      <c r="AJ57">
        <v>0</v>
      </c>
      <c r="AK57">
        <v>0</v>
      </c>
      <c r="AL57">
        <v>0</v>
      </c>
      <c r="AM57" t="s">
        <v>54</v>
      </c>
      <c r="AN57">
        <v>1</v>
      </c>
      <c r="AO57">
        <v>2</v>
      </c>
      <c r="AP57">
        <v>2</v>
      </c>
      <c r="AQ57">
        <v>2</v>
      </c>
      <c r="AR57">
        <v>2</v>
      </c>
      <c r="AS57">
        <v>0</v>
      </c>
    </row>
    <row r="58" spans="1:45" x14ac:dyDescent="0.2">
      <c r="A58" t="s">
        <v>138</v>
      </c>
      <c r="B58" s="3">
        <f t="shared" si="0"/>
        <v>45931</v>
      </c>
      <c r="C58" t="s">
        <v>56</v>
      </c>
      <c r="D58" s="1">
        <v>2.78125E-2</v>
      </c>
      <c r="E58">
        <v>30</v>
      </c>
      <c r="F58" t="s">
        <v>126</v>
      </c>
      <c r="G58" t="s">
        <v>91</v>
      </c>
      <c r="H58" t="s">
        <v>70</v>
      </c>
      <c r="I58" s="2" t="s">
        <v>58</v>
      </c>
      <c r="J58" s="2" t="s">
        <v>59</v>
      </c>
      <c r="K58" s="2" t="s">
        <v>60</v>
      </c>
      <c r="L58" s="2" t="s">
        <v>66</v>
      </c>
      <c r="M58" s="2" t="s">
        <v>67</v>
      </c>
      <c r="N58">
        <v>0</v>
      </c>
      <c r="O58">
        <v>1</v>
      </c>
      <c r="P58">
        <v>0</v>
      </c>
      <c r="Q58">
        <v>0</v>
      </c>
      <c r="R58">
        <v>0</v>
      </c>
      <c r="S58">
        <v>1</v>
      </c>
      <c r="T58">
        <v>0</v>
      </c>
      <c r="U58">
        <v>0</v>
      </c>
      <c r="V58">
        <v>0</v>
      </c>
      <c r="W58">
        <v>0</v>
      </c>
      <c r="X58">
        <v>1</v>
      </c>
      <c r="Y58">
        <v>0</v>
      </c>
      <c r="Z58">
        <v>0</v>
      </c>
      <c r="AA58">
        <v>0</v>
      </c>
      <c r="AB58">
        <v>0</v>
      </c>
      <c r="AC58">
        <v>0</v>
      </c>
      <c r="AD58">
        <v>0</v>
      </c>
      <c r="AE58">
        <v>1</v>
      </c>
      <c r="AF58">
        <v>0</v>
      </c>
      <c r="AG58">
        <v>0</v>
      </c>
      <c r="AH58">
        <v>0</v>
      </c>
      <c r="AI58">
        <v>0</v>
      </c>
      <c r="AJ58">
        <v>0</v>
      </c>
      <c r="AK58">
        <v>0</v>
      </c>
      <c r="AL58">
        <v>0</v>
      </c>
      <c r="AM58" t="s">
        <v>54</v>
      </c>
      <c r="AN58">
        <v>1</v>
      </c>
      <c r="AO58">
        <v>2</v>
      </c>
      <c r="AP58">
        <v>2</v>
      </c>
      <c r="AQ58">
        <v>2</v>
      </c>
      <c r="AR58">
        <v>2</v>
      </c>
      <c r="AS58">
        <v>0</v>
      </c>
    </row>
    <row r="59" spans="1:45" x14ac:dyDescent="0.2">
      <c r="A59" t="s">
        <v>141</v>
      </c>
      <c r="B59" s="3">
        <f t="shared" si="0"/>
        <v>45931</v>
      </c>
      <c r="C59" t="s">
        <v>93</v>
      </c>
      <c r="D59" s="1">
        <v>1.3101851851851852E-2</v>
      </c>
      <c r="E59">
        <v>7</v>
      </c>
      <c r="F59" t="s">
        <v>84</v>
      </c>
      <c r="G59" t="s">
        <v>109</v>
      </c>
      <c r="H59" t="s">
        <v>48</v>
      </c>
      <c r="I59" s="2" t="s">
        <v>60</v>
      </c>
      <c r="J59" s="2" t="s">
        <v>50</v>
      </c>
      <c r="K59" s="2" t="s">
        <v>59</v>
      </c>
      <c r="L59" s="2" t="s">
        <v>52</v>
      </c>
      <c r="M59" s="2" t="s">
        <v>90</v>
      </c>
      <c r="N59">
        <v>0</v>
      </c>
      <c r="O59">
        <v>0</v>
      </c>
      <c r="P59">
        <v>0</v>
      </c>
      <c r="Q59">
        <v>0</v>
      </c>
      <c r="R59">
        <v>0</v>
      </c>
      <c r="S59">
        <v>0</v>
      </c>
      <c r="T59">
        <v>1</v>
      </c>
      <c r="U59">
        <v>0</v>
      </c>
      <c r="V59">
        <v>1</v>
      </c>
      <c r="W59">
        <v>0</v>
      </c>
      <c r="X59">
        <v>0</v>
      </c>
      <c r="Y59">
        <v>0</v>
      </c>
      <c r="Z59">
        <v>0</v>
      </c>
      <c r="AA59">
        <v>0</v>
      </c>
      <c r="AB59">
        <v>0</v>
      </c>
      <c r="AC59">
        <v>0</v>
      </c>
      <c r="AD59">
        <v>0</v>
      </c>
      <c r="AE59">
        <v>0</v>
      </c>
      <c r="AF59">
        <v>0</v>
      </c>
      <c r="AG59">
        <v>0</v>
      </c>
      <c r="AH59">
        <v>0</v>
      </c>
      <c r="AI59">
        <v>1</v>
      </c>
      <c r="AJ59">
        <v>0</v>
      </c>
      <c r="AK59">
        <v>0</v>
      </c>
      <c r="AL59">
        <v>0</v>
      </c>
      <c r="AM59" t="s">
        <v>54</v>
      </c>
      <c r="AN59">
        <v>0</v>
      </c>
      <c r="AO59">
        <v>2</v>
      </c>
      <c r="AP59">
        <v>0</v>
      </c>
      <c r="AQ59">
        <v>1</v>
      </c>
      <c r="AR59">
        <v>0</v>
      </c>
      <c r="AS59">
        <v>0</v>
      </c>
    </row>
    <row r="60" spans="1:45" x14ac:dyDescent="0.2">
      <c r="A60" t="s">
        <v>142</v>
      </c>
      <c r="B60" s="3">
        <f t="shared" si="0"/>
        <v>45931</v>
      </c>
      <c r="C60" t="s">
        <v>45</v>
      </c>
      <c r="D60" s="1">
        <v>2.7708333333333335E-2</v>
      </c>
      <c r="E60">
        <v>30</v>
      </c>
      <c r="F60" t="s">
        <v>126</v>
      </c>
      <c r="G60" t="s">
        <v>103</v>
      </c>
      <c r="H60" t="s">
        <v>48</v>
      </c>
      <c r="I60" s="2" t="s">
        <v>65</v>
      </c>
      <c r="J60" s="2" t="s">
        <v>50</v>
      </c>
      <c r="K60" s="2" t="s">
        <v>59</v>
      </c>
      <c r="L60" s="2" t="s">
        <v>66</v>
      </c>
      <c r="M60" s="2" t="s">
        <v>61</v>
      </c>
      <c r="N60">
        <v>0</v>
      </c>
      <c r="O60">
        <v>1</v>
      </c>
      <c r="P60">
        <v>0</v>
      </c>
      <c r="Q60">
        <v>0</v>
      </c>
      <c r="R60">
        <v>0</v>
      </c>
      <c r="S60">
        <v>1</v>
      </c>
      <c r="T60">
        <v>0</v>
      </c>
      <c r="U60">
        <v>0</v>
      </c>
      <c r="V60">
        <v>0</v>
      </c>
      <c r="W60">
        <v>0</v>
      </c>
      <c r="X60">
        <v>1</v>
      </c>
      <c r="Y60">
        <v>0</v>
      </c>
      <c r="Z60">
        <v>0</v>
      </c>
      <c r="AA60">
        <v>0</v>
      </c>
      <c r="AB60">
        <v>0</v>
      </c>
      <c r="AC60">
        <v>0</v>
      </c>
      <c r="AD60">
        <v>0</v>
      </c>
      <c r="AE60">
        <v>1</v>
      </c>
      <c r="AF60">
        <v>0</v>
      </c>
      <c r="AG60">
        <v>0</v>
      </c>
      <c r="AH60">
        <v>0</v>
      </c>
      <c r="AI60">
        <v>0</v>
      </c>
      <c r="AJ60">
        <v>0</v>
      </c>
      <c r="AK60">
        <v>0</v>
      </c>
      <c r="AL60">
        <v>0</v>
      </c>
      <c r="AM60" t="s">
        <v>54</v>
      </c>
      <c r="AN60">
        <v>1</v>
      </c>
      <c r="AO60">
        <v>2</v>
      </c>
      <c r="AP60">
        <v>2</v>
      </c>
      <c r="AQ60">
        <v>2</v>
      </c>
      <c r="AR60">
        <v>2</v>
      </c>
      <c r="AS60">
        <v>0</v>
      </c>
    </row>
    <row r="61" spans="1:45" x14ac:dyDescent="0.2">
      <c r="A61" t="s">
        <v>143</v>
      </c>
      <c r="B61" s="3">
        <f t="shared" si="0"/>
        <v>45931</v>
      </c>
      <c r="C61" t="s">
        <v>93</v>
      </c>
      <c r="D61" s="1">
        <v>2.6527777777777779E-2</v>
      </c>
      <c r="E61">
        <v>30</v>
      </c>
      <c r="F61" t="s">
        <v>126</v>
      </c>
      <c r="G61" t="s">
        <v>119</v>
      </c>
      <c r="H61" t="s">
        <v>48</v>
      </c>
      <c r="I61" s="2" t="s">
        <v>78</v>
      </c>
      <c r="J61" s="2" t="s">
        <v>50</v>
      </c>
      <c r="K61" s="2" t="s">
        <v>51</v>
      </c>
      <c r="L61" s="2" t="s">
        <v>60</v>
      </c>
      <c r="M61" s="2" t="s">
        <v>112</v>
      </c>
      <c r="N61">
        <v>0</v>
      </c>
      <c r="O61">
        <v>1</v>
      </c>
      <c r="P61">
        <v>0</v>
      </c>
      <c r="Q61">
        <v>0</v>
      </c>
      <c r="R61">
        <v>0</v>
      </c>
      <c r="S61">
        <v>1</v>
      </c>
      <c r="T61">
        <v>0</v>
      </c>
      <c r="U61">
        <v>0</v>
      </c>
      <c r="V61">
        <v>0</v>
      </c>
      <c r="W61">
        <v>0</v>
      </c>
      <c r="X61">
        <v>1</v>
      </c>
      <c r="Y61">
        <v>0</v>
      </c>
      <c r="Z61">
        <v>0</v>
      </c>
      <c r="AA61">
        <v>0</v>
      </c>
      <c r="AB61">
        <v>0</v>
      </c>
      <c r="AC61">
        <v>0</v>
      </c>
      <c r="AD61">
        <v>0</v>
      </c>
      <c r="AE61">
        <v>1</v>
      </c>
      <c r="AF61">
        <v>0</v>
      </c>
      <c r="AG61">
        <v>0</v>
      </c>
      <c r="AH61">
        <v>0</v>
      </c>
      <c r="AI61">
        <v>0</v>
      </c>
      <c r="AJ61">
        <v>0</v>
      </c>
      <c r="AK61">
        <v>0</v>
      </c>
      <c r="AL61">
        <v>0</v>
      </c>
      <c r="AM61" t="s">
        <v>54</v>
      </c>
      <c r="AN61">
        <v>1</v>
      </c>
      <c r="AO61">
        <v>2</v>
      </c>
      <c r="AP61">
        <v>2</v>
      </c>
      <c r="AQ61">
        <v>2</v>
      </c>
      <c r="AR61">
        <v>2</v>
      </c>
      <c r="AS61">
        <v>0</v>
      </c>
    </row>
    <row r="62" spans="1:45" x14ac:dyDescent="0.2">
      <c r="A62" t="s">
        <v>143</v>
      </c>
      <c r="B62" s="3">
        <f t="shared" si="0"/>
        <v>45931</v>
      </c>
      <c r="C62" t="s">
        <v>93</v>
      </c>
      <c r="D62" s="1">
        <v>1.1828703703703704E-2</v>
      </c>
      <c r="E62">
        <v>14</v>
      </c>
      <c r="F62" t="s">
        <v>98</v>
      </c>
      <c r="G62" t="s">
        <v>109</v>
      </c>
      <c r="H62" t="s">
        <v>48</v>
      </c>
      <c r="I62" s="2" t="s">
        <v>78</v>
      </c>
      <c r="J62" s="2" t="s">
        <v>50</v>
      </c>
      <c r="K62" s="2" t="s">
        <v>59</v>
      </c>
      <c r="L62" s="2" t="s">
        <v>49</v>
      </c>
      <c r="M62" s="2" t="s">
        <v>90</v>
      </c>
      <c r="N62">
        <v>0</v>
      </c>
      <c r="O62">
        <v>0</v>
      </c>
      <c r="P62">
        <v>0</v>
      </c>
      <c r="Q62">
        <v>0</v>
      </c>
      <c r="R62">
        <v>0</v>
      </c>
      <c r="S62">
        <v>0</v>
      </c>
      <c r="T62">
        <v>0</v>
      </c>
      <c r="U62">
        <v>0</v>
      </c>
      <c r="V62">
        <v>1</v>
      </c>
      <c r="W62">
        <v>1</v>
      </c>
      <c r="X62">
        <v>0</v>
      </c>
      <c r="Y62">
        <v>0</v>
      </c>
      <c r="Z62">
        <v>0</v>
      </c>
      <c r="AA62">
        <v>0</v>
      </c>
      <c r="AB62">
        <v>1</v>
      </c>
      <c r="AC62">
        <v>0</v>
      </c>
      <c r="AD62">
        <v>0</v>
      </c>
      <c r="AE62">
        <v>0</v>
      </c>
      <c r="AF62">
        <v>0</v>
      </c>
      <c r="AG62">
        <v>0</v>
      </c>
      <c r="AH62">
        <v>0</v>
      </c>
      <c r="AI62">
        <v>0</v>
      </c>
      <c r="AJ62">
        <v>0</v>
      </c>
      <c r="AK62">
        <v>0</v>
      </c>
      <c r="AL62">
        <v>0</v>
      </c>
      <c r="AM62" t="s">
        <v>54</v>
      </c>
      <c r="AN62">
        <v>1</v>
      </c>
      <c r="AO62">
        <v>2</v>
      </c>
      <c r="AP62">
        <v>1</v>
      </c>
      <c r="AQ62">
        <v>1</v>
      </c>
      <c r="AR62">
        <v>2</v>
      </c>
      <c r="AS62">
        <v>1</v>
      </c>
    </row>
    <row r="63" spans="1:45" x14ac:dyDescent="0.2">
      <c r="A63" t="s">
        <v>144</v>
      </c>
      <c r="B63" s="3">
        <f t="shared" si="0"/>
        <v>45931</v>
      </c>
      <c r="C63" t="s">
        <v>45</v>
      </c>
      <c r="D63" s="1">
        <v>1.3912037037037037E-2</v>
      </c>
      <c r="E63">
        <v>4</v>
      </c>
      <c r="F63" t="s">
        <v>115</v>
      </c>
      <c r="G63" t="s">
        <v>64</v>
      </c>
      <c r="H63" t="s">
        <v>70</v>
      </c>
      <c r="I63" s="2" t="s">
        <v>78</v>
      </c>
      <c r="J63" s="2" t="s">
        <v>59</v>
      </c>
      <c r="K63" s="2" t="s">
        <v>60</v>
      </c>
      <c r="L63" s="2" t="s">
        <v>76</v>
      </c>
      <c r="M63" s="2" t="s">
        <v>53</v>
      </c>
      <c r="N63">
        <v>1</v>
      </c>
      <c r="O63">
        <v>0</v>
      </c>
      <c r="P63">
        <v>0</v>
      </c>
      <c r="Q63">
        <v>0</v>
      </c>
      <c r="R63">
        <v>0</v>
      </c>
      <c r="S63">
        <v>0</v>
      </c>
      <c r="T63">
        <v>0</v>
      </c>
      <c r="U63">
        <v>0</v>
      </c>
      <c r="V63">
        <v>0</v>
      </c>
      <c r="W63">
        <v>0</v>
      </c>
      <c r="X63">
        <v>0</v>
      </c>
      <c r="Y63">
        <v>0</v>
      </c>
      <c r="Z63">
        <v>0</v>
      </c>
      <c r="AA63">
        <v>0</v>
      </c>
      <c r="AB63">
        <v>1</v>
      </c>
      <c r="AC63">
        <v>0</v>
      </c>
      <c r="AD63">
        <v>1</v>
      </c>
      <c r="AE63">
        <v>0</v>
      </c>
      <c r="AF63">
        <v>1</v>
      </c>
      <c r="AG63">
        <v>0</v>
      </c>
      <c r="AH63">
        <v>0</v>
      </c>
      <c r="AI63">
        <v>0</v>
      </c>
      <c r="AJ63">
        <v>0</v>
      </c>
      <c r="AK63">
        <v>0</v>
      </c>
      <c r="AL63">
        <v>0</v>
      </c>
      <c r="AM63" t="s">
        <v>54</v>
      </c>
      <c r="AN63">
        <v>1</v>
      </c>
      <c r="AO63">
        <v>4</v>
      </c>
      <c r="AP63">
        <v>1</v>
      </c>
      <c r="AQ63">
        <v>1</v>
      </c>
      <c r="AR63">
        <v>1</v>
      </c>
      <c r="AS63">
        <v>1</v>
      </c>
    </row>
    <row r="64" spans="1:45" x14ac:dyDescent="0.2">
      <c r="A64" t="s">
        <v>145</v>
      </c>
      <c r="B64" s="3">
        <f t="shared" si="0"/>
        <v>45962</v>
      </c>
      <c r="C64" t="s">
        <v>45</v>
      </c>
      <c r="D64" s="1">
        <v>1.3900462962962963E-2</v>
      </c>
      <c r="E64">
        <v>16</v>
      </c>
      <c r="F64" t="s">
        <v>101</v>
      </c>
      <c r="G64" t="s">
        <v>47</v>
      </c>
      <c r="H64" t="s">
        <v>70</v>
      </c>
      <c r="I64" s="2" t="s">
        <v>58</v>
      </c>
      <c r="J64" s="2" t="s">
        <v>59</v>
      </c>
      <c r="K64" s="2" t="s">
        <v>60</v>
      </c>
      <c r="L64" s="2" t="s">
        <v>76</v>
      </c>
      <c r="M64" s="2" t="s">
        <v>53</v>
      </c>
      <c r="N64">
        <v>0</v>
      </c>
      <c r="O64">
        <v>0</v>
      </c>
      <c r="P64">
        <v>0</v>
      </c>
      <c r="Q64">
        <v>1</v>
      </c>
      <c r="R64">
        <v>0</v>
      </c>
      <c r="S64">
        <v>0</v>
      </c>
      <c r="T64">
        <v>0</v>
      </c>
      <c r="U64">
        <v>0</v>
      </c>
      <c r="V64">
        <v>0</v>
      </c>
      <c r="W64">
        <v>0</v>
      </c>
      <c r="X64">
        <v>0</v>
      </c>
      <c r="Y64">
        <v>0</v>
      </c>
      <c r="Z64">
        <v>0</v>
      </c>
      <c r="AA64">
        <v>1</v>
      </c>
      <c r="AB64">
        <v>0</v>
      </c>
      <c r="AC64">
        <v>0</v>
      </c>
      <c r="AD64">
        <v>0</v>
      </c>
      <c r="AE64">
        <v>0</v>
      </c>
      <c r="AF64">
        <v>0</v>
      </c>
      <c r="AG64">
        <v>0</v>
      </c>
      <c r="AH64">
        <v>0</v>
      </c>
      <c r="AI64">
        <v>0</v>
      </c>
      <c r="AJ64">
        <v>0</v>
      </c>
      <c r="AK64">
        <v>0</v>
      </c>
      <c r="AL64">
        <v>0</v>
      </c>
      <c r="AM64" t="s">
        <v>54</v>
      </c>
      <c r="AN64">
        <v>0</v>
      </c>
      <c r="AO64">
        <v>1</v>
      </c>
      <c r="AP64">
        <v>0</v>
      </c>
      <c r="AQ64">
        <v>0</v>
      </c>
      <c r="AR64">
        <v>1</v>
      </c>
      <c r="AS64">
        <v>0</v>
      </c>
    </row>
    <row r="65" spans="1:45" x14ac:dyDescent="0.2">
      <c r="A65" t="s">
        <v>146</v>
      </c>
      <c r="B65" s="3">
        <f t="shared" si="0"/>
        <v>45962</v>
      </c>
      <c r="C65" t="s">
        <v>93</v>
      </c>
      <c r="D65" s="1">
        <v>1.2303240740740741E-2</v>
      </c>
      <c r="E65">
        <v>16</v>
      </c>
      <c r="F65" t="s">
        <v>101</v>
      </c>
      <c r="G65" t="s">
        <v>109</v>
      </c>
      <c r="H65" t="s">
        <v>48</v>
      </c>
      <c r="I65" s="2" t="s">
        <v>65</v>
      </c>
      <c r="J65" s="2" t="s">
        <v>50</v>
      </c>
      <c r="K65" s="2" t="s">
        <v>60</v>
      </c>
      <c r="L65" s="2" t="s">
        <v>108</v>
      </c>
      <c r="M65" s="2" t="s">
        <v>67</v>
      </c>
      <c r="N65">
        <v>0</v>
      </c>
      <c r="O65">
        <v>0</v>
      </c>
      <c r="P65">
        <v>0</v>
      </c>
      <c r="Q65">
        <v>1</v>
      </c>
      <c r="R65">
        <v>0</v>
      </c>
      <c r="S65">
        <v>0</v>
      </c>
      <c r="T65">
        <v>0</v>
      </c>
      <c r="U65">
        <v>0</v>
      </c>
      <c r="V65">
        <v>0</v>
      </c>
      <c r="W65">
        <v>0</v>
      </c>
      <c r="X65">
        <v>0</v>
      </c>
      <c r="Y65">
        <v>0</v>
      </c>
      <c r="Z65">
        <v>0</v>
      </c>
      <c r="AA65">
        <v>1</v>
      </c>
      <c r="AB65">
        <v>0</v>
      </c>
      <c r="AC65">
        <v>0</v>
      </c>
      <c r="AD65">
        <v>0</v>
      </c>
      <c r="AE65">
        <v>0</v>
      </c>
      <c r="AF65">
        <v>0</v>
      </c>
      <c r="AG65">
        <v>0</v>
      </c>
      <c r="AH65">
        <v>0</v>
      </c>
      <c r="AI65">
        <v>0</v>
      </c>
      <c r="AJ65">
        <v>0</v>
      </c>
      <c r="AK65">
        <v>0</v>
      </c>
      <c r="AL65">
        <v>0</v>
      </c>
      <c r="AM65" t="s">
        <v>54</v>
      </c>
      <c r="AN65">
        <v>0</v>
      </c>
      <c r="AO65">
        <v>1</v>
      </c>
      <c r="AP65">
        <v>0</v>
      </c>
      <c r="AQ65">
        <v>0</v>
      </c>
      <c r="AR65">
        <v>1</v>
      </c>
      <c r="AS65">
        <v>0</v>
      </c>
    </row>
    <row r="66" spans="1:45" x14ac:dyDescent="0.2">
      <c r="A66" t="s">
        <v>147</v>
      </c>
      <c r="B66" s="3">
        <f t="shared" si="0"/>
        <v>45962</v>
      </c>
      <c r="C66" t="s">
        <v>45</v>
      </c>
      <c r="D66" s="1">
        <v>1.1886574074074074E-2</v>
      </c>
      <c r="E66">
        <v>16</v>
      </c>
      <c r="F66" t="s">
        <v>101</v>
      </c>
      <c r="G66" t="s">
        <v>103</v>
      </c>
      <c r="H66" t="s">
        <v>48</v>
      </c>
      <c r="I66" s="2" t="s">
        <v>65</v>
      </c>
      <c r="J66" s="2" t="s">
        <v>50</v>
      </c>
      <c r="K66" s="2" t="s">
        <v>51</v>
      </c>
      <c r="L66" s="2" t="s">
        <v>111</v>
      </c>
      <c r="M66" s="2" t="s">
        <v>88</v>
      </c>
      <c r="N66">
        <v>0</v>
      </c>
      <c r="O66">
        <v>0</v>
      </c>
      <c r="P66">
        <v>0</v>
      </c>
      <c r="Q66">
        <v>1</v>
      </c>
      <c r="R66">
        <v>0</v>
      </c>
      <c r="S66">
        <v>0</v>
      </c>
      <c r="T66">
        <v>0</v>
      </c>
      <c r="U66">
        <v>0</v>
      </c>
      <c r="V66">
        <v>0</v>
      </c>
      <c r="W66">
        <v>0</v>
      </c>
      <c r="X66">
        <v>0</v>
      </c>
      <c r="Y66">
        <v>0</v>
      </c>
      <c r="Z66">
        <v>0</v>
      </c>
      <c r="AA66">
        <v>1</v>
      </c>
      <c r="AB66">
        <v>0</v>
      </c>
      <c r="AC66">
        <v>0</v>
      </c>
      <c r="AD66">
        <v>0</v>
      </c>
      <c r="AE66">
        <v>0</v>
      </c>
      <c r="AF66">
        <v>0</v>
      </c>
      <c r="AG66">
        <v>0</v>
      </c>
      <c r="AH66">
        <v>0</v>
      </c>
      <c r="AI66">
        <v>0</v>
      </c>
      <c r="AJ66">
        <v>0</v>
      </c>
      <c r="AK66">
        <v>0</v>
      </c>
      <c r="AL66">
        <v>0</v>
      </c>
      <c r="AM66" t="s">
        <v>54</v>
      </c>
      <c r="AN66">
        <v>0</v>
      </c>
      <c r="AO66">
        <v>1</v>
      </c>
      <c r="AP66">
        <v>0</v>
      </c>
      <c r="AQ66">
        <v>0</v>
      </c>
      <c r="AR66">
        <v>1</v>
      </c>
      <c r="AS66">
        <v>0</v>
      </c>
    </row>
    <row r="67" spans="1:45" x14ac:dyDescent="0.2">
      <c r="A67" t="s">
        <v>148</v>
      </c>
      <c r="B67" s="3">
        <f t="shared" ref="B67:B117" si="1">DATE(YEAR(DATEVALUE(LEFT(A67,10))), MONTH(DATEVALUE(LEFT(A67,10))), 1)</f>
        <v>45962</v>
      </c>
      <c r="C67" t="s">
        <v>45</v>
      </c>
      <c r="D67" s="1">
        <v>1.7384259259259259E-2</v>
      </c>
      <c r="E67">
        <v>8</v>
      </c>
      <c r="F67" t="s">
        <v>149</v>
      </c>
      <c r="G67" t="s">
        <v>75</v>
      </c>
      <c r="H67" t="s">
        <v>70</v>
      </c>
      <c r="I67" s="2" t="s">
        <v>60</v>
      </c>
      <c r="J67" s="2" t="s">
        <v>50</v>
      </c>
      <c r="K67" s="2" t="s">
        <v>59</v>
      </c>
      <c r="L67" s="2" t="s">
        <v>60</v>
      </c>
      <c r="M67" s="2" t="s">
        <v>122</v>
      </c>
      <c r="N67">
        <v>0</v>
      </c>
      <c r="O67">
        <v>0</v>
      </c>
      <c r="P67">
        <v>0</v>
      </c>
      <c r="Q67">
        <v>0</v>
      </c>
      <c r="R67">
        <v>0</v>
      </c>
      <c r="S67">
        <v>0</v>
      </c>
      <c r="T67">
        <v>0</v>
      </c>
      <c r="U67">
        <v>1</v>
      </c>
      <c r="V67">
        <v>0</v>
      </c>
      <c r="W67">
        <v>0</v>
      </c>
      <c r="X67">
        <v>0</v>
      </c>
      <c r="Y67">
        <v>0</v>
      </c>
      <c r="Z67">
        <v>1</v>
      </c>
      <c r="AA67">
        <v>0</v>
      </c>
      <c r="AB67">
        <v>0</v>
      </c>
      <c r="AC67">
        <v>0</v>
      </c>
      <c r="AD67">
        <v>0</v>
      </c>
      <c r="AE67">
        <v>0</v>
      </c>
      <c r="AF67">
        <v>0</v>
      </c>
      <c r="AG67">
        <v>0</v>
      </c>
      <c r="AH67">
        <v>0</v>
      </c>
      <c r="AI67">
        <v>0</v>
      </c>
      <c r="AJ67">
        <v>0</v>
      </c>
      <c r="AK67">
        <v>1</v>
      </c>
      <c r="AL67">
        <v>0</v>
      </c>
      <c r="AM67" t="s">
        <v>54</v>
      </c>
      <c r="AN67">
        <v>0</v>
      </c>
      <c r="AO67">
        <v>1</v>
      </c>
      <c r="AP67">
        <v>2</v>
      </c>
      <c r="AQ67">
        <v>0</v>
      </c>
      <c r="AR67">
        <v>0</v>
      </c>
      <c r="AS67">
        <v>1</v>
      </c>
    </row>
    <row r="68" spans="1:45" x14ac:dyDescent="0.2">
      <c r="A68" t="s">
        <v>148</v>
      </c>
      <c r="B68" s="3">
        <f t="shared" si="1"/>
        <v>45962</v>
      </c>
      <c r="C68" t="s">
        <v>45</v>
      </c>
      <c r="D68" s="1">
        <v>1.3900462962962963E-2</v>
      </c>
      <c r="E68">
        <v>16</v>
      </c>
      <c r="F68" t="s">
        <v>101</v>
      </c>
      <c r="G68" t="s">
        <v>91</v>
      </c>
      <c r="H68" t="s">
        <v>70</v>
      </c>
      <c r="I68" s="2" t="s">
        <v>58</v>
      </c>
      <c r="J68" s="2" t="s">
        <v>50</v>
      </c>
      <c r="K68" s="2" t="s">
        <v>60</v>
      </c>
      <c r="L68" s="2" t="s">
        <v>81</v>
      </c>
      <c r="M68" s="2" t="s">
        <v>53</v>
      </c>
      <c r="N68">
        <v>0</v>
      </c>
      <c r="O68">
        <v>0</v>
      </c>
      <c r="P68">
        <v>0</v>
      </c>
      <c r="Q68">
        <v>1</v>
      </c>
      <c r="R68">
        <v>0</v>
      </c>
      <c r="S68">
        <v>0</v>
      </c>
      <c r="T68">
        <v>0</v>
      </c>
      <c r="U68">
        <v>0</v>
      </c>
      <c r="V68">
        <v>0</v>
      </c>
      <c r="W68">
        <v>0</v>
      </c>
      <c r="X68">
        <v>0</v>
      </c>
      <c r="Y68">
        <v>0</v>
      </c>
      <c r="Z68">
        <v>0</v>
      </c>
      <c r="AA68">
        <v>1</v>
      </c>
      <c r="AB68">
        <v>0</v>
      </c>
      <c r="AC68">
        <v>0</v>
      </c>
      <c r="AD68">
        <v>0</v>
      </c>
      <c r="AE68">
        <v>0</v>
      </c>
      <c r="AF68">
        <v>0</v>
      </c>
      <c r="AG68">
        <v>0</v>
      </c>
      <c r="AH68">
        <v>0</v>
      </c>
      <c r="AI68">
        <v>0</v>
      </c>
      <c r="AJ68">
        <v>0</v>
      </c>
      <c r="AK68">
        <v>0</v>
      </c>
      <c r="AL68">
        <v>0</v>
      </c>
      <c r="AM68" t="s">
        <v>54</v>
      </c>
      <c r="AN68">
        <v>0</v>
      </c>
      <c r="AO68">
        <v>1</v>
      </c>
      <c r="AP68">
        <v>0</v>
      </c>
      <c r="AQ68">
        <v>0</v>
      </c>
      <c r="AR68">
        <v>1</v>
      </c>
      <c r="AS68">
        <v>0</v>
      </c>
    </row>
    <row r="69" spans="1:45" x14ac:dyDescent="0.2">
      <c r="A69" t="s">
        <v>148</v>
      </c>
      <c r="B69" s="3">
        <f t="shared" si="1"/>
        <v>45962</v>
      </c>
      <c r="C69" t="s">
        <v>45</v>
      </c>
      <c r="D69" s="1">
        <v>1.2465277777777778E-2</v>
      </c>
      <c r="E69">
        <v>4</v>
      </c>
      <c r="F69" t="s">
        <v>115</v>
      </c>
      <c r="G69" t="s">
        <v>47</v>
      </c>
      <c r="H69" t="s">
        <v>48</v>
      </c>
      <c r="I69" s="2" t="s">
        <v>60</v>
      </c>
      <c r="J69" s="2" t="s">
        <v>50</v>
      </c>
      <c r="K69" s="2" t="s">
        <v>60</v>
      </c>
      <c r="L69" s="2" t="s">
        <v>49</v>
      </c>
      <c r="M69" s="2" t="s">
        <v>53</v>
      </c>
      <c r="N69">
        <v>1</v>
      </c>
      <c r="O69">
        <v>0</v>
      </c>
      <c r="P69">
        <v>0</v>
      </c>
      <c r="Q69">
        <v>0</v>
      </c>
      <c r="R69">
        <v>0</v>
      </c>
      <c r="S69">
        <v>0</v>
      </c>
      <c r="T69">
        <v>0</v>
      </c>
      <c r="U69">
        <v>0</v>
      </c>
      <c r="V69">
        <v>0</v>
      </c>
      <c r="W69">
        <v>0</v>
      </c>
      <c r="X69">
        <v>0</v>
      </c>
      <c r="Y69">
        <v>0</v>
      </c>
      <c r="Z69">
        <v>0</v>
      </c>
      <c r="AA69">
        <v>0</v>
      </c>
      <c r="AB69">
        <v>1</v>
      </c>
      <c r="AC69">
        <v>0</v>
      </c>
      <c r="AD69">
        <v>1</v>
      </c>
      <c r="AE69">
        <v>0</v>
      </c>
      <c r="AF69">
        <v>1</v>
      </c>
      <c r="AG69">
        <v>0</v>
      </c>
      <c r="AH69">
        <v>0</v>
      </c>
      <c r="AI69">
        <v>0</v>
      </c>
      <c r="AJ69">
        <v>0</v>
      </c>
      <c r="AK69">
        <v>0</v>
      </c>
      <c r="AL69">
        <v>0</v>
      </c>
      <c r="AM69" t="s">
        <v>54</v>
      </c>
      <c r="AN69">
        <v>1</v>
      </c>
      <c r="AO69">
        <v>4</v>
      </c>
      <c r="AP69">
        <v>1</v>
      </c>
      <c r="AQ69">
        <v>1</v>
      </c>
      <c r="AR69">
        <v>1</v>
      </c>
      <c r="AS69">
        <v>1</v>
      </c>
    </row>
    <row r="70" spans="1:45" x14ac:dyDescent="0.2">
      <c r="A70" t="s">
        <v>150</v>
      </c>
      <c r="B70" s="3">
        <f t="shared" si="1"/>
        <v>45962</v>
      </c>
      <c r="C70" t="s">
        <v>93</v>
      </c>
      <c r="D70" s="1">
        <v>1.3900462962962963E-2</v>
      </c>
      <c r="E70">
        <v>16</v>
      </c>
      <c r="F70" t="s">
        <v>101</v>
      </c>
      <c r="G70" t="s">
        <v>119</v>
      </c>
      <c r="H70" t="s">
        <v>70</v>
      </c>
      <c r="I70" s="2" t="s">
        <v>60</v>
      </c>
      <c r="J70" s="2" t="s">
        <v>50</v>
      </c>
      <c r="K70" s="2" t="s">
        <v>60</v>
      </c>
      <c r="L70" s="2" t="s">
        <v>52</v>
      </c>
      <c r="M70" s="2" t="s">
        <v>90</v>
      </c>
      <c r="N70">
        <v>0</v>
      </c>
      <c r="O70">
        <v>0</v>
      </c>
      <c r="P70">
        <v>0</v>
      </c>
      <c r="Q70">
        <v>1</v>
      </c>
      <c r="R70">
        <v>0</v>
      </c>
      <c r="S70">
        <v>0</v>
      </c>
      <c r="T70">
        <v>0</v>
      </c>
      <c r="U70">
        <v>0</v>
      </c>
      <c r="V70">
        <v>0</v>
      </c>
      <c r="W70">
        <v>0</v>
      </c>
      <c r="X70">
        <v>0</v>
      </c>
      <c r="Y70">
        <v>0</v>
      </c>
      <c r="Z70">
        <v>0</v>
      </c>
      <c r="AA70">
        <v>1</v>
      </c>
      <c r="AB70">
        <v>0</v>
      </c>
      <c r="AC70">
        <v>0</v>
      </c>
      <c r="AD70">
        <v>0</v>
      </c>
      <c r="AE70">
        <v>0</v>
      </c>
      <c r="AF70">
        <v>0</v>
      </c>
      <c r="AG70">
        <v>0</v>
      </c>
      <c r="AH70">
        <v>0</v>
      </c>
      <c r="AI70">
        <v>0</v>
      </c>
      <c r="AJ70">
        <v>0</v>
      </c>
      <c r="AK70">
        <v>0</v>
      </c>
      <c r="AL70">
        <v>0</v>
      </c>
      <c r="AM70" t="s">
        <v>54</v>
      </c>
      <c r="AN70">
        <v>0</v>
      </c>
      <c r="AO70">
        <v>1</v>
      </c>
      <c r="AP70">
        <v>0</v>
      </c>
      <c r="AQ70">
        <v>0</v>
      </c>
      <c r="AR70">
        <v>1</v>
      </c>
      <c r="AS70">
        <v>0</v>
      </c>
    </row>
    <row r="71" spans="1:45" x14ac:dyDescent="0.2">
      <c r="A71" t="s">
        <v>151</v>
      </c>
      <c r="B71" s="3">
        <f t="shared" si="1"/>
        <v>45962</v>
      </c>
      <c r="C71" t="s">
        <v>63</v>
      </c>
      <c r="D71" s="1">
        <v>1.7384259259259259E-2</v>
      </c>
      <c r="E71">
        <v>18</v>
      </c>
      <c r="F71" t="s">
        <v>152</v>
      </c>
      <c r="G71" t="s">
        <v>64</v>
      </c>
      <c r="H71" t="s">
        <v>70</v>
      </c>
      <c r="I71" s="2" t="s">
        <v>78</v>
      </c>
      <c r="J71" s="2" t="s">
        <v>50</v>
      </c>
      <c r="K71" s="2" t="s">
        <v>51</v>
      </c>
      <c r="L71" s="2" t="s">
        <v>66</v>
      </c>
      <c r="M71" s="2" t="s">
        <v>88</v>
      </c>
      <c r="N71">
        <v>0</v>
      </c>
      <c r="O71">
        <v>0</v>
      </c>
      <c r="P71">
        <v>0</v>
      </c>
      <c r="Q71">
        <v>0</v>
      </c>
      <c r="R71">
        <v>1</v>
      </c>
      <c r="S71">
        <v>0</v>
      </c>
      <c r="T71">
        <v>1</v>
      </c>
      <c r="U71">
        <v>1</v>
      </c>
      <c r="V71">
        <v>0</v>
      </c>
      <c r="W71">
        <v>0</v>
      </c>
      <c r="X71">
        <v>0</v>
      </c>
      <c r="Y71">
        <v>1</v>
      </c>
      <c r="Z71">
        <v>0</v>
      </c>
      <c r="AA71">
        <v>0</v>
      </c>
      <c r="AB71">
        <v>0</v>
      </c>
      <c r="AC71">
        <v>0</v>
      </c>
      <c r="AD71">
        <v>0</v>
      </c>
      <c r="AE71">
        <v>0</v>
      </c>
      <c r="AF71">
        <v>0</v>
      </c>
      <c r="AG71">
        <v>0</v>
      </c>
      <c r="AH71">
        <v>0</v>
      </c>
      <c r="AI71">
        <v>0</v>
      </c>
      <c r="AJ71">
        <v>0</v>
      </c>
      <c r="AK71">
        <v>1</v>
      </c>
      <c r="AL71">
        <v>0</v>
      </c>
      <c r="AM71" t="s">
        <v>54</v>
      </c>
      <c r="AN71">
        <v>0</v>
      </c>
      <c r="AO71">
        <v>3</v>
      </c>
      <c r="AP71">
        <v>1</v>
      </c>
      <c r="AQ71">
        <v>0</v>
      </c>
      <c r="AR71">
        <v>1</v>
      </c>
      <c r="AS71">
        <v>1</v>
      </c>
    </row>
    <row r="72" spans="1:45" x14ac:dyDescent="0.2">
      <c r="A72" t="s">
        <v>153</v>
      </c>
      <c r="B72" s="3">
        <f t="shared" si="1"/>
        <v>45962</v>
      </c>
      <c r="C72" t="s">
        <v>45</v>
      </c>
      <c r="D72" s="1">
        <v>1.2881944444444444E-2</v>
      </c>
      <c r="E72">
        <v>4</v>
      </c>
      <c r="F72" t="s">
        <v>115</v>
      </c>
      <c r="G72" t="s">
        <v>103</v>
      </c>
      <c r="H72" t="s">
        <v>48</v>
      </c>
      <c r="I72" s="2" t="s">
        <v>58</v>
      </c>
      <c r="J72" s="2" t="s">
        <v>50</v>
      </c>
      <c r="K72" s="2" t="s">
        <v>60</v>
      </c>
      <c r="L72" s="2" t="s">
        <v>49</v>
      </c>
      <c r="M72" s="2" t="s">
        <v>53</v>
      </c>
      <c r="N72">
        <v>1</v>
      </c>
      <c r="O72">
        <v>0</v>
      </c>
      <c r="P72">
        <v>0</v>
      </c>
      <c r="Q72">
        <v>0</v>
      </c>
      <c r="R72">
        <v>0</v>
      </c>
      <c r="S72">
        <v>0</v>
      </c>
      <c r="T72">
        <v>0</v>
      </c>
      <c r="U72">
        <v>0</v>
      </c>
      <c r="V72">
        <v>0</v>
      </c>
      <c r="W72">
        <v>0</v>
      </c>
      <c r="X72">
        <v>0</v>
      </c>
      <c r="Y72">
        <v>0</v>
      </c>
      <c r="Z72">
        <v>0</v>
      </c>
      <c r="AA72">
        <v>0</v>
      </c>
      <c r="AB72">
        <v>1</v>
      </c>
      <c r="AC72">
        <v>0</v>
      </c>
      <c r="AD72">
        <v>1</v>
      </c>
      <c r="AE72">
        <v>0</v>
      </c>
      <c r="AF72">
        <v>1</v>
      </c>
      <c r="AG72">
        <v>0</v>
      </c>
      <c r="AH72">
        <v>0</v>
      </c>
      <c r="AI72">
        <v>0</v>
      </c>
      <c r="AJ72">
        <v>0</v>
      </c>
      <c r="AK72">
        <v>0</v>
      </c>
      <c r="AL72">
        <v>0</v>
      </c>
      <c r="AM72" t="s">
        <v>54</v>
      </c>
      <c r="AN72">
        <v>1</v>
      </c>
      <c r="AO72">
        <v>4</v>
      </c>
      <c r="AP72">
        <v>1</v>
      </c>
      <c r="AQ72">
        <v>1</v>
      </c>
      <c r="AR72">
        <v>1</v>
      </c>
      <c r="AS72">
        <v>1</v>
      </c>
    </row>
    <row r="73" spans="1:45" x14ac:dyDescent="0.2">
      <c r="A73" t="s">
        <v>154</v>
      </c>
      <c r="B73" s="3">
        <f t="shared" si="1"/>
        <v>45962</v>
      </c>
      <c r="C73" t="s">
        <v>56</v>
      </c>
      <c r="D73" s="1">
        <v>1.3900462962962963E-2</v>
      </c>
      <c r="E73">
        <v>4</v>
      </c>
      <c r="F73" t="s">
        <v>115</v>
      </c>
      <c r="G73" t="s">
        <v>57</v>
      </c>
      <c r="H73" t="s">
        <v>70</v>
      </c>
      <c r="I73" s="2" t="s">
        <v>58</v>
      </c>
      <c r="J73" s="2" t="s">
        <v>59</v>
      </c>
      <c r="K73" s="2" t="s">
        <v>60</v>
      </c>
      <c r="L73" s="2" t="s">
        <v>66</v>
      </c>
      <c r="M73" s="2" t="s">
        <v>67</v>
      </c>
      <c r="N73">
        <v>1</v>
      </c>
      <c r="O73">
        <v>0</v>
      </c>
      <c r="P73">
        <v>0</v>
      </c>
      <c r="Q73">
        <v>0</v>
      </c>
      <c r="R73">
        <v>0</v>
      </c>
      <c r="S73">
        <v>0</v>
      </c>
      <c r="T73">
        <v>0</v>
      </c>
      <c r="U73">
        <v>0</v>
      </c>
      <c r="V73">
        <v>0</v>
      </c>
      <c r="W73">
        <v>0</v>
      </c>
      <c r="X73">
        <v>0</v>
      </c>
      <c r="Y73">
        <v>0</v>
      </c>
      <c r="Z73">
        <v>0</v>
      </c>
      <c r="AA73">
        <v>0</v>
      </c>
      <c r="AB73">
        <v>1</v>
      </c>
      <c r="AC73">
        <v>0</v>
      </c>
      <c r="AD73">
        <v>1</v>
      </c>
      <c r="AE73">
        <v>0</v>
      </c>
      <c r="AF73">
        <v>1</v>
      </c>
      <c r="AG73">
        <v>0</v>
      </c>
      <c r="AH73">
        <v>0</v>
      </c>
      <c r="AI73">
        <v>0</v>
      </c>
      <c r="AJ73">
        <v>0</v>
      </c>
      <c r="AK73">
        <v>0</v>
      </c>
      <c r="AL73">
        <v>0</v>
      </c>
      <c r="AM73" t="s">
        <v>54</v>
      </c>
      <c r="AN73">
        <v>1</v>
      </c>
      <c r="AO73">
        <v>4</v>
      </c>
      <c r="AP73">
        <v>1</v>
      </c>
      <c r="AQ73">
        <v>1</v>
      </c>
      <c r="AR73">
        <v>1</v>
      </c>
      <c r="AS73">
        <v>1</v>
      </c>
    </row>
    <row r="74" spans="1:45" x14ac:dyDescent="0.2">
      <c r="A74" t="s">
        <v>155</v>
      </c>
      <c r="B74" s="3">
        <f t="shared" si="1"/>
        <v>45992</v>
      </c>
      <c r="C74" t="s">
        <v>45</v>
      </c>
      <c r="D74" s="1">
        <v>1.7569444444444443E-2</v>
      </c>
      <c r="E74">
        <v>18</v>
      </c>
      <c r="F74" t="s">
        <v>152</v>
      </c>
      <c r="G74" t="s">
        <v>75</v>
      </c>
      <c r="H74" t="s">
        <v>48</v>
      </c>
      <c r="I74" s="2" t="s">
        <v>78</v>
      </c>
      <c r="J74" s="2" t="s">
        <v>50</v>
      </c>
      <c r="K74" s="2" t="s">
        <v>60</v>
      </c>
      <c r="L74" s="2" t="s">
        <v>81</v>
      </c>
      <c r="M74" s="2" t="s">
        <v>122</v>
      </c>
      <c r="N74">
        <v>0</v>
      </c>
      <c r="O74">
        <v>0</v>
      </c>
      <c r="P74">
        <v>0</v>
      </c>
      <c r="Q74">
        <v>0</v>
      </c>
      <c r="R74">
        <v>1</v>
      </c>
      <c r="S74">
        <v>0</v>
      </c>
      <c r="T74">
        <v>1</v>
      </c>
      <c r="U74">
        <v>1</v>
      </c>
      <c r="V74">
        <v>0</v>
      </c>
      <c r="W74">
        <v>0</v>
      </c>
      <c r="X74">
        <v>0</v>
      </c>
      <c r="Y74">
        <v>1</v>
      </c>
      <c r="Z74">
        <v>0</v>
      </c>
      <c r="AA74">
        <v>0</v>
      </c>
      <c r="AB74">
        <v>0</v>
      </c>
      <c r="AC74">
        <v>0</v>
      </c>
      <c r="AD74">
        <v>0</v>
      </c>
      <c r="AE74">
        <v>0</v>
      </c>
      <c r="AF74">
        <v>0</v>
      </c>
      <c r="AG74">
        <v>0</v>
      </c>
      <c r="AH74">
        <v>0</v>
      </c>
      <c r="AI74">
        <v>0</v>
      </c>
      <c r="AJ74">
        <v>0</v>
      </c>
      <c r="AK74">
        <v>1</v>
      </c>
      <c r="AL74">
        <v>0</v>
      </c>
      <c r="AM74" t="s">
        <v>54</v>
      </c>
      <c r="AN74">
        <v>0</v>
      </c>
      <c r="AO74">
        <v>3</v>
      </c>
      <c r="AP74">
        <v>1</v>
      </c>
      <c r="AQ74">
        <v>0</v>
      </c>
      <c r="AR74">
        <v>1</v>
      </c>
      <c r="AS74">
        <v>1</v>
      </c>
    </row>
    <row r="75" spans="1:45" x14ac:dyDescent="0.2">
      <c r="A75" t="s">
        <v>156</v>
      </c>
      <c r="B75" s="3">
        <f t="shared" si="1"/>
        <v>45992</v>
      </c>
      <c r="C75" t="s">
        <v>93</v>
      </c>
      <c r="D75" s="1">
        <v>1.3900462962962963E-2</v>
      </c>
      <c r="E75">
        <v>5</v>
      </c>
      <c r="F75" t="s">
        <v>69</v>
      </c>
      <c r="G75" t="s">
        <v>157</v>
      </c>
      <c r="H75" t="s">
        <v>70</v>
      </c>
      <c r="I75" s="2" t="s">
        <v>49</v>
      </c>
      <c r="J75" s="2" t="s">
        <v>59</v>
      </c>
      <c r="K75" s="2" t="s">
        <v>49</v>
      </c>
      <c r="L75" s="2" t="s">
        <v>72</v>
      </c>
      <c r="M75">
        <v>0</v>
      </c>
      <c r="N75">
        <v>0</v>
      </c>
      <c r="O75">
        <v>0</v>
      </c>
      <c r="P75">
        <v>1</v>
      </c>
      <c r="Q75">
        <v>0</v>
      </c>
      <c r="R75">
        <v>0</v>
      </c>
      <c r="S75">
        <v>0</v>
      </c>
      <c r="T75">
        <v>0</v>
      </c>
      <c r="U75">
        <v>0</v>
      </c>
      <c r="V75">
        <v>0</v>
      </c>
      <c r="W75">
        <v>0</v>
      </c>
      <c r="X75">
        <v>0</v>
      </c>
      <c r="Y75">
        <v>1</v>
      </c>
      <c r="Z75">
        <v>0</v>
      </c>
      <c r="AA75">
        <v>0</v>
      </c>
      <c r="AB75">
        <v>0</v>
      </c>
      <c r="AC75">
        <v>0</v>
      </c>
      <c r="AD75">
        <v>0</v>
      </c>
      <c r="AE75">
        <v>0</v>
      </c>
      <c r="AF75">
        <v>0</v>
      </c>
      <c r="AG75">
        <v>0</v>
      </c>
      <c r="AH75">
        <v>0</v>
      </c>
      <c r="AI75">
        <v>0</v>
      </c>
      <c r="AJ75">
        <v>0</v>
      </c>
      <c r="AK75">
        <v>0</v>
      </c>
      <c r="AL75">
        <v>0</v>
      </c>
      <c r="AM75" t="s">
        <v>54</v>
      </c>
      <c r="AN75">
        <v>0</v>
      </c>
      <c r="AO75">
        <v>1</v>
      </c>
      <c r="AP75">
        <v>1</v>
      </c>
      <c r="AQ75">
        <v>0</v>
      </c>
      <c r="AR75">
        <v>0</v>
      </c>
      <c r="AS75">
        <v>0</v>
      </c>
    </row>
    <row r="76" spans="1:45" x14ac:dyDescent="0.2">
      <c r="A76" t="s">
        <v>156</v>
      </c>
      <c r="B76" s="3">
        <f t="shared" si="1"/>
        <v>45992</v>
      </c>
      <c r="C76" t="s">
        <v>93</v>
      </c>
      <c r="D76" s="1">
        <v>1.3900462962962963E-2</v>
      </c>
      <c r="E76">
        <v>4</v>
      </c>
      <c r="F76" t="s">
        <v>115</v>
      </c>
      <c r="G76" t="s">
        <v>119</v>
      </c>
      <c r="H76" t="s">
        <v>70</v>
      </c>
      <c r="I76" s="2" t="s">
        <v>78</v>
      </c>
      <c r="J76" s="2" t="s">
        <v>59</v>
      </c>
      <c r="K76" s="2" t="s">
        <v>49</v>
      </c>
      <c r="L76" s="2" t="s">
        <v>52</v>
      </c>
      <c r="M76" s="2" t="s">
        <v>53</v>
      </c>
      <c r="N76">
        <v>1</v>
      </c>
      <c r="O76">
        <v>0</v>
      </c>
      <c r="P76">
        <v>0</v>
      </c>
      <c r="Q76">
        <v>0</v>
      </c>
      <c r="R76">
        <v>0</v>
      </c>
      <c r="S76">
        <v>0</v>
      </c>
      <c r="T76">
        <v>0</v>
      </c>
      <c r="U76">
        <v>0</v>
      </c>
      <c r="V76">
        <v>0</v>
      </c>
      <c r="W76">
        <v>0</v>
      </c>
      <c r="X76">
        <v>0</v>
      </c>
      <c r="Y76">
        <v>0</v>
      </c>
      <c r="Z76">
        <v>0</v>
      </c>
      <c r="AA76">
        <v>0</v>
      </c>
      <c r="AB76">
        <v>1</v>
      </c>
      <c r="AC76">
        <v>0</v>
      </c>
      <c r="AD76">
        <v>1</v>
      </c>
      <c r="AE76">
        <v>0</v>
      </c>
      <c r="AF76">
        <v>1</v>
      </c>
      <c r="AG76">
        <v>0</v>
      </c>
      <c r="AH76">
        <v>0</v>
      </c>
      <c r="AI76">
        <v>0</v>
      </c>
      <c r="AJ76">
        <v>0</v>
      </c>
      <c r="AK76">
        <v>0</v>
      </c>
      <c r="AL76">
        <v>0</v>
      </c>
      <c r="AM76" t="s">
        <v>54</v>
      </c>
      <c r="AN76">
        <v>1</v>
      </c>
      <c r="AO76">
        <v>4</v>
      </c>
      <c r="AP76">
        <v>1</v>
      </c>
      <c r="AQ76">
        <v>1</v>
      </c>
      <c r="AR76">
        <v>1</v>
      </c>
      <c r="AS76">
        <v>1</v>
      </c>
    </row>
    <row r="77" spans="1:45" x14ac:dyDescent="0.2">
      <c r="A77" t="s">
        <v>156</v>
      </c>
      <c r="B77" s="3">
        <f t="shared" si="1"/>
        <v>45992</v>
      </c>
      <c r="C77" t="s">
        <v>93</v>
      </c>
      <c r="D77" s="1">
        <v>1.3900462962962963E-2</v>
      </c>
      <c r="E77">
        <v>4</v>
      </c>
      <c r="F77" t="s">
        <v>115</v>
      </c>
      <c r="G77" t="s">
        <v>109</v>
      </c>
      <c r="H77" t="s">
        <v>48</v>
      </c>
      <c r="I77" s="2" t="s">
        <v>78</v>
      </c>
      <c r="J77" s="2" t="s">
        <v>50</v>
      </c>
      <c r="K77" s="2" t="s">
        <v>60</v>
      </c>
      <c r="L77" s="2" t="s">
        <v>72</v>
      </c>
      <c r="M77">
        <v>0</v>
      </c>
      <c r="N77">
        <v>1</v>
      </c>
      <c r="O77">
        <v>0</v>
      </c>
      <c r="P77">
        <v>0</v>
      </c>
      <c r="Q77">
        <v>0</v>
      </c>
      <c r="R77">
        <v>0</v>
      </c>
      <c r="S77">
        <v>0</v>
      </c>
      <c r="T77">
        <v>0</v>
      </c>
      <c r="U77">
        <v>0</v>
      </c>
      <c r="V77">
        <v>0</v>
      </c>
      <c r="W77">
        <v>0</v>
      </c>
      <c r="X77">
        <v>0</v>
      </c>
      <c r="Y77">
        <v>0</v>
      </c>
      <c r="Z77">
        <v>0</v>
      </c>
      <c r="AA77">
        <v>0</v>
      </c>
      <c r="AB77">
        <v>1</v>
      </c>
      <c r="AC77">
        <v>0</v>
      </c>
      <c r="AD77">
        <v>1</v>
      </c>
      <c r="AE77">
        <v>0</v>
      </c>
      <c r="AF77">
        <v>1</v>
      </c>
      <c r="AG77">
        <v>0</v>
      </c>
      <c r="AH77">
        <v>0</v>
      </c>
      <c r="AI77">
        <v>0</v>
      </c>
      <c r="AJ77">
        <v>0</v>
      </c>
      <c r="AK77">
        <v>0</v>
      </c>
      <c r="AL77">
        <v>0</v>
      </c>
      <c r="AM77" t="s">
        <v>54</v>
      </c>
      <c r="AN77">
        <v>1</v>
      </c>
      <c r="AO77">
        <v>4</v>
      </c>
      <c r="AP77">
        <v>1</v>
      </c>
      <c r="AQ77">
        <v>1</v>
      </c>
      <c r="AR77">
        <v>1</v>
      </c>
      <c r="AS77">
        <v>1</v>
      </c>
    </row>
    <row r="78" spans="1:45" x14ac:dyDescent="0.2">
      <c r="A78" t="s">
        <v>158</v>
      </c>
      <c r="B78" s="3">
        <f t="shared" si="1"/>
        <v>45992</v>
      </c>
      <c r="C78" t="s">
        <v>45</v>
      </c>
      <c r="D78" s="1">
        <v>1.3495370370370371E-2</v>
      </c>
      <c r="E78">
        <v>8</v>
      </c>
      <c r="F78" t="s">
        <v>149</v>
      </c>
      <c r="G78" t="s">
        <v>47</v>
      </c>
      <c r="H78" t="s">
        <v>48</v>
      </c>
      <c r="I78" s="2" t="s">
        <v>58</v>
      </c>
      <c r="J78" s="2" t="s">
        <v>50</v>
      </c>
      <c r="K78" s="2" t="s">
        <v>59</v>
      </c>
      <c r="L78" s="2" t="s">
        <v>52</v>
      </c>
      <c r="M78" s="2" t="s">
        <v>61</v>
      </c>
      <c r="N78">
        <v>0</v>
      </c>
      <c r="O78">
        <v>0</v>
      </c>
      <c r="P78">
        <v>0</v>
      </c>
      <c r="Q78">
        <v>0</v>
      </c>
      <c r="R78">
        <v>0</v>
      </c>
      <c r="S78">
        <v>0</v>
      </c>
      <c r="T78">
        <v>0</v>
      </c>
      <c r="U78">
        <v>1</v>
      </c>
      <c r="V78">
        <v>0</v>
      </c>
      <c r="W78">
        <v>0</v>
      </c>
      <c r="X78">
        <v>0</v>
      </c>
      <c r="Y78">
        <v>0</v>
      </c>
      <c r="Z78">
        <v>1</v>
      </c>
      <c r="AA78">
        <v>0</v>
      </c>
      <c r="AB78">
        <v>0</v>
      </c>
      <c r="AC78">
        <v>0</v>
      </c>
      <c r="AD78">
        <v>0</v>
      </c>
      <c r="AE78">
        <v>0</v>
      </c>
      <c r="AF78">
        <v>0</v>
      </c>
      <c r="AG78">
        <v>0</v>
      </c>
      <c r="AH78">
        <v>0</v>
      </c>
      <c r="AI78">
        <v>0</v>
      </c>
      <c r="AJ78">
        <v>0</v>
      </c>
      <c r="AK78">
        <v>1</v>
      </c>
      <c r="AL78">
        <v>0</v>
      </c>
      <c r="AM78" t="s">
        <v>54</v>
      </c>
      <c r="AN78">
        <v>0</v>
      </c>
      <c r="AO78">
        <v>1</v>
      </c>
      <c r="AP78">
        <v>2</v>
      </c>
      <c r="AQ78">
        <v>0</v>
      </c>
      <c r="AR78">
        <v>0</v>
      </c>
      <c r="AS78">
        <v>1</v>
      </c>
    </row>
    <row r="79" spans="1:45" x14ac:dyDescent="0.2">
      <c r="A79" t="s">
        <v>159</v>
      </c>
      <c r="B79" s="3">
        <f t="shared" si="1"/>
        <v>45992</v>
      </c>
      <c r="C79" t="s">
        <v>56</v>
      </c>
      <c r="D79" s="1">
        <v>1.3900462962962963E-2</v>
      </c>
      <c r="E79">
        <v>5</v>
      </c>
      <c r="F79" t="s">
        <v>69</v>
      </c>
      <c r="G79" t="s">
        <v>157</v>
      </c>
      <c r="H79" t="s">
        <v>70</v>
      </c>
      <c r="I79" s="2" t="s">
        <v>60</v>
      </c>
      <c r="J79" s="2" t="s">
        <v>59</v>
      </c>
      <c r="K79" s="2" t="s">
        <v>49</v>
      </c>
      <c r="L79" s="2" t="s">
        <v>49</v>
      </c>
      <c r="M79" s="2" t="s">
        <v>90</v>
      </c>
      <c r="N79">
        <v>0</v>
      </c>
      <c r="O79">
        <v>0</v>
      </c>
      <c r="P79">
        <v>1</v>
      </c>
      <c r="Q79">
        <v>0</v>
      </c>
      <c r="R79">
        <v>0</v>
      </c>
      <c r="S79">
        <v>0</v>
      </c>
      <c r="T79">
        <v>0</v>
      </c>
      <c r="U79">
        <v>0</v>
      </c>
      <c r="V79">
        <v>0</v>
      </c>
      <c r="W79">
        <v>0</v>
      </c>
      <c r="X79">
        <v>0</v>
      </c>
      <c r="Y79">
        <v>1</v>
      </c>
      <c r="Z79">
        <v>0</v>
      </c>
      <c r="AA79">
        <v>0</v>
      </c>
      <c r="AB79">
        <v>0</v>
      </c>
      <c r="AC79">
        <v>0</v>
      </c>
      <c r="AD79">
        <v>0</v>
      </c>
      <c r="AE79">
        <v>0</v>
      </c>
      <c r="AF79">
        <v>0</v>
      </c>
      <c r="AG79">
        <v>0</v>
      </c>
      <c r="AH79">
        <v>0</v>
      </c>
      <c r="AI79">
        <v>0</v>
      </c>
      <c r="AJ79">
        <v>0</v>
      </c>
      <c r="AK79">
        <v>0</v>
      </c>
      <c r="AL79">
        <v>0</v>
      </c>
      <c r="AM79" t="s">
        <v>54</v>
      </c>
      <c r="AN79">
        <v>0</v>
      </c>
      <c r="AO79">
        <v>1</v>
      </c>
      <c r="AP79">
        <v>1</v>
      </c>
      <c r="AQ79">
        <v>0</v>
      </c>
      <c r="AR79">
        <v>0</v>
      </c>
      <c r="AS79">
        <v>0</v>
      </c>
    </row>
    <row r="80" spans="1:45" x14ac:dyDescent="0.2">
      <c r="A80" t="s">
        <v>159</v>
      </c>
      <c r="B80" s="3">
        <f t="shared" si="1"/>
        <v>45992</v>
      </c>
      <c r="C80" t="s">
        <v>56</v>
      </c>
      <c r="D80" s="1">
        <v>1.3784722222222223E-2</v>
      </c>
      <c r="E80">
        <v>29</v>
      </c>
      <c r="F80" t="s">
        <v>74</v>
      </c>
      <c r="G80" t="s">
        <v>160</v>
      </c>
      <c r="H80" t="s">
        <v>48</v>
      </c>
      <c r="I80" s="2" t="s">
        <v>78</v>
      </c>
      <c r="J80" s="2" t="s">
        <v>50</v>
      </c>
      <c r="K80" s="2" t="s">
        <v>60</v>
      </c>
      <c r="L80" s="2" t="s">
        <v>76</v>
      </c>
      <c r="M80" s="2" t="s">
        <v>53</v>
      </c>
      <c r="N80">
        <v>0</v>
      </c>
      <c r="O80">
        <v>0</v>
      </c>
      <c r="P80">
        <v>1</v>
      </c>
      <c r="Q80">
        <v>0</v>
      </c>
      <c r="R80">
        <v>0</v>
      </c>
      <c r="S80">
        <v>0</v>
      </c>
      <c r="T80">
        <v>0</v>
      </c>
      <c r="U80">
        <v>0</v>
      </c>
      <c r="V80">
        <v>0</v>
      </c>
      <c r="W80">
        <v>0</v>
      </c>
      <c r="X80">
        <v>0</v>
      </c>
      <c r="Y80">
        <v>0</v>
      </c>
      <c r="Z80">
        <v>0</v>
      </c>
      <c r="AA80">
        <v>0</v>
      </c>
      <c r="AB80">
        <v>0</v>
      </c>
      <c r="AC80">
        <v>0</v>
      </c>
      <c r="AD80">
        <v>0</v>
      </c>
      <c r="AE80">
        <v>0</v>
      </c>
      <c r="AF80">
        <v>0</v>
      </c>
      <c r="AG80">
        <v>0</v>
      </c>
      <c r="AH80">
        <v>0</v>
      </c>
      <c r="AI80">
        <v>0</v>
      </c>
      <c r="AJ80">
        <v>1</v>
      </c>
      <c r="AK80">
        <v>0</v>
      </c>
      <c r="AL80">
        <v>0</v>
      </c>
      <c r="AM80" t="s">
        <v>54</v>
      </c>
      <c r="AN80">
        <v>0</v>
      </c>
      <c r="AO80">
        <v>1</v>
      </c>
      <c r="AP80">
        <v>2</v>
      </c>
      <c r="AQ80">
        <v>0</v>
      </c>
      <c r="AR80">
        <v>0</v>
      </c>
      <c r="AS80">
        <v>0</v>
      </c>
    </row>
    <row r="81" spans="1:45" x14ac:dyDescent="0.2">
      <c r="A81" t="s">
        <v>161</v>
      </c>
      <c r="B81" s="3">
        <f t="shared" si="1"/>
        <v>45992</v>
      </c>
      <c r="C81" t="s">
        <v>93</v>
      </c>
      <c r="D81" s="1">
        <v>1.7372685185185185E-2</v>
      </c>
      <c r="E81">
        <v>8</v>
      </c>
      <c r="F81" t="s">
        <v>149</v>
      </c>
      <c r="G81" t="s">
        <v>57</v>
      </c>
      <c r="H81" t="s">
        <v>70</v>
      </c>
      <c r="I81" s="2" t="s">
        <v>78</v>
      </c>
      <c r="J81" s="2" t="s">
        <v>50</v>
      </c>
      <c r="K81" s="2" t="s">
        <v>49</v>
      </c>
      <c r="L81" s="2" t="s">
        <v>49</v>
      </c>
      <c r="M81" s="2" t="s">
        <v>90</v>
      </c>
      <c r="N81">
        <v>0</v>
      </c>
      <c r="O81">
        <v>0</v>
      </c>
      <c r="P81">
        <v>0</v>
      </c>
      <c r="Q81">
        <v>0</v>
      </c>
      <c r="R81">
        <v>0</v>
      </c>
      <c r="S81">
        <v>0</v>
      </c>
      <c r="T81">
        <v>0</v>
      </c>
      <c r="U81">
        <v>1</v>
      </c>
      <c r="V81">
        <v>0</v>
      </c>
      <c r="W81">
        <v>0</v>
      </c>
      <c r="X81">
        <v>0</v>
      </c>
      <c r="Y81">
        <v>0</v>
      </c>
      <c r="Z81">
        <v>1</v>
      </c>
      <c r="AA81">
        <v>0</v>
      </c>
      <c r="AB81">
        <v>0</v>
      </c>
      <c r="AC81">
        <v>0</v>
      </c>
      <c r="AD81">
        <v>0</v>
      </c>
      <c r="AE81">
        <v>0</v>
      </c>
      <c r="AF81">
        <v>0</v>
      </c>
      <c r="AG81">
        <v>0</v>
      </c>
      <c r="AH81">
        <v>0</v>
      </c>
      <c r="AI81">
        <v>0</v>
      </c>
      <c r="AJ81">
        <v>0</v>
      </c>
      <c r="AK81">
        <v>1</v>
      </c>
      <c r="AL81">
        <v>0</v>
      </c>
      <c r="AM81" t="s">
        <v>54</v>
      </c>
      <c r="AN81">
        <v>0</v>
      </c>
      <c r="AO81">
        <v>1</v>
      </c>
      <c r="AP81">
        <v>2</v>
      </c>
      <c r="AQ81">
        <v>0</v>
      </c>
      <c r="AR81">
        <v>0</v>
      </c>
      <c r="AS81">
        <v>1</v>
      </c>
    </row>
    <row r="82" spans="1:45" x14ac:dyDescent="0.2">
      <c r="A82" t="s">
        <v>162</v>
      </c>
      <c r="B82" s="3">
        <f t="shared" si="1"/>
        <v>45992</v>
      </c>
      <c r="C82" t="s">
        <v>93</v>
      </c>
      <c r="D82" s="1">
        <v>1.758101851851852E-2</v>
      </c>
      <c r="E82">
        <v>8</v>
      </c>
      <c r="F82" t="s">
        <v>149</v>
      </c>
      <c r="G82" t="s">
        <v>119</v>
      </c>
      <c r="H82" t="s">
        <v>48</v>
      </c>
      <c r="I82" s="2" t="s">
        <v>58</v>
      </c>
      <c r="J82" s="2" t="s">
        <v>59</v>
      </c>
      <c r="K82" s="2" t="s">
        <v>60</v>
      </c>
      <c r="L82" s="2" t="s">
        <v>108</v>
      </c>
      <c r="M82" s="2" t="s">
        <v>67</v>
      </c>
      <c r="N82">
        <v>0</v>
      </c>
      <c r="O82">
        <v>0</v>
      </c>
      <c r="P82">
        <v>0</v>
      </c>
      <c r="Q82">
        <v>0</v>
      </c>
      <c r="R82">
        <v>0</v>
      </c>
      <c r="S82">
        <v>0</v>
      </c>
      <c r="T82">
        <v>0</v>
      </c>
      <c r="U82">
        <v>1</v>
      </c>
      <c r="V82">
        <v>0</v>
      </c>
      <c r="W82">
        <v>0</v>
      </c>
      <c r="X82">
        <v>0</v>
      </c>
      <c r="Y82">
        <v>0</v>
      </c>
      <c r="Z82">
        <v>1</v>
      </c>
      <c r="AA82">
        <v>0</v>
      </c>
      <c r="AB82">
        <v>0</v>
      </c>
      <c r="AC82">
        <v>0</v>
      </c>
      <c r="AD82">
        <v>0</v>
      </c>
      <c r="AE82">
        <v>0</v>
      </c>
      <c r="AF82">
        <v>0</v>
      </c>
      <c r="AG82">
        <v>0</v>
      </c>
      <c r="AH82">
        <v>0</v>
      </c>
      <c r="AI82">
        <v>0</v>
      </c>
      <c r="AJ82">
        <v>0</v>
      </c>
      <c r="AK82">
        <v>1</v>
      </c>
      <c r="AL82">
        <v>0</v>
      </c>
      <c r="AM82" t="s">
        <v>54</v>
      </c>
      <c r="AN82">
        <v>0</v>
      </c>
      <c r="AO82">
        <v>1</v>
      </c>
      <c r="AP82">
        <v>2</v>
      </c>
      <c r="AQ82">
        <v>0</v>
      </c>
      <c r="AR82">
        <v>0</v>
      </c>
      <c r="AS82">
        <v>1</v>
      </c>
    </row>
    <row r="83" spans="1:45" x14ac:dyDescent="0.2">
      <c r="A83" t="s">
        <v>162</v>
      </c>
      <c r="B83" s="3">
        <f t="shared" si="1"/>
        <v>45992</v>
      </c>
      <c r="C83" t="s">
        <v>93</v>
      </c>
      <c r="D83" s="1">
        <v>1.7384259259259259E-2</v>
      </c>
      <c r="E83">
        <v>18</v>
      </c>
      <c r="F83" t="s">
        <v>152</v>
      </c>
      <c r="G83" t="s">
        <v>109</v>
      </c>
      <c r="H83" t="s">
        <v>70</v>
      </c>
      <c r="I83" s="2" t="s">
        <v>49</v>
      </c>
      <c r="J83" s="2" t="s">
        <v>59</v>
      </c>
      <c r="K83" s="2" t="s">
        <v>60</v>
      </c>
      <c r="L83" s="2" t="s">
        <v>52</v>
      </c>
      <c r="M83" s="2" t="s">
        <v>90</v>
      </c>
      <c r="N83">
        <v>0</v>
      </c>
      <c r="O83">
        <v>0</v>
      </c>
      <c r="P83">
        <v>0</v>
      </c>
      <c r="Q83">
        <v>0</v>
      </c>
      <c r="R83">
        <v>1</v>
      </c>
      <c r="S83">
        <v>0</v>
      </c>
      <c r="T83">
        <v>1</v>
      </c>
      <c r="U83">
        <v>1</v>
      </c>
      <c r="V83">
        <v>0</v>
      </c>
      <c r="W83">
        <v>0</v>
      </c>
      <c r="X83">
        <v>0</v>
      </c>
      <c r="Y83">
        <v>1</v>
      </c>
      <c r="Z83">
        <v>0</v>
      </c>
      <c r="AA83">
        <v>0</v>
      </c>
      <c r="AB83">
        <v>0</v>
      </c>
      <c r="AC83">
        <v>0</v>
      </c>
      <c r="AD83">
        <v>0</v>
      </c>
      <c r="AE83">
        <v>0</v>
      </c>
      <c r="AF83">
        <v>0</v>
      </c>
      <c r="AG83">
        <v>0</v>
      </c>
      <c r="AH83">
        <v>0</v>
      </c>
      <c r="AI83">
        <v>0</v>
      </c>
      <c r="AJ83">
        <v>0</v>
      </c>
      <c r="AK83">
        <v>1</v>
      </c>
      <c r="AL83">
        <v>0</v>
      </c>
      <c r="AM83" t="s">
        <v>54</v>
      </c>
      <c r="AN83">
        <v>0</v>
      </c>
      <c r="AO83">
        <v>3</v>
      </c>
      <c r="AP83">
        <v>1</v>
      </c>
      <c r="AQ83">
        <v>0</v>
      </c>
      <c r="AR83">
        <v>1</v>
      </c>
      <c r="AS83">
        <v>1</v>
      </c>
    </row>
    <row r="84" spans="1:45" x14ac:dyDescent="0.2">
      <c r="A84" t="s">
        <v>163</v>
      </c>
      <c r="B84" s="3">
        <f t="shared" si="1"/>
        <v>46023</v>
      </c>
      <c r="C84" t="s">
        <v>56</v>
      </c>
      <c r="D84" s="1">
        <v>1.6921296296296295E-2</v>
      </c>
      <c r="E84">
        <v>18</v>
      </c>
      <c r="F84" t="s">
        <v>152</v>
      </c>
      <c r="G84" t="s">
        <v>57</v>
      </c>
      <c r="H84" t="s">
        <v>48</v>
      </c>
      <c r="I84" s="2" t="s">
        <v>60</v>
      </c>
      <c r="J84" s="2" t="s">
        <v>50</v>
      </c>
      <c r="K84" s="2" t="s">
        <v>60</v>
      </c>
      <c r="L84" s="2" t="s">
        <v>81</v>
      </c>
      <c r="M84" s="2" t="s">
        <v>61</v>
      </c>
      <c r="N84">
        <v>0</v>
      </c>
      <c r="O84">
        <v>0</v>
      </c>
      <c r="P84">
        <v>0</v>
      </c>
      <c r="Q84">
        <v>0</v>
      </c>
      <c r="R84">
        <v>1</v>
      </c>
      <c r="S84">
        <v>0</v>
      </c>
      <c r="T84">
        <v>1</v>
      </c>
      <c r="U84">
        <v>1</v>
      </c>
      <c r="V84">
        <v>0</v>
      </c>
      <c r="W84">
        <v>0</v>
      </c>
      <c r="X84">
        <v>0</v>
      </c>
      <c r="Y84">
        <v>1</v>
      </c>
      <c r="Z84">
        <v>0</v>
      </c>
      <c r="AA84">
        <v>0</v>
      </c>
      <c r="AB84">
        <v>0</v>
      </c>
      <c r="AC84">
        <v>0</v>
      </c>
      <c r="AD84">
        <v>0</v>
      </c>
      <c r="AE84">
        <v>0</v>
      </c>
      <c r="AF84">
        <v>0</v>
      </c>
      <c r="AG84">
        <v>0</v>
      </c>
      <c r="AH84">
        <v>0</v>
      </c>
      <c r="AI84">
        <v>0</v>
      </c>
      <c r="AJ84">
        <v>0</v>
      </c>
      <c r="AK84">
        <v>1</v>
      </c>
      <c r="AL84">
        <v>0</v>
      </c>
      <c r="AM84" t="s">
        <v>54</v>
      </c>
      <c r="AN84">
        <v>0</v>
      </c>
      <c r="AO84">
        <v>3</v>
      </c>
      <c r="AP84">
        <v>1</v>
      </c>
      <c r="AQ84">
        <v>0</v>
      </c>
      <c r="AR84">
        <v>1</v>
      </c>
      <c r="AS84">
        <v>1</v>
      </c>
    </row>
    <row r="85" spans="1:45" x14ac:dyDescent="0.2">
      <c r="A85" t="s">
        <v>163</v>
      </c>
      <c r="B85" s="3">
        <f t="shared" si="1"/>
        <v>46023</v>
      </c>
      <c r="C85" t="s">
        <v>56</v>
      </c>
      <c r="D85" s="1">
        <v>1.3900462962962963E-2</v>
      </c>
      <c r="E85">
        <v>4</v>
      </c>
      <c r="F85" t="s">
        <v>115</v>
      </c>
      <c r="G85" t="s">
        <v>91</v>
      </c>
      <c r="H85" t="s">
        <v>70</v>
      </c>
      <c r="I85" s="2" t="s">
        <v>49</v>
      </c>
      <c r="J85" s="2" t="s">
        <v>59</v>
      </c>
      <c r="K85" s="2" t="s">
        <v>60</v>
      </c>
      <c r="L85" s="2" t="s">
        <v>76</v>
      </c>
      <c r="M85" s="2" t="s">
        <v>53</v>
      </c>
      <c r="N85">
        <v>1</v>
      </c>
      <c r="O85">
        <v>0</v>
      </c>
      <c r="P85">
        <v>0</v>
      </c>
      <c r="Q85">
        <v>0</v>
      </c>
      <c r="R85">
        <v>0</v>
      </c>
      <c r="S85">
        <v>0</v>
      </c>
      <c r="T85">
        <v>0</v>
      </c>
      <c r="U85">
        <v>0</v>
      </c>
      <c r="V85">
        <v>0</v>
      </c>
      <c r="W85">
        <v>0</v>
      </c>
      <c r="X85">
        <v>0</v>
      </c>
      <c r="Y85">
        <v>0</v>
      </c>
      <c r="Z85">
        <v>0</v>
      </c>
      <c r="AA85">
        <v>0</v>
      </c>
      <c r="AB85">
        <v>1</v>
      </c>
      <c r="AC85">
        <v>0</v>
      </c>
      <c r="AD85">
        <v>1</v>
      </c>
      <c r="AE85">
        <v>0</v>
      </c>
      <c r="AF85">
        <v>1</v>
      </c>
      <c r="AG85">
        <v>0</v>
      </c>
      <c r="AH85">
        <v>0</v>
      </c>
      <c r="AI85">
        <v>0</v>
      </c>
      <c r="AJ85">
        <v>0</v>
      </c>
      <c r="AK85">
        <v>0</v>
      </c>
      <c r="AL85">
        <v>0</v>
      </c>
      <c r="AM85" t="s">
        <v>54</v>
      </c>
      <c r="AN85">
        <v>1</v>
      </c>
      <c r="AO85">
        <v>4</v>
      </c>
      <c r="AP85">
        <v>1</v>
      </c>
      <c r="AQ85">
        <v>1</v>
      </c>
      <c r="AR85">
        <v>1</v>
      </c>
      <c r="AS85">
        <v>1</v>
      </c>
    </row>
    <row r="86" spans="1:45" x14ac:dyDescent="0.2">
      <c r="A86" t="s">
        <v>164</v>
      </c>
      <c r="B86" s="3">
        <f t="shared" si="1"/>
        <v>46023</v>
      </c>
      <c r="C86" t="s">
        <v>63</v>
      </c>
      <c r="D86" s="1">
        <v>1.7384259259259259E-2</v>
      </c>
      <c r="E86">
        <v>8</v>
      </c>
      <c r="F86" t="s">
        <v>149</v>
      </c>
      <c r="G86" t="s">
        <v>64</v>
      </c>
      <c r="H86" t="s">
        <v>70</v>
      </c>
      <c r="I86" s="2" t="s">
        <v>60</v>
      </c>
      <c r="J86" s="2" t="s">
        <v>59</v>
      </c>
      <c r="K86" s="2" t="s">
        <v>49</v>
      </c>
      <c r="L86" s="2" t="s">
        <v>49</v>
      </c>
      <c r="M86" s="2" t="s">
        <v>90</v>
      </c>
      <c r="N86">
        <v>0</v>
      </c>
      <c r="O86">
        <v>0</v>
      </c>
      <c r="P86">
        <v>0</v>
      </c>
      <c r="Q86">
        <v>0</v>
      </c>
      <c r="R86">
        <v>0</v>
      </c>
      <c r="S86">
        <v>0</v>
      </c>
      <c r="T86">
        <v>0</v>
      </c>
      <c r="U86">
        <v>1</v>
      </c>
      <c r="V86">
        <v>0</v>
      </c>
      <c r="W86">
        <v>0</v>
      </c>
      <c r="X86">
        <v>0</v>
      </c>
      <c r="Y86">
        <v>0</v>
      </c>
      <c r="Z86">
        <v>1</v>
      </c>
      <c r="AA86">
        <v>0</v>
      </c>
      <c r="AB86">
        <v>0</v>
      </c>
      <c r="AC86">
        <v>0</v>
      </c>
      <c r="AD86">
        <v>0</v>
      </c>
      <c r="AE86">
        <v>0</v>
      </c>
      <c r="AF86">
        <v>0</v>
      </c>
      <c r="AG86">
        <v>0</v>
      </c>
      <c r="AH86">
        <v>0</v>
      </c>
      <c r="AI86">
        <v>0</v>
      </c>
      <c r="AJ86">
        <v>0</v>
      </c>
      <c r="AK86">
        <v>1</v>
      </c>
      <c r="AL86">
        <v>0</v>
      </c>
      <c r="AM86" t="s">
        <v>54</v>
      </c>
      <c r="AN86">
        <v>0</v>
      </c>
      <c r="AO86">
        <v>1</v>
      </c>
      <c r="AP86">
        <v>2</v>
      </c>
      <c r="AQ86">
        <v>0</v>
      </c>
      <c r="AR86">
        <v>0</v>
      </c>
      <c r="AS86">
        <v>1</v>
      </c>
    </row>
    <row r="87" spans="1:45" x14ac:dyDescent="0.2">
      <c r="A87" t="s">
        <v>165</v>
      </c>
      <c r="B87" s="3">
        <f t="shared" si="1"/>
        <v>46023</v>
      </c>
      <c r="C87" t="s">
        <v>45</v>
      </c>
      <c r="D87" s="1">
        <v>1.6701388888888891E-2</v>
      </c>
      <c r="E87">
        <v>8</v>
      </c>
      <c r="F87" t="s">
        <v>149</v>
      </c>
      <c r="G87" t="s">
        <v>103</v>
      </c>
      <c r="H87" t="s">
        <v>48</v>
      </c>
      <c r="I87" s="2" t="s">
        <v>78</v>
      </c>
      <c r="J87" s="2" t="s">
        <v>50</v>
      </c>
      <c r="K87" s="2" t="s">
        <v>60</v>
      </c>
      <c r="L87" s="2" t="s">
        <v>108</v>
      </c>
      <c r="M87" s="2" t="s">
        <v>67</v>
      </c>
      <c r="N87">
        <v>0</v>
      </c>
      <c r="O87">
        <v>0</v>
      </c>
      <c r="P87">
        <v>0</v>
      </c>
      <c r="Q87">
        <v>0</v>
      </c>
      <c r="R87">
        <v>0</v>
      </c>
      <c r="S87">
        <v>0</v>
      </c>
      <c r="T87">
        <v>0</v>
      </c>
      <c r="U87">
        <v>1</v>
      </c>
      <c r="V87">
        <v>0</v>
      </c>
      <c r="W87">
        <v>0</v>
      </c>
      <c r="X87">
        <v>0</v>
      </c>
      <c r="Y87">
        <v>0</v>
      </c>
      <c r="Z87">
        <v>1</v>
      </c>
      <c r="AA87">
        <v>0</v>
      </c>
      <c r="AB87">
        <v>0</v>
      </c>
      <c r="AC87">
        <v>0</v>
      </c>
      <c r="AD87">
        <v>0</v>
      </c>
      <c r="AE87">
        <v>0</v>
      </c>
      <c r="AF87">
        <v>0</v>
      </c>
      <c r="AG87">
        <v>0</v>
      </c>
      <c r="AH87">
        <v>0</v>
      </c>
      <c r="AI87">
        <v>0</v>
      </c>
      <c r="AJ87">
        <v>0</v>
      </c>
      <c r="AK87">
        <v>1</v>
      </c>
      <c r="AL87">
        <v>0</v>
      </c>
      <c r="AM87" t="s">
        <v>54</v>
      </c>
      <c r="AN87">
        <v>0</v>
      </c>
      <c r="AO87">
        <v>1</v>
      </c>
      <c r="AP87">
        <v>2</v>
      </c>
      <c r="AQ87">
        <v>0</v>
      </c>
      <c r="AR87">
        <v>0</v>
      </c>
      <c r="AS87">
        <v>1</v>
      </c>
    </row>
    <row r="88" spans="1:45" x14ac:dyDescent="0.2">
      <c r="A88" t="s">
        <v>166</v>
      </c>
      <c r="B88" s="3">
        <f t="shared" si="1"/>
        <v>46023</v>
      </c>
      <c r="C88" t="s">
        <v>56</v>
      </c>
      <c r="D88" s="1">
        <v>1.3900462962962963E-2</v>
      </c>
      <c r="E88">
        <v>32</v>
      </c>
      <c r="F88" t="s">
        <v>129</v>
      </c>
      <c r="G88" t="s">
        <v>157</v>
      </c>
      <c r="H88" t="s">
        <v>70</v>
      </c>
      <c r="I88" s="2" t="s">
        <v>58</v>
      </c>
      <c r="J88" s="2" t="s">
        <v>59</v>
      </c>
      <c r="K88" s="2" t="s">
        <v>49</v>
      </c>
      <c r="L88" s="2" t="s">
        <v>76</v>
      </c>
      <c r="M88" s="2" t="s">
        <v>90</v>
      </c>
      <c r="N88">
        <v>0</v>
      </c>
      <c r="O88">
        <v>0</v>
      </c>
      <c r="P88">
        <v>0</v>
      </c>
      <c r="Q88">
        <v>0</v>
      </c>
      <c r="R88">
        <v>0</v>
      </c>
      <c r="S88">
        <v>0</v>
      </c>
      <c r="T88">
        <v>1</v>
      </c>
      <c r="U88">
        <v>1</v>
      </c>
      <c r="V88">
        <v>0</v>
      </c>
      <c r="W88">
        <v>0</v>
      </c>
      <c r="X88">
        <v>0</v>
      </c>
      <c r="Y88">
        <v>0</v>
      </c>
      <c r="Z88">
        <v>0</v>
      </c>
      <c r="AA88">
        <v>0</v>
      </c>
      <c r="AB88">
        <v>0</v>
      </c>
      <c r="AC88">
        <v>0</v>
      </c>
      <c r="AD88">
        <v>0</v>
      </c>
      <c r="AE88">
        <v>0</v>
      </c>
      <c r="AF88">
        <v>0</v>
      </c>
      <c r="AG88">
        <v>0</v>
      </c>
      <c r="AH88">
        <v>0</v>
      </c>
      <c r="AI88">
        <v>0</v>
      </c>
      <c r="AJ88">
        <v>0</v>
      </c>
      <c r="AK88">
        <v>0</v>
      </c>
      <c r="AL88">
        <v>0</v>
      </c>
      <c r="AM88" t="s">
        <v>54</v>
      </c>
      <c r="AN88">
        <v>0</v>
      </c>
      <c r="AO88">
        <v>2</v>
      </c>
      <c r="AP88">
        <v>0</v>
      </c>
      <c r="AQ88">
        <v>0</v>
      </c>
      <c r="AR88">
        <v>0</v>
      </c>
      <c r="AS88">
        <v>0</v>
      </c>
    </row>
    <row r="89" spans="1:45" x14ac:dyDescent="0.2">
      <c r="A89" t="s">
        <v>167</v>
      </c>
      <c r="B89" s="3">
        <f t="shared" si="1"/>
        <v>46023</v>
      </c>
      <c r="C89" t="s">
        <v>93</v>
      </c>
      <c r="D89" s="1">
        <v>1.3900462962962963E-2</v>
      </c>
      <c r="E89">
        <v>5</v>
      </c>
      <c r="F89" t="s">
        <v>105</v>
      </c>
      <c r="G89" t="s">
        <v>160</v>
      </c>
      <c r="H89" t="s">
        <v>70</v>
      </c>
      <c r="I89" s="2" t="s">
        <v>49</v>
      </c>
      <c r="J89" s="2" t="s">
        <v>50</v>
      </c>
      <c r="K89" s="2" t="s">
        <v>49</v>
      </c>
      <c r="L89" s="2" t="s">
        <v>52</v>
      </c>
      <c r="M89" s="2" t="s">
        <v>67</v>
      </c>
      <c r="N89">
        <v>0</v>
      </c>
      <c r="O89">
        <v>0</v>
      </c>
      <c r="P89">
        <v>1</v>
      </c>
      <c r="Q89">
        <v>0</v>
      </c>
      <c r="R89">
        <v>0</v>
      </c>
      <c r="S89">
        <v>0</v>
      </c>
      <c r="T89">
        <v>0</v>
      </c>
      <c r="U89">
        <v>0</v>
      </c>
      <c r="V89">
        <v>0</v>
      </c>
      <c r="W89">
        <v>0</v>
      </c>
      <c r="X89">
        <v>0</v>
      </c>
      <c r="Y89">
        <v>1</v>
      </c>
      <c r="Z89">
        <v>0</v>
      </c>
      <c r="AA89">
        <v>0</v>
      </c>
      <c r="AB89">
        <v>0</v>
      </c>
      <c r="AC89">
        <v>0</v>
      </c>
      <c r="AD89">
        <v>0</v>
      </c>
      <c r="AE89">
        <v>0</v>
      </c>
      <c r="AF89">
        <v>0</v>
      </c>
      <c r="AG89">
        <v>0</v>
      </c>
      <c r="AH89">
        <v>0</v>
      </c>
      <c r="AI89">
        <v>0</v>
      </c>
      <c r="AJ89">
        <v>0</v>
      </c>
      <c r="AK89">
        <v>0</v>
      </c>
      <c r="AL89">
        <v>0</v>
      </c>
      <c r="AM89" t="s">
        <v>54</v>
      </c>
      <c r="AN89">
        <v>0</v>
      </c>
      <c r="AO89">
        <v>1</v>
      </c>
      <c r="AP89">
        <v>1</v>
      </c>
      <c r="AQ89">
        <v>0</v>
      </c>
      <c r="AR89">
        <v>0</v>
      </c>
      <c r="AS89">
        <v>0</v>
      </c>
    </row>
    <row r="90" spans="1:45" x14ac:dyDescent="0.2">
      <c r="A90" t="s">
        <v>167</v>
      </c>
      <c r="B90" s="3">
        <f t="shared" si="1"/>
        <v>46023</v>
      </c>
      <c r="C90" t="s">
        <v>93</v>
      </c>
      <c r="D90" s="1">
        <v>1.7384259259259259E-2</v>
      </c>
      <c r="E90">
        <v>18</v>
      </c>
      <c r="F90" t="s">
        <v>152</v>
      </c>
      <c r="G90" t="s">
        <v>119</v>
      </c>
      <c r="H90" t="s">
        <v>70</v>
      </c>
      <c r="I90" s="2" t="s">
        <v>58</v>
      </c>
      <c r="J90" s="2" t="s">
        <v>50</v>
      </c>
      <c r="K90" s="2" t="s">
        <v>49</v>
      </c>
      <c r="L90" s="2" t="s">
        <v>72</v>
      </c>
      <c r="M90" s="2" t="s">
        <v>53</v>
      </c>
      <c r="N90">
        <v>0</v>
      </c>
      <c r="O90">
        <v>0</v>
      </c>
      <c r="P90">
        <v>0</v>
      </c>
      <c r="Q90">
        <v>0</v>
      </c>
      <c r="R90">
        <v>1</v>
      </c>
      <c r="S90">
        <v>0</v>
      </c>
      <c r="T90">
        <v>1</v>
      </c>
      <c r="U90">
        <v>1</v>
      </c>
      <c r="V90">
        <v>0</v>
      </c>
      <c r="W90">
        <v>0</v>
      </c>
      <c r="X90">
        <v>0</v>
      </c>
      <c r="Y90">
        <v>1</v>
      </c>
      <c r="Z90">
        <v>0</v>
      </c>
      <c r="AA90">
        <v>0</v>
      </c>
      <c r="AB90">
        <v>0</v>
      </c>
      <c r="AC90">
        <v>0</v>
      </c>
      <c r="AD90">
        <v>0</v>
      </c>
      <c r="AE90">
        <v>0</v>
      </c>
      <c r="AF90">
        <v>0</v>
      </c>
      <c r="AG90">
        <v>0</v>
      </c>
      <c r="AH90">
        <v>0</v>
      </c>
      <c r="AI90">
        <v>0</v>
      </c>
      <c r="AJ90">
        <v>0</v>
      </c>
      <c r="AK90">
        <v>1</v>
      </c>
      <c r="AL90">
        <v>0</v>
      </c>
      <c r="AM90" t="s">
        <v>54</v>
      </c>
      <c r="AN90">
        <v>0</v>
      </c>
      <c r="AO90">
        <v>3</v>
      </c>
      <c r="AP90">
        <v>1</v>
      </c>
      <c r="AQ90">
        <v>0</v>
      </c>
      <c r="AR90">
        <v>1</v>
      </c>
      <c r="AS90">
        <v>1</v>
      </c>
    </row>
    <row r="91" spans="1:45" x14ac:dyDescent="0.2">
      <c r="A91" t="s">
        <v>167</v>
      </c>
      <c r="B91" s="3">
        <f t="shared" si="1"/>
        <v>46023</v>
      </c>
      <c r="C91" t="s">
        <v>93</v>
      </c>
      <c r="D91" s="1">
        <v>1.4363425925925925E-2</v>
      </c>
      <c r="E91">
        <v>18</v>
      </c>
      <c r="F91" t="s">
        <v>152</v>
      </c>
      <c r="G91" t="s">
        <v>47</v>
      </c>
      <c r="H91" t="s">
        <v>48</v>
      </c>
      <c r="I91" s="2" t="s">
        <v>65</v>
      </c>
      <c r="J91" s="2" t="s">
        <v>50</v>
      </c>
      <c r="K91" s="2" t="s">
        <v>60</v>
      </c>
      <c r="L91" s="2" t="s">
        <v>60</v>
      </c>
      <c r="M91" s="2" t="s">
        <v>122</v>
      </c>
      <c r="N91">
        <v>0</v>
      </c>
      <c r="O91">
        <v>0</v>
      </c>
      <c r="P91">
        <v>0</v>
      </c>
      <c r="Q91">
        <v>0</v>
      </c>
      <c r="R91">
        <v>1</v>
      </c>
      <c r="S91">
        <v>0</v>
      </c>
      <c r="T91">
        <v>1</v>
      </c>
      <c r="U91">
        <v>1</v>
      </c>
      <c r="V91">
        <v>0</v>
      </c>
      <c r="W91">
        <v>0</v>
      </c>
      <c r="X91">
        <v>0</v>
      </c>
      <c r="Y91">
        <v>1</v>
      </c>
      <c r="Z91">
        <v>0</v>
      </c>
      <c r="AA91">
        <v>0</v>
      </c>
      <c r="AB91">
        <v>0</v>
      </c>
      <c r="AC91">
        <v>0</v>
      </c>
      <c r="AD91">
        <v>0</v>
      </c>
      <c r="AE91">
        <v>0</v>
      </c>
      <c r="AF91">
        <v>0</v>
      </c>
      <c r="AG91">
        <v>0</v>
      </c>
      <c r="AH91">
        <v>0</v>
      </c>
      <c r="AI91">
        <v>0</v>
      </c>
      <c r="AJ91">
        <v>0</v>
      </c>
      <c r="AK91">
        <v>1</v>
      </c>
      <c r="AL91">
        <v>0</v>
      </c>
      <c r="AM91" t="s">
        <v>54</v>
      </c>
      <c r="AN91">
        <v>0</v>
      </c>
      <c r="AO91">
        <v>3</v>
      </c>
      <c r="AP91">
        <v>1</v>
      </c>
      <c r="AQ91">
        <v>0</v>
      </c>
      <c r="AR91">
        <v>1</v>
      </c>
      <c r="AS91">
        <v>1</v>
      </c>
    </row>
    <row r="92" spans="1:45" x14ac:dyDescent="0.2">
      <c r="A92" t="s">
        <v>168</v>
      </c>
      <c r="B92" s="3">
        <f t="shared" si="1"/>
        <v>46023</v>
      </c>
      <c r="C92" t="s">
        <v>45</v>
      </c>
      <c r="D92" s="1">
        <v>1.9409722222222221E-2</v>
      </c>
      <c r="E92">
        <v>33</v>
      </c>
      <c r="F92" t="s">
        <v>169</v>
      </c>
      <c r="G92" t="s">
        <v>75</v>
      </c>
      <c r="H92" t="s">
        <v>48</v>
      </c>
      <c r="I92" s="2" t="s">
        <v>49</v>
      </c>
      <c r="J92" s="2" t="s">
        <v>50</v>
      </c>
      <c r="K92" s="2" t="s">
        <v>60</v>
      </c>
      <c r="L92" s="2" t="s">
        <v>72</v>
      </c>
      <c r="M92">
        <v>0</v>
      </c>
      <c r="N92">
        <v>0</v>
      </c>
      <c r="O92">
        <v>0</v>
      </c>
      <c r="P92">
        <v>1</v>
      </c>
      <c r="Q92">
        <v>0</v>
      </c>
      <c r="R92">
        <v>0</v>
      </c>
      <c r="S92">
        <v>1</v>
      </c>
      <c r="T92">
        <v>0</v>
      </c>
      <c r="U92">
        <v>0</v>
      </c>
      <c r="V92">
        <v>0</v>
      </c>
      <c r="W92">
        <v>0</v>
      </c>
      <c r="X92">
        <v>0</v>
      </c>
      <c r="Y92">
        <v>0</v>
      </c>
      <c r="Z92">
        <v>0</v>
      </c>
      <c r="AA92">
        <v>0</v>
      </c>
      <c r="AB92">
        <v>0</v>
      </c>
      <c r="AC92">
        <v>0</v>
      </c>
      <c r="AD92">
        <v>0</v>
      </c>
      <c r="AE92">
        <v>0</v>
      </c>
      <c r="AF92">
        <v>0</v>
      </c>
      <c r="AG92">
        <v>0</v>
      </c>
      <c r="AH92">
        <v>0</v>
      </c>
      <c r="AI92">
        <v>0</v>
      </c>
      <c r="AJ92">
        <v>0</v>
      </c>
      <c r="AK92">
        <v>0</v>
      </c>
      <c r="AL92">
        <v>1</v>
      </c>
      <c r="AM92" t="s">
        <v>54</v>
      </c>
      <c r="AN92">
        <v>1</v>
      </c>
      <c r="AO92">
        <v>0</v>
      </c>
      <c r="AP92">
        <v>1</v>
      </c>
      <c r="AQ92">
        <v>1</v>
      </c>
      <c r="AR92">
        <v>0</v>
      </c>
      <c r="AS92">
        <v>0</v>
      </c>
    </row>
    <row r="93" spans="1:45" x14ac:dyDescent="0.2">
      <c r="A93" t="s">
        <v>170</v>
      </c>
      <c r="B93" s="3">
        <f t="shared" si="1"/>
        <v>46023</v>
      </c>
      <c r="C93" t="s">
        <v>56</v>
      </c>
      <c r="D93" s="1">
        <v>1.3900462962962963E-2</v>
      </c>
      <c r="E93">
        <v>4</v>
      </c>
      <c r="F93" t="s">
        <v>115</v>
      </c>
      <c r="G93" t="s">
        <v>106</v>
      </c>
      <c r="H93" t="s">
        <v>70</v>
      </c>
      <c r="I93" s="2" t="s">
        <v>60</v>
      </c>
      <c r="J93">
        <v>0</v>
      </c>
      <c r="K93" s="2" t="s">
        <v>49</v>
      </c>
      <c r="L93" s="2" t="s">
        <v>60</v>
      </c>
      <c r="M93" s="2" t="s">
        <v>67</v>
      </c>
      <c r="N93">
        <v>1</v>
      </c>
      <c r="O93">
        <v>0</v>
      </c>
      <c r="P93">
        <v>0</v>
      </c>
      <c r="Q93">
        <v>0</v>
      </c>
      <c r="R93">
        <v>0</v>
      </c>
      <c r="S93">
        <v>0</v>
      </c>
      <c r="T93">
        <v>0</v>
      </c>
      <c r="U93">
        <v>0</v>
      </c>
      <c r="V93">
        <v>0</v>
      </c>
      <c r="W93">
        <v>0</v>
      </c>
      <c r="X93">
        <v>0</v>
      </c>
      <c r="Y93">
        <v>0</v>
      </c>
      <c r="Z93">
        <v>0</v>
      </c>
      <c r="AA93">
        <v>0</v>
      </c>
      <c r="AB93">
        <v>1</v>
      </c>
      <c r="AC93">
        <v>0</v>
      </c>
      <c r="AD93">
        <v>1</v>
      </c>
      <c r="AE93">
        <v>0</v>
      </c>
      <c r="AF93">
        <v>1</v>
      </c>
      <c r="AG93">
        <v>0</v>
      </c>
      <c r="AH93">
        <v>0</v>
      </c>
      <c r="AI93">
        <v>0</v>
      </c>
      <c r="AJ93">
        <v>0</v>
      </c>
      <c r="AK93">
        <v>0</v>
      </c>
      <c r="AL93">
        <v>0</v>
      </c>
      <c r="AM93" t="s">
        <v>54</v>
      </c>
      <c r="AN93">
        <v>1</v>
      </c>
      <c r="AO93">
        <v>4</v>
      </c>
      <c r="AP93">
        <v>1</v>
      </c>
      <c r="AQ93">
        <v>1</v>
      </c>
      <c r="AR93">
        <v>1</v>
      </c>
      <c r="AS93">
        <v>1</v>
      </c>
    </row>
    <row r="94" spans="1:45" x14ac:dyDescent="0.2">
      <c r="A94" t="s">
        <v>171</v>
      </c>
      <c r="B94" s="3">
        <f t="shared" si="1"/>
        <v>46023</v>
      </c>
      <c r="C94" t="s">
        <v>93</v>
      </c>
      <c r="D94" s="1">
        <v>1.0717592592592593E-2</v>
      </c>
      <c r="E94">
        <v>5</v>
      </c>
      <c r="F94" t="s">
        <v>105</v>
      </c>
      <c r="G94" t="s">
        <v>160</v>
      </c>
      <c r="H94" t="s">
        <v>48</v>
      </c>
      <c r="I94" s="2" t="s">
        <v>58</v>
      </c>
      <c r="J94" s="2" t="s">
        <v>59</v>
      </c>
      <c r="K94" s="2" t="s">
        <v>60</v>
      </c>
      <c r="L94" s="2" t="s">
        <v>60</v>
      </c>
      <c r="M94" s="2" t="s">
        <v>61</v>
      </c>
      <c r="N94">
        <v>0</v>
      </c>
      <c r="O94">
        <v>0</v>
      </c>
      <c r="P94">
        <v>1</v>
      </c>
      <c r="Q94">
        <v>0</v>
      </c>
      <c r="R94">
        <v>0</v>
      </c>
      <c r="S94">
        <v>0</v>
      </c>
      <c r="T94">
        <v>0</v>
      </c>
      <c r="U94">
        <v>0</v>
      </c>
      <c r="V94">
        <v>0</v>
      </c>
      <c r="W94">
        <v>0</v>
      </c>
      <c r="X94">
        <v>0</v>
      </c>
      <c r="Y94">
        <v>1</v>
      </c>
      <c r="Z94">
        <v>0</v>
      </c>
      <c r="AA94">
        <v>0</v>
      </c>
      <c r="AB94">
        <v>0</v>
      </c>
      <c r="AC94">
        <v>0</v>
      </c>
      <c r="AD94">
        <v>0</v>
      </c>
      <c r="AE94">
        <v>0</v>
      </c>
      <c r="AF94">
        <v>0</v>
      </c>
      <c r="AG94">
        <v>0</v>
      </c>
      <c r="AH94">
        <v>0</v>
      </c>
      <c r="AI94">
        <v>0</v>
      </c>
      <c r="AJ94">
        <v>0</v>
      </c>
      <c r="AK94">
        <v>0</v>
      </c>
      <c r="AL94">
        <v>0</v>
      </c>
      <c r="AM94" t="s">
        <v>54</v>
      </c>
      <c r="AN94">
        <v>0</v>
      </c>
      <c r="AO94">
        <v>1</v>
      </c>
      <c r="AP94">
        <v>1</v>
      </c>
      <c r="AQ94">
        <v>0</v>
      </c>
      <c r="AR94">
        <v>0</v>
      </c>
      <c r="AS94">
        <v>0</v>
      </c>
    </row>
    <row r="95" spans="1:45" x14ac:dyDescent="0.2">
      <c r="A95" t="s">
        <v>172</v>
      </c>
      <c r="B95" s="3">
        <f t="shared" si="1"/>
        <v>46023</v>
      </c>
      <c r="C95" t="s">
        <v>45</v>
      </c>
      <c r="D95" s="1">
        <v>1.5659722222222221E-2</v>
      </c>
      <c r="E95">
        <v>18</v>
      </c>
      <c r="F95" t="s">
        <v>152</v>
      </c>
      <c r="G95" t="s">
        <v>103</v>
      </c>
      <c r="H95" t="s">
        <v>48</v>
      </c>
      <c r="I95" s="2" t="s">
        <v>58</v>
      </c>
      <c r="J95" s="2" t="s">
        <v>50</v>
      </c>
      <c r="K95" s="2" t="s">
        <v>51</v>
      </c>
      <c r="L95" s="2" t="s">
        <v>81</v>
      </c>
      <c r="M95" s="2" t="s">
        <v>61</v>
      </c>
      <c r="N95">
        <v>0</v>
      </c>
      <c r="O95">
        <v>0</v>
      </c>
      <c r="P95">
        <v>0</v>
      </c>
      <c r="Q95">
        <v>0</v>
      </c>
      <c r="R95">
        <v>1</v>
      </c>
      <c r="S95">
        <v>0</v>
      </c>
      <c r="T95">
        <v>1</v>
      </c>
      <c r="U95">
        <v>1</v>
      </c>
      <c r="V95">
        <v>0</v>
      </c>
      <c r="W95">
        <v>0</v>
      </c>
      <c r="X95">
        <v>0</v>
      </c>
      <c r="Y95">
        <v>1</v>
      </c>
      <c r="Z95">
        <v>0</v>
      </c>
      <c r="AA95">
        <v>0</v>
      </c>
      <c r="AB95">
        <v>0</v>
      </c>
      <c r="AC95">
        <v>0</v>
      </c>
      <c r="AD95">
        <v>0</v>
      </c>
      <c r="AE95">
        <v>0</v>
      </c>
      <c r="AF95">
        <v>0</v>
      </c>
      <c r="AG95">
        <v>0</v>
      </c>
      <c r="AH95">
        <v>0</v>
      </c>
      <c r="AI95">
        <v>0</v>
      </c>
      <c r="AJ95">
        <v>0</v>
      </c>
      <c r="AK95">
        <v>1</v>
      </c>
      <c r="AL95">
        <v>0</v>
      </c>
      <c r="AM95" t="s">
        <v>54</v>
      </c>
      <c r="AN95">
        <v>0</v>
      </c>
      <c r="AO95">
        <v>3</v>
      </c>
      <c r="AP95">
        <v>1</v>
      </c>
      <c r="AQ95">
        <v>0</v>
      </c>
      <c r="AR95">
        <v>1</v>
      </c>
      <c r="AS95">
        <v>1</v>
      </c>
    </row>
    <row r="96" spans="1:45" x14ac:dyDescent="0.2">
      <c r="A96" t="s">
        <v>173</v>
      </c>
      <c r="B96" s="3">
        <f t="shared" si="1"/>
        <v>46023</v>
      </c>
      <c r="C96" t="s">
        <v>56</v>
      </c>
      <c r="D96" s="1">
        <v>1.275462962962963E-2</v>
      </c>
      <c r="E96">
        <v>32</v>
      </c>
      <c r="F96" t="s">
        <v>129</v>
      </c>
      <c r="G96" t="s">
        <v>160</v>
      </c>
      <c r="H96" t="s">
        <v>48</v>
      </c>
      <c r="I96" s="2" t="s">
        <v>58</v>
      </c>
      <c r="J96" s="2" t="s">
        <v>59</v>
      </c>
      <c r="K96" s="2" t="s">
        <v>59</v>
      </c>
      <c r="L96" s="2" t="s">
        <v>52</v>
      </c>
      <c r="M96" s="2" t="s">
        <v>90</v>
      </c>
      <c r="N96">
        <v>0</v>
      </c>
      <c r="O96">
        <v>0</v>
      </c>
      <c r="P96">
        <v>0</v>
      </c>
      <c r="Q96">
        <v>0</v>
      </c>
      <c r="R96">
        <v>0</v>
      </c>
      <c r="S96">
        <v>0</v>
      </c>
      <c r="T96">
        <v>1</v>
      </c>
      <c r="U96">
        <v>1</v>
      </c>
      <c r="V96">
        <v>0</v>
      </c>
      <c r="W96">
        <v>0</v>
      </c>
      <c r="X96">
        <v>0</v>
      </c>
      <c r="Y96">
        <v>0</v>
      </c>
      <c r="Z96">
        <v>0</v>
      </c>
      <c r="AA96">
        <v>0</v>
      </c>
      <c r="AB96">
        <v>0</v>
      </c>
      <c r="AC96">
        <v>0</v>
      </c>
      <c r="AD96">
        <v>0</v>
      </c>
      <c r="AE96">
        <v>0</v>
      </c>
      <c r="AF96">
        <v>0</v>
      </c>
      <c r="AG96">
        <v>0</v>
      </c>
      <c r="AH96">
        <v>0</v>
      </c>
      <c r="AI96">
        <v>0</v>
      </c>
      <c r="AJ96">
        <v>0</v>
      </c>
      <c r="AK96">
        <v>0</v>
      </c>
      <c r="AL96">
        <v>0</v>
      </c>
      <c r="AM96" t="s">
        <v>54</v>
      </c>
      <c r="AN96">
        <v>0</v>
      </c>
      <c r="AO96">
        <v>2</v>
      </c>
      <c r="AP96">
        <v>0</v>
      </c>
      <c r="AQ96">
        <v>0</v>
      </c>
      <c r="AR96">
        <v>0</v>
      </c>
      <c r="AS96">
        <v>0</v>
      </c>
    </row>
    <row r="97" spans="1:45" x14ac:dyDescent="0.2">
      <c r="A97" t="s">
        <v>174</v>
      </c>
      <c r="B97" s="3">
        <f t="shared" si="1"/>
        <v>46054</v>
      </c>
      <c r="C97" t="s">
        <v>56</v>
      </c>
      <c r="D97" s="1">
        <v>1.5011574074074075E-2</v>
      </c>
      <c r="E97">
        <v>18</v>
      </c>
      <c r="F97" t="s">
        <v>152</v>
      </c>
      <c r="G97" t="s">
        <v>106</v>
      </c>
      <c r="H97" t="s">
        <v>48</v>
      </c>
      <c r="I97" s="2" t="s">
        <v>60</v>
      </c>
      <c r="J97" s="2" t="s">
        <v>59</v>
      </c>
      <c r="K97" s="2" t="s">
        <v>49</v>
      </c>
      <c r="L97" s="2" t="s">
        <v>60</v>
      </c>
      <c r="M97" s="2" t="s">
        <v>122</v>
      </c>
      <c r="N97">
        <v>0</v>
      </c>
      <c r="O97">
        <v>0</v>
      </c>
      <c r="P97">
        <v>0</v>
      </c>
      <c r="Q97">
        <v>0</v>
      </c>
      <c r="R97">
        <v>1</v>
      </c>
      <c r="S97">
        <v>0</v>
      </c>
      <c r="T97">
        <v>1</v>
      </c>
      <c r="U97">
        <v>1</v>
      </c>
      <c r="V97">
        <v>0</v>
      </c>
      <c r="W97">
        <v>0</v>
      </c>
      <c r="X97">
        <v>0</v>
      </c>
      <c r="Y97">
        <v>1</v>
      </c>
      <c r="Z97">
        <v>0</v>
      </c>
      <c r="AA97">
        <v>0</v>
      </c>
      <c r="AB97">
        <v>0</v>
      </c>
      <c r="AC97">
        <v>0</v>
      </c>
      <c r="AD97">
        <v>0</v>
      </c>
      <c r="AE97">
        <v>0</v>
      </c>
      <c r="AF97">
        <v>0</v>
      </c>
      <c r="AG97">
        <v>0</v>
      </c>
      <c r="AH97">
        <v>0</v>
      </c>
      <c r="AI97">
        <v>0</v>
      </c>
      <c r="AJ97">
        <v>0</v>
      </c>
      <c r="AK97">
        <v>1</v>
      </c>
      <c r="AL97">
        <v>0</v>
      </c>
      <c r="AM97" t="s">
        <v>54</v>
      </c>
      <c r="AN97">
        <v>0</v>
      </c>
      <c r="AO97">
        <v>3</v>
      </c>
      <c r="AP97">
        <v>1</v>
      </c>
      <c r="AQ97">
        <v>0</v>
      </c>
      <c r="AR97">
        <v>1</v>
      </c>
      <c r="AS97">
        <v>1</v>
      </c>
    </row>
    <row r="98" spans="1:45" x14ac:dyDescent="0.2">
      <c r="A98" t="s">
        <v>175</v>
      </c>
      <c r="B98" s="3">
        <f t="shared" si="1"/>
        <v>46054</v>
      </c>
      <c r="C98" t="s">
        <v>93</v>
      </c>
      <c r="D98" s="1">
        <v>1.0104166666666666E-2</v>
      </c>
      <c r="E98">
        <v>7</v>
      </c>
      <c r="F98" t="s">
        <v>84</v>
      </c>
      <c r="G98" t="s">
        <v>160</v>
      </c>
      <c r="H98" t="s">
        <v>48</v>
      </c>
      <c r="I98" s="2" t="s">
        <v>78</v>
      </c>
      <c r="J98" s="2" t="s">
        <v>50</v>
      </c>
      <c r="K98" s="2" t="s">
        <v>49</v>
      </c>
      <c r="L98" s="2" t="s">
        <v>87</v>
      </c>
      <c r="M98">
        <v>0</v>
      </c>
      <c r="N98">
        <v>0</v>
      </c>
      <c r="O98">
        <v>0</v>
      </c>
      <c r="P98">
        <v>0</v>
      </c>
      <c r="Q98">
        <v>0</v>
      </c>
      <c r="R98">
        <v>0</v>
      </c>
      <c r="S98">
        <v>0</v>
      </c>
      <c r="T98">
        <v>1</v>
      </c>
      <c r="U98">
        <v>0</v>
      </c>
      <c r="V98">
        <v>1</v>
      </c>
      <c r="W98">
        <v>0</v>
      </c>
      <c r="X98">
        <v>0</v>
      </c>
      <c r="Y98">
        <v>0</v>
      </c>
      <c r="Z98">
        <v>0</v>
      </c>
      <c r="AA98">
        <v>0</v>
      </c>
      <c r="AB98">
        <v>0</v>
      </c>
      <c r="AC98">
        <v>0</v>
      </c>
      <c r="AD98">
        <v>0</v>
      </c>
      <c r="AE98">
        <v>0</v>
      </c>
      <c r="AF98">
        <v>0</v>
      </c>
      <c r="AG98">
        <v>0</v>
      </c>
      <c r="AH98">
        <v>0</v>
      </c>
      <c r="AI98">
        <v>1</v>
      </c>
      <c r="AJ98">
        <v>0</v>
      </c>
      <c r="AK98">
        <v>0</v>
      </c>
      <c r="AL98">
        <v>0</v>
      </c>
      <c r="AM98" t="s">
        <v>54</v>
      </c>
      <c r="AN98">
        <v>0</v>
      </c>
      <c r="AO98">
        <v>2</v>
      </c>
      <c r="AP98">
        <v>0</v>
      </c>
      <c r="AQ98">
        <v>1</v>
      </c>
      <c r="AR98">
        <v>0</v>
      </c>
      <c r="AS98">
        <v>0</v>
      </c>
    </row>
    <row r="99" spans="1:45" x14ac:dyDescent="0.2">
      <c r="A99" t="s">
        <v>176</v>
      </c>
      <c r="B99" s="3">
        <f t="shared" si="1"/>
        <v>46054</v>
      </c>
      <c r="C99" t="s">
        <v>56</v>
      </c>
      <c r="D99" s="1">
        <v>1.9583333333333335E-2</v>
      </c>
      <c r="E99">
        <v>33</v>
      </c>
      <c r="F99" t="s">
        <v>169</v>
      </c>
      <c r="G99" t="s">
        <v>47</v>
      </c>
      <c r="H99" t="s">
        <v>48</v>
      </c>
      <c r="I99" s="2" t="s">
        <v>60</v>
      </c>
      <c r="J99" s="2" t="s">
        <v>50</v>
      </c>
      <c r="K99" s="2" t="s">
        <v>59</v>
      </c>
      <c r="L99" s="2" t="s">
        <v>81</v>
      </c>
      <c r="M99" s="2" t="s">
        <v>61</v>
      </c>
      <c r="N99">
        <v>0</v>
      </c>
      <c r="O99">
        <v>0</v>
      </c>
      <c r="P99">
        <v>1</v>
      </c>
      <c r="Q99">
        <v>0</v>
      </c>
      <c r="R99">
        <v>0</v>
      </c>
      <c r="S99">
        <v>1</v>
      </c>
      <c r="T99">
        <v>0</v>
      </c>
      <c r="U99">
        <v>0</v>
      </c>
      <c r="V99">
        <v>0</v>
      </c>
      <c r="W99">
        <v>0</v>
      </c>
      <c r="X99">
        <v>0</v>
      </c>
      <c r="Y99">
        <v>0</v>
      </c>
      <c r="Z99">
        <v>0</v>
      </c>
      <c r="AA99">
        <v>0</v>
      </c>
      <c r="AB99">
        <v>0</v>
      </c>
      <c r="AC99">
        <v>0</v>
      </c>
      <c r="AD99">
        <v>0</v>
      </c>
      <c r="AE99">
        <v>0</v>
      </c>
      <c r="AF99">
        <v>0</v>
      </c>
      <c r="AG99">
        <v>0</v>
      </c>
      <c r="AH99">
        <v>0</v>
      </c>
      <c r="AI99">
        <v>0</v>
      </c>
      <c r="AJ99">
        <v>0</v>
      </c>
      <c r="AK99">
        <v>0</v>
      </c>
      <c r="AL99">
        <v>1</v>
      </c>
      <c r="AM99" t="s">
        <v>54</v>
      </c>
      <c r="AN99">
        <v>1</v>
      </c>
      <c r="AO99">
        <v>0</v>
      </c>
      <c r="AP99">
        <v>1</v>
      </c>
      <c r="AQ99">
        <v>1</v>
      </c>
      <c r="AR99">
        <v>0</v>
      </c>
      <c r="AS99">
        <v>0</v>
      </c>
    </row>
    <row r="100" spans="1:45" x14ac:dyDescent="0.2">
      <c r="A100" t="s">
        <v>177</v>
      </c>
      <c r="B100" s="3">
        <f t="shared" si="1"/>
        <v>46054</v>
      </c>
      <c r="C100" t="s">
        <v>93</v>
      </c>
      <c r="D100" s="1">
        <v>1.6423611111111111E-2</v>
      </c>
      <c r="E100">
        <v>14</v>
      </c>
      <c r="F100" t="s">
        <v>98</v>
      </c>
      <c r="G100" t="s">
        <v>160</v>
      </c>
      <c r="H100" t="s">
        <v>48</v>
      </c>
      <c r="I100" s="2" t="s">
        <v>60</v>
      </c>
      <c r="J100" s="2" t="s">
        <v>50</v>
      </c>
      <c r="K100" s="2" t="s">
        <v>59</v>
      </c>
      <c r="L100" s="2" t="s">
        <v>66</v>
      </c>
      <c r="M100" s="2" t="s">
        <v>67</v>
      </c>
      <c r="N100">
        <v>0</v>
      </c>
      <c r="O100">
        <v>0</v>
      </c>
      <c r="P100">
        <v>0</v>
      </c>
      <c r="Q100">
        <v>0</v>
      </c>
      <c r="R100">
        <v>0</v>
      </c>
      <c r="S100">
        <v>0</v>
      </c>
      <c r="T100">
        <v>0</v>
      </c>
      <c r="U100">
        <v>0</v>
      </c>
      <c r="V100">
        <v>1</v>
      </c>
      <c r="W100">
        <v>1</v>
      </c>
      <c r="X100">
        <v>0</v>
      </c>
      <c r="Y100">
        <v>0</v>
      </c>
      <c r="Z100">
        <v>0</v>
      </c>
      <c r="AA100">
        <v>0</v>
      </c>
      <c r="AB100">
        <v>1</v>
      </c>
      <c r="AC100">
        <v>0</v>
      </c>
      <c r="AD100">
        <v>0</v>
      </c>
      <c r="AE100">
        <v>0</v>
      </c>
      <c r="AF100">
        <v>0</v>
      </c>
      <c r="AG100">
        <v>0</v>
      </c>
      <c r="AH100">
        <v>0</v>
      </c>
      <c r="AI100">
        <v>0</v>
      </c>
      <c r="AJ100">
        <v>0</v>
      </c>
      <c r="AK100">
        <v>0</v>
      </c>
      <c r="AL100">
        <v>0</v>
      </c>
      <c r="AM100" t="s">
        <v>54</v>
      </c>
      <c r="AN100">
        <v>1</v>
      </c>
      <c r="AO100">
        <v>2</v>
      </c>
      <c r="AP100">
        <v>1</v>
      </c>
      <c r="AQ100">
        <v>1</v>
      </c>
      <c r="AR100">
        <v>2</v>
      </c>
      <c r="AS100">
        <v>1</v>
      </c>
    </row>
    <row r="101" spans="1:45" x14ac:dyDescent="0.2">
      <c r="A101" t="s">
        <v>177</v>
      </c>
      <c r="B101" s="3">
        <f t="shared" si="1"/>
        <v>46054</v>
      </c>
      <c r="C101" t="s">
        <v>93</v>
      </c>
      <c r="D101" s="1">
        <v>1.3912037037037037E-2</v>
      </c>
      <c r="E101">
        <v>17</v>
      </c>
      <c r="F101" t="s">
        <v>178</v>
      </c>
      <c r="G101" t="s">
        <v>119</v>
      </c>
      <c r="H101" t="s">
        <v>70</v>
      </c>
      <c r="I101" s="2" t="s">
        <v>78</v>
      </c>
      <c r="J101" s="2" t="s">
        <v>50</v>
      </c>
      <c r="K101" s="2" t="s">
        <v>59</v>
      </c>
      <c r="L101" s="2" t="s">
        <v>72</v>
      </c>
      <c r="M101" s="2" t="s">
        <v>53</v>
      </c>
      <c r="N101">
        <v>0</v>
      </c>
      <c r="O101">
        <v>0</v>
      </c>
      <c r="P101">
        <v>0</v>
      </c>
      <c r="Q101">
        <v>0</v>
      </c>
      <c r="R101">
        <v>1</v>
      </c>
      <c r="S101">
        <v>0</v>
      </c>
      <c r="T101">
        <v>1</v>
      </c>
      <c r="U101">
        <v>0</v>
      </c>
      <c r="V101">
        <v>0</v>
      </c>
      <c r="W101">
        <v>0</v>
      </c>
      <c r="X101">
        <v>0</v>
      </c>
      <c r="Y101">
        <v>1</v>
      </c>
      <c r="Z101">
        <v>0</v>
      </c>
      <c r="AA101">
        <v>0</v>
      </c>
      <c r="AB101">
        <v>0</v>
      </c>
      <c r="AC101">
        <v>0</v>
      </c>
      <c r="AD101">
        <v>0</v>
      </c>
      <c r="AE101">
        <v>0</v>
      </c>
      <c r="AF101">
        <v>0</v>
      </c>
      <c r="AG101">
        <v>0</v>
      </c>
      <c r="AH101">
        <v>0</v>
      </c>
      <c r="AI101">
        <v>0</v>
      </c>
      <c r="AJ101">
        <v>0</v>
      </c>
      <c r="AK101">
        <v>0</v>
      </c>
      <c r="AL101">
        <v>0</v>
      </c>
      <c r="AM101" t="s">
        <v>54</v>
      </c>
      <c r="AN101">
        <v>0</v>
      </c>
      <c r="AO101">
        <v>2</v>
      </c>
      <c r="AP101">
        <v>0</v>
      </c>
      <c r="AQ101">
        <v>0</v>
      </c>
      <c r="AR101">
        <v>1</v>
      </c>
      <c r="AS101">
        <v>0</v>
      </c>
    </row>
    <row r="102" spans="1:45" x14ac:dyDescent="0.2">
      <c r="A102" t="s">
        <v>177</v>
      </c>
      <c r="B102" s="3">
        <f t="shared" si="1"/>
        <v>46054</v>
      </c>
      <c r="C102" t="s">
        <v>93</v>
      </c>
      <c r="D102" s="1">
        <v>1.7372685185185185E-2</v>
      </c>
      <c r="E102">
        <v>8</v>
      </c>
      <c r="F102" t="s">
        <v>149</v>
      </c>
      <c r="G102" t="s">
        <v>91</v>
      </c>
      <c r="H102" t="s">
        <v>70</v>
      </c>
      <c r="I102" s="2" t="s">
        <v>78</v>
      </c>
      <c r="J102" s="2" t="s">
        <v>50</v>
      </c>
      <c r="K102" s="2" t="s">
        <v>49</v>
      </c>
      <c r="L102" s="2" t="s">
        <v>49</v>
      </c>
      <c r="M102" s="2" t="s">
        <v>61</v>
      </c>
      <c r="N102">
        <v>0</v>
      </c>
      <c r="O102">
        <v>0</v>
      </c>
      <c r="P102">
        <v>0</v>
      </c>
      <c r="Q102">
        <v>0</v>
      </c>
      <c r="R102">
        <v>0</v>
      </c>
      <c r="S102">
        <v>0</v>
      </c>
      <c r="T102">
        <v>0</v>
      </c>
      <c r="U102">
        <v>1</v>
      </c>
      <c r="V102">
        <v>0</v>
      </c>
      <c r="W102">
        <v>0</v>
      </c>
      <c r="X102">
        <v>0</v>
      </c>
      <c r="Y102">
        <v>0</v>
      </c>
      <c r="Z102">
        <v>1</v>
      </c>
      <c r="AA102">
        <v>0</v>
      </c>
      <c r="AB102">
        <v>0</v>
      </c>
      <c r="AC102">
        <v>0</v>
      </c>
      <c r="AD102">
        <v>0</v>
      </c>
      <c r="AE102">
        <v>0</v>
      </c>
      <c r="AF102">
        <v>0</v>
      </c>
      <c r="AG102">
        <v>0</v>
      </c>
      <c r="AH102">
        <v>0</v>
      </c>
      <c r="AI102">
        <v>0</v>
      </c>
      <c r="AJ102">
        <v>0</v>
      </c>
      <c r="AK102">
        <v>1</v>
      </c>
      <c r="AL102">
        <v>0</v>
      </c>
      <c r="AM102" t="s">
        <v>54</v>
      </c>
      <c r="AN102">
        <v>0</v>
      </c>
      <c r="AO102">
        <v>1</v>
      </c>
      <c r="AP102">
        <v>2</v>
      </c>
      <c r="AQ102">
        <v>0</v>
      </c>
      <c r="AR102">
        <v>0</v>
      </c>
      <c r="AS102">
        <v>1</v>
      </c>
    </row>
    <row r="103" spans="1:45" x14ac:dyDescent="0.2">
      <c r="A103" t="s">
        <v>179</v>
      </c>
      <c r="B103" s="3">
        <f t="shared" si="1"/>
        <v>46054</v>
      </c>
      <c r="C103" t="s">
        <v>56</v>
      </c>
      <c r="D103" s="1">
        <v>1.3900462962962963E-2</v>
      </c>
      <c r="E103">
        <v>17</v>
      </c>
      <c r="F103" t="s">
        <v>178</v>
      </c>
      <c r="G103" t="s">
        <v>75</v>
      </c>
      <c r="H103" t="s">
        <v>70</v>
      </c>
      <c r="I103" s="2" t="s">
        <v>49</v>
      </c>
      <c r="J103" s="2" t="s">
        <v>50</v>
      </c>
      <c r="K103" s="2" t="s">
        <v>59</v>
      </c>
      <c r="L103" s="2" t="s">
        <v>49</v>
      </c>
      <c r="M103" s="2" t="s">
        <v>53</v>
      </c>
      <c r="N103">
        <v>0</v>
      </c>
      <c r="O103">
        <v>0</v>
      </c>
      <c r="P103">
        <v>0</v>
      </c>
      <c r="Q103">
        <v>0</v>
      </c>
      <c r="R103">
        <v>1</v>
      </c>
      <c r="S103">
        <v>0</v>
      </c>
      <c r="T103">
        <v>1</v>
      </c>
      <c r="U103">
        <v>0</v>
      </c>
      <c r="V103">
        <v>0</v>
      </c>
      <c r="W103">
        <v>0</v>
      </c>
      <c r="X103">
        <v>0</v>
      </c>
      <c r="Y103">
        <v>1</v>
      </c>
      <c r="Z103">
        <v>0</v>
      </c>
      <c r="AA103">
        <v>0</v>
      </c>
      <c r="AB103">
        <v>0</v>
      </c>
      <c r="AC103">
        <v>0</v>
      </c>
      <c r="AD103">
        <v>0</v>
      </c>
      <c r="AE103">
        <v>0</v>
      </c>
      <c r="AF103">
        <v>0</v>
      </c>
      <c r="AG103">
        <v>0</v>
      </c>
      <c r="AH103">
        <v>0</v>
      </c>
      <c r="AI103">
        <v>0</v>
      </c>
      <c r="AJ103">
        <v>0</v>
      </c>
      <c r="AK103">
        <v>0</v>
      </c>
      <c r="AL103">
        <v>0</v>
      </c>
      <c r="AM103" t="s">
        <v>54</v>
      </c>
      <c r="AN103">
        <v>0</v>
      </c>
      <c r="AO103">
        <v>2</v>
      </c>
      <c r="AP103">
        <v>0</v>
      </c>
      <c r="AQ103">
        <v>0</v>
      </c>
      <c r="AR103">
        <v>1</v>
      </c>
      <c r="AS103">
        <v>0</v>
      </c>
    </row>
    <row r="104" spans="1:45" x14ac:dyDescent="0.2">
      <c r="A104" t="s">
        <v>180</v>
      </c>
      <c r="B104" s="3">
        <f t="shared" si="1"/>
        <v>46054</v>
      </c>
      <c r="C104" t="s">
        <v>93</v>
      </c>
      <c r="D104" s="1">
        <v>1.4016203703703704E-2</v>
      </c>
      <c r="E104">
        <v>8</v>
      </c>
      <c r="F104" t="s">
        <v>149</v>
      </c>
      <c r="G104" t="s">
        <v>109</v>
      </c>
      <c r="H104" t="s">
        <v>48</v>
      </c>
      <c r="I104" s="2" t="s">
        <v>58</v>
      </c>
      <c r="J104" s="2" t="s">
        <v>59</v>
      </c>
      <c r="K104" s="2" t="s">
        <v>60</v>
      </c>
      <c r="L104" s="2" t="s">
        <v>49</v>
      </c>
      <c r="M104" s="2" t="s">
        <v>90</v>
      </c>
      <c r="N104">
        <v>0</v>
      </c>
      <c r="O104">
        <v>0</v>
      </c>
      <c r="P104">
        <v>0</v>
      </c>
      <c r="Q104">
        <v>0</v>
      </c>
      <c r="R104">
        <v>0</v>
      </c>
      <c r="S104">
        <v>0</v>
      </c>
      <c r="T104">
        <v>0</v>
      </c>
      <c r="U104">
        <v>1</v>
      </c>
      <c r="V104">
        <v>0</v>
      </c>
      <c r="W104">
        <v>0</v>
      </c>
      <c r="X104">
        <v>0</v>
      </c>
      <c r="Y104">
        <v>0</v>
      </c>
      <c r="Z104">
        <v>1</v>
      </c>
      <c r="AA104">
        <v>0</v>
      </c>
      <c r="AB104">
        <v>0</v>
      </c>
      <c r="AC104">
        <v>0</v>
      </c>
      <c r="AD104">
        <v>0</v>
      </c>
      <c r="AE104">
        <v>0</v>
      </c>
      <c r="AF104">
        <v>0</v>
      </c>
      <c r="AG104">
        <v>0</v>
      </c>
      <c r="AH104">
        <v>0</v>
      </c>
      <c r="AI104">
        <v>0</v>
      </c>
      <c r="AJ104">
        <v>0</v>
      </c>
      <c r="AK104">
        <v>1</v>
      </c>
      <c r="AL104">
        <v>0</v>
      </c>
      <c r="AM104" t="s">
        <v>54</v>
      </c>
      <c r="AN104">
        <v>0</v>
      </c>
      <c r="AO104">
        <v>1</v>
      </c>
      <c r="AP104">
        <v>2</v>
      </c>
      <c r="AQ104">
        <v>0</v>
      </c>
      <c r="AR104">
        <v>0</v>
      </c>
      <c r="AS104">
        <v>1</v>
      </c>
    </row>
    <row r="105" spans="1:45" x14ac:dyDescent="0.2">
      <c r="A105" t="s">
        <v>181</v>
      </c>
      <c r="B105" s="3">
        <f t="shared" si="1"/>
        <v>46054</v>
      </c>
      <c r="C105" t="s">
        <v>63</v>
      </c>
      <c r="D105" s="1">
        <v>1.3900462962962963E-2</v>
      </c>
      <c r="E105">
        <v>17</v>
      </c>
      <c r="F105" t="s">
        <v>178</v>
      </c>
      <c r="G105" t="s">
        <v>64</v>
      </c>
      <c r="H105" t="s">
        <v>70</v>
      </c>
      <c r="I105" s="2" t="s">
        <v>58</v>
      </c>
      <c r="J105" s="2" t="s">
        <v>59</v>
      </c>
      <c r="K105" s="2" t="s">
        <v>49</v>
      </c>
      <c r="L105" s="2" t="s">
        <v>49</v>
      </c>
      <c r="M105" s="2" t="s">
        <v>90</v>
      </c>
      <c r="N105">
        <v>0</v>
      </c>
      <c r="O105">
        <v>0</v>
      </c>
      <c r="P105">
        <v>0</v>
      </c>
      <c r="Q105">
        <v>0</v>
      </c>
      <c r="R105">
        <v>1</v>
      </c>
      <c r="S105">
        <v>0</v>
      </c>
      <c r="T105">
        <v>1</v>
      </c>
      <c r="U105">
        <v>0</v>
      </c>
      <c r="V105">
        <v>0</v>
      </c>
      <c r="W105">
        <v>0</v>
      </c>
      <c r="X105">
        <v>0</v>
      </c>
      <c r="Y105">
        <v>1</v>
      </c>
      <c r="Z105">
        <v>0</v>
      </c>
      <c r="AA105">
        <v>0</v>
      </c>
      <c r="AB105">
        <v>0</v>
      </c>
      <c r="AC105">
        <v>0</v>
      </c>
      <c r="AD105">
        <v>0</v>
      </c>
      <c r="AE105">
        <v>0</v>
      </c>
      <c r="AF105">
        <v>0</v>
      </c>
      <c r="AG105">
        <v>0</v>
      </c>
      <c r="AH105">
        <v>0</v>
      </c>
      <c r="AI105">
        <v>0</v>
      </c>
      <c r="AJ105">
        <v>0</v>
      </c>
      <c r="AK105">
        <v>0</v>
      </c>
      <c r="AL105">
        <v>0</v>
      </c>
      <c r="AM105" t="s">
        <v>54</v>
      </c>
      <c r="AN105">
        <v>0</v>
      </c>
      <c r="AO105">
        <v>2</v>
      </c>
      <c r="AP105">
        <v>0</v>
      </c>
      <c r="AQ105">
        <v>0</v>
      </c>
      <c r="AR105">
        <v>1</v>
      </c>
      <c r="AS105">
        <v>0</v>
      </c>
    </row>
    <row r="106" spans="1:45" x14ac:dyDescent="0.2">
      <c r="A106" t="s">
        <v>182</v>
      </c>
      <c r="B106" s="3">
        <f t="shared" si="1"/>
        <v>46054</v>
      </c>
      <c r="C106" t="s">
        <v>56</v>
      </c>
      <c r="D106" s="1">
        <v>1.7384259259259259E-2</v>
      </c>
      <c r="E106">
        <v>18</v>
      </c>
      <c r="F106" t="s">
        <v>152</v>
      </c>
      <c r="G106" t="s">
        <v>91</v>
      </c>
      <c r="H106" t="s">
        <v>70</v>
      </c>
      <c r="I106" s="2" t="s">
        <v>71</v>
      </c>
      <c r="J106" s="2" t="s">
        <v>59</v>
      </c>
      <c r="K106" s="2" t="s">
        <v>49</v>
      </c>
      <c r="L106" s="2" t="s">
        <v>72</v>
      </c>
      <c r="M106">
        <v>0</v>
      </c>
      <c r="N106">
        <v>0</v>
      </c>
      <c r="O106">
        <v>0</v>
      </c>
      <c r="P106">
        <v>0</v>
      </c>
      <c r="Q106">
        <v>0</v>
      </c>
      <c r="R106">
        <v>1</v>
      </c>
      <c r="S106">
        <v>0</v>
      </c>
      <c r="T106">
        <v>1</v>
      </c>
      <c r="U106">
        <v>1</v>
      </c>
      <c r="V106">
        <v>0</v>
      </c>
      <c r="W106">
        <v>0</v>
      </c>
      <c r="X106">
        <v>0</v>
      </c>
      <c r="Y106">
        <v>1</v>
      </c>
      <c r="Z106">
        <v>0</v>
      </c>
      <c r="AA106">
        <v>0</v>
      </c>
      <c r="AB106">
        <v>0</v>
      </c>
      <c r="AC106">
        <v>0</v>
      </c>
      <c r="AD106">
        <v>0</v>
      </c>
      <c r="AE106">
        <v>0</v>
      </c>
      <c r="AF106">
        <v>0</v>
      </c>
      <c r="AG106">
        <v>0</v>
      </c>
      <c r="AH106">
        <v>0</v>
      </c>
      <c r="AI106">
        <v>0</v>
      </c>
      <c r="AJ106">
        <v>0</v>
      </c>
      <c r="AK106">
        <v>1</v>
      </c>
      <c r="AL106">
        <v>0</v>
      </c>
      <c r="AM106" t="s">
        <v>54</v>
      </c>
      <c r="AN106">
        <v>0</v>
      </c>
      <c r="AO106">
        <v>3</v>
      </c>
      <c r="AP106">
        <v>1</v>
      </c>
      <c r="AQ106">
        <v>0</v>
      </c>
      <c r="AR106">
        <v>1</v>
      </c>
      <c r="AS106">
        <v>1</v>
      </c>
    </row>
    <row r="107" spans="1:45" x14ac:dyDescent="0.2">
      <c r="A107" t="s">
        <v>183</v>
      </c>
      <c r="B107" s="3">
        <f t="shared" si="1"/>
        <v>46054</v>
      </c>
      <c r="C107" t="s">
        <v>93</v>
      </c>
      <c r="D107" s="1">
        <v>1.3773148148148149E-2</v>
      </c>
      <c r="E107">
        <v>16</v>
      </c>
      <c r="F107" t="s">
        <v>101</v>
      </c>
      <c r="G107" t="s">
        <v>160</v>
      </c>
      <c r="H107" t="s">
        <v>48</v>
      </c>
      <c r="I107" s="2" t="s">
        <v>78</v>
      </c>
      <c r="J107" s="2" t="s">
        <v>50</v>
      </c>
      <c r="K107" s="2" t="s">
        <v>60</v>
      </c>
      <c r="L107" s="2" t="s">
        <v>81</v>
      </c>
      <c r="M107" s="2" t="s">
        <v>90</v>
      </c>
      <c r="N107">
        <v>0</v>
      </c>
      <c r="O107">
        <v>0</v>
      </c>
      <c r="P107">
        <v>0</v>
      </c>
      <c r="Q107">
        <v>1</v>
      </c>
      <c r="R107">
        <v>0</v>
      </c>
      <c r="S107">
        <v>0</v>
      </c>
      <c r="T107">
        <v>0</v>
      </c>
      <c r="U107">
        <v>0</v>
      </c>
      <c r="V107">
        <v>0</v>
      </c>
      <c r="W107">
        <v>0</v>
      </c>
      <c r="X107">
        <v>0</v>
      </c>
      <c r="Y107">
        <v>0</v>
      </c>
      <c r="Z107">
        <v>0</v>
      </c>
      <c r="AA107">
        <v>1</v>
      </c>
      <c r="AB107">
        <v>0</v>
      </c>
      <c r="AC107">
        <v>0</v>
      </c>
      <c r="AD107">
        <v>0</v>
      </c>
      <c r="AE107">
        <v>0</v>
      </c>
      <c r="AF107">
        <v>0</v>
      </c>
      <c r="AG107">
        <v>0</v>
      </c>
      <c r="AH107">
        <v>0</v>
      </c>
      <c r="AI107">
        <v>0</v>
      </c>
      <c r="AJ107">
        <v>0</v>
      </c>
      <c r="AK107">
        <v>0</v>
      </c>
      <c r="AL107">
        <v>0</v>
      </c>
      <c r="AM107" t="s">
        <v>54</v>
      </c>
      <c r="AN107">
        <v>0</v>
      </c>
      <c r="AO107">
        <v>1</v>
      </c>
      <c r="AP107">
        <v>0</v>
      </c>
      <c r="AQ107">
        <v>0</v>
      </c>
      <c r="AR107">
        <v>1</v>
      </c>
      <c r="AS107">
        <v>0</v>
      </c>
    </row>
    <row r="108" spans="1:45" x14ac:dyDescent="0.2">
      <c r="A108" t="s">
        <v>184</v>
      </c>
      <c r="B108" s="3">
        <f t="shared" si="1"/>
        <v>46082</v>
      </c>
      <c r="C108" t="s">
        <v>45</v>
      </c>
      <c r="D108" s="1">
        <v>1.1134259259259259E-2</v>
      </c>
      <c r="E108">
        <v>17</v>
      </c>
      <c r="F108" t="s">
        <v>178</v>
      </c>
      <c r="G108" t="s">
        <v>103</v>
      </c>
      <c r="H108" t="s">
        <v>48</v>
      </c>
      <c r="I108" s="2" t="s">
        <v>58</v>
      </c>
      <c r="J108" s="2" t="s">
        <v>59</v>
      </c>
      <c r="K108" s="2" t="s">
        <v>60</v>
      </c>
      <c r="L108" s="2" t="s">
        <v>49</v>
      </c>
      <c r="M108" s="2" t="s">
        <v>53</v>
      </c>
      <c r="N108">
        <v>0</v>
      </c>
      <c r="O108">
        <v>0</v>
      </c>
      <c r="P108">
        <v>0</v>
      </c>
      <c r="Q108">
        <v>0</v>
      </c>
      <c r="R108">
        <v>1</v>
      </c>
      <c r="S108">
        <v>0</v>
      </c>
      <c r="T108">
        <v>1</v>
      </c>
      <c r="U108">
        <v>0</v>
      </c>
      <c r="V108">
        <v>0</v>
      </c>
      <c r="W108">
        <v>0</v>
      </c>
      <c r="X108">
        <v>0</v>
      </c>
      <c r="Y108">
        <v>1</v>
      </c>
      <c r="Z108">
        <v>0</v>
      </c>
      <c r="AA108">
        <v>0</v>
      </c>
      <c r="AB108">
        <v>0</v>
      </c>
      <c r="AC108">
        <v>0</v>
      </c>
      <c r="AD108">
        <v>0</v>
      </c>
      <c r="AE108">
        <v>0</v>
      </c>
      <c r="AF108">
        <v>0</v>
      </c>
      <c r="AG108">
        <v>0</v>
      </c>
      <c r="AH108">
        <v>0</v>
      </c>
      <c r="AI108">
        <v>0</v>
      </c>
      <c r="AJ108">
        <v>0</v>
      </c>
      <c r="AK108">
        <v>0</v>
      </c>
      <c r="AL108">
        <v>0</v>
      </c>
      <c r="AM108" t="s">
        <v>54</v>
      </c>
      <c r="AN108">
        <v>0</v>
      </c>
      <c r="AO108">
        <v>2</v>
      </c>
      <c r="AP108">
        <v>0</v>
      </c>
      <c r="AQ108">
        <v>0</v>
      </c>
      <c r="AR108">
        <v>1</v>
      </c>
      <c r="AS108">
        <v>0</v>
      </c>
    </row>
    <row r="109" spans="1:45" x14ac:dyDescent="0.2">
      <c r="A109" t="s">
        <v>185</v>
      </c>
      <c r="B109" s="3">
        <f t="shared" si="1"/>
        <v>46082</v>
      </c>
      <c r="C109" t="s">
        <v>56</v>
      </c>
      <c r="D109" s="1">
        <v>1.3912037037037037E-2</v>
      </c>
      <c r="E109">
        <v>9</v>
      </c>
      <c r="F109" t="s">
        <v>186</v>
      </c>
      <c r="G109" t="s">
        <v>64</v>
      </c>
      <c r="H109" t="s">
        <v>70</v>
      </c>
      <c r="I109" s="2" t="s">
        <v>49</v>
      </c>
      <c r="J109" s="2" t="s">
        <v>59</v>
      </c>
      <c r="K109" s="2" t="s">
        <v>59</v>
      </c>
      <c r="L109" s="2" t="s">
        <v>76</v>
      </c>
      <c r="M109" s="2" t="s">
        <v>53</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t="s">
        <v>54</v>
      </c>
      <c r="AN109">
        <v>0</v>
      </c>
      <c r="AO109">
        <v>0</v>
      </c>
      <c r="AP109">
        <v>0</v>
      </c>
      <c r="AQ109">
        <v>0</v>
      </c>
      <c r="AR109">
        <v>0</v>
      </c>
      <c r="AS109">
        <v>0</v>
      </c>
    </row>
    <row r="110" spans="1:45" x14ac:dyDescent="0.2">
      <c r="A110" t="s">
        <v>187</v>
      </c>
      <c r="B110" s="3">
        <f t="shared" si="1"/>
        <v>46082</v>
      </c>
      <c r="C110" t="s">
        <v>63</v>
      </c>
      <c r="D110" s="1">
        <v>1.3912037037037037E-2</v>
      </c>
      <c r="E110">
        <v>9</v>
      </c>
      <c r="F110" t="s">
        <v>186</v>
      </c>
      <c r="G110" t="s">
        <v>119</v>
      </c>
      <c r="H110" t="s">
        <v>70</v>
      </c>
      <c r="I110" s="2" t="s">
        <v>78</v>
      </c>
      <c r="J110" s="2" t="s">
        <v>59</v>
      </c>
      <c r="K110" s="2" t="s">
        <v>49</v>
      </c>
      <c r="L110" s="2" t="s">
        <v>49</v>
      </c>
      <c r="M110" s="2" t="s">
        <v>61</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t="s">
        <v>54</v>
      </c>
      <c r="AN110">
        <v>0</v>
      </c>
      <c r="AO110">
        <v>0</v>
      </c>
      <c r="AP110">
        <v>0</v>
      </c>
      <c r="AQ110">
        <v>0</v>
      </c>
      <c r="AR110">
        <v>0</v>
      </c>
      <c r="AS110">
        <v>0</v>
      </c>
    </row>
    <row r="111" spans="1:45" x14ac:dyDescent="0.2">
      <c r="A111" t="s">
        <v>188</v>
      </c>
      <c r="B111" s="3">
        <f t="shared" si="1"/>
        <v>46082</v>
      </c>
      <c r="C111" t="s">
        <v>45</v>
      </c>
      <c r="D111" s="1">
        <v>1.3900462962962963E-2</v>
      </c>
      <c r="E111">
        <v>9</v>
      </c>
      <c r="F111" t="s">
        <v>186</v>
      </c>
      <c r="G111" t="s">
        <v>103</v>
      </c>
      <c r="H111" t="s">
        <v>70</v>
      </c>
      <c r="I111" s="2" t="s">
        <v>58</v>
      </c>
      <c r="J111" s="2" t="s">
        <v>59</v>
      </c>
      <c r="K111" s="2" t="s">
        <v>60</v>
      </c>
      <c r="L111" s="2" t="s">
        <v>66</v>
      </c>
      <c r="M111" s="2" t="s">
        <v>67</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t="s">
        <v>54</v>
      </c>
      <c r="AN111">
        <v>0</v>
      </c>
      <c r="AO111">
        <v>0</v>
      </c>
      <c r="AP111">
        <v>0</v>
      </c>
      <c r="AQ111">
        <v>0</v>
      </c>
      <c r="AR111">
        <v>0</v>
      </c>
      <c r="AS111">
        <v>0</v>
      </c>
    </row>
    <row r="112" spans="1:45" x14ac:dyDescent="0.2">
      <c r="A112" t="s">
        <v>189</v>
      </c>
      <c r="B112" s="3">
        <f t="shared" si="1"/>
        <v>46082</v>
      </c>
      <c r="C112" t="s">
        <v>56</v>
      </c>
      <c r="D112" s="1">
        <v>1.5486111111111112E-2</v>
      </c>
      <c r="E112">
        <v>8</v>
      </c>
      <c r="F112" t="s">
        <v>149</v>
      </c>
      <c r="G112" t="s">
        <v>106</v>
      </c>
      <c r="H112" t="s">
        <v>48</v>
      </c>
      <c r="I112" s="2" t="s">
        <v>58</v>
      </c>
      <c r="J112">
        <v>0</v>
      </c>
      <c r="K112" s="2" t="s">
        <v>49</v>
      </c>
      <c r="L112" s="2" t="s">
        <v>49</v>
      </c>
      <c r="M112" s="2" t="s">
        <v>61</v>
      </c>
      <c r="N112">
        <v>0</v>
      </c>
      <c r="O112">
        <v>0</v>
      </c>
      <c r="P112">
        <v>0</v>
      </c>
      <c r="Q112">
        <v>0</v>
      </c>
      <c r="R112">
        <v>0</v>
      </c>
      <c r="S112">
        <v>0</v>
      </c>
      <c r="T112">
        <v>0</v>
      </c>
      <c r="U112">
        <v>1</v>
      </c>
      <c r="V112">
        <v>0</v>
      </c>
      <c r="W112">
        <v>0</v>
      </c>
      <c r="X112">
        <v>0</v>
      </c>
      <c r="Y112">
        <v>0</v>
      </c>
      <c r="Z112">
        <v>1</v>
      </c>
      <c r="AA112">
        <v>0</v>
      </c>
      <c r="AB112">
        <v>0</v>
      </c>
      <c r="AC112">
        <v>0</v>
      </c>
      <c r="AD112">
        <v>0</v>
      </c>
      <c r="AE112">
        <v>0</v>
      </c>
      <c r="AF112">
        <v>0</v>
      </c>
      <c r="AG112">
        <v>0</v>
      </c>
      <c r="AH112">
        <v>0</v>
      </c>
      <c r="AI112">
        <v>0</v>
      </c>
      <c r="AJ112">
        <v>0</v>
      </c>
      <c r="AK112">
        <v>1</v>
      </c>
      <c r="AL112">
        <v>0</v>
      </c>
      <c r="AM112" t="s">
        <v>54</v>
      </c>
      <c r="AN112">
        <v>0</v>
      </c>
      <c r="AO112">
        <v>1</v>
      </c>
      <c r="AP112">
        <v>2</v>
      </c>
      <c r="AQ112">
        <v>0</v>
      </c>
      <c r="AR112">
        <v>0</v>
      </c>
      <c r="AS112">
        <v>1</v>
      </c>
    </row>
    <row r="113" spans="1:45" x14ac:dyDescent="0.2">
      <c r="A113" t="s">
        <v>190</v>
      </c>
      <c r="B113" s="3">
        <f t="shared" si="1"/>
        <v>46082</v>
      </c>
      <c r="C113" t="s">
        <v>93</v>
      </c>
      <c r="D113" s="1">
        <v>1.3356481481481481E-2</v>
      </c>
      <c r="E113">
        <v>4</v>
      </c>
      <c r="F113" t="s">
        <v>115</v>
      </c>
      <c r="G113" t="s">
        <v>160</v>
      </c>
      <c r="H113" t="s">
        <v>48</v>
      </c>
      <c r="I113" s="2" t="s">
        <v>78</v>
      </c>
      <c r="J113" s="2" t="s">
        <v>59</v>
      </c>
      <c r="K113" s="2" t="s">
        <v>49</v>
      </c>
      <c r="L113" s="2" t="s">
        <v>108</v>
      </c>
      <c r="M113" s="2" t="s">
        <v>67</v>
      </c>
      <c r="N113">
        <v>1</v>
      </c>
      <c r="O113">
        <v>0</v>
      </c>
      <c r="P113">
        <v>0</v>
      </c>
      <c r="Q113">
        <v>0</v>
      </c>
      <c r="R113">
        <v>0</v>
      </c>
      <c r="S113">
        <v>0</v>
      </c>
      <c r="T113">
        <v>0</v>
      </c>
      <c r="U113">
        <v>0</v>
      </c>
      <c r="V113">
        <v>0</v>
      </c>
      <c r="W113">
        <v>0</v>
      </c>
      <c r="X113">
        <v>0</v>
      </c>
      <c r="Y113">
        <v>0</v>
      </c>
      <c r="Z113">
        <v>0</v>
      </c>
      <c r="AA113">
        <v>0</v>
      </c>
      <c r="AB113">
        <v>1</v>
      </c>
      <c r="AC113">
        <v>0</v>
      </c>
      <c r="AD113">
        <v>1</v>
      </c>
      <c r="AE113">
        <v>0</v>
      </c>
      <c r="AF113">
        <v>1</v>
      </c>
      <c r="AG113">
        <v>0</v>
      </c>
      <c r="AH113">
        <v>0</v>
      </c>
      <c r="AI113">
        <v>0</v>
      </c>
      <c r="AJ113">
        <v>0</v>
      </c>
      <c r="AK113">
        <v>0</v>
      </c>
      <c r="AL113">
        <v>0</v>
      </c>
      <c r="AM113" t="s">
        <v>54</v>
      </c>
      <c r="AN113">
        <v>1</v>
      </c>
      <c r="AO113">
        <v>4</v>
      </c>
      <c r="AP113">
        <v>1</v>
      </c>
      <c r="AQ113">
        <v>1</v>
      </c>
      <c r="AR113">
        <v>1</v>
      </c>
      <c r="AS113">
        <v>1</v>
      </c>
    </row>
    <row r="114" spans="1:45" x14ac:dyDescent="0.2">
      <c r="A114" t="s">
        <v>191</v>
      </c>
      <c r="B114" s="3">
        <f t="shared" si="1"/>
        <v>46082</v>
      </c>
      <c r="C114" t="s">
        <v>63</v>
      </c>
      <c r="D114" s="1">
        <v>2.0034722222222221E-2</v>
      </c>
      <c r="E114">
        <v>19</v>
      </c>
      <c r="F114" t="s">
        <v>192</v>
      </c>
      <c r="G114" t="s">
        <v>64</v>
      </c>
      <c r="H114" t="s">
        <v>48</v>
      </c>
      <c r="I114" s="2" t="s">
        <v>78</v>
      </c>
      <c r="J114" s="2" t="s">
        <v>59</v>
      </c>
      <c r="K114" s="2" t="s">
        <v>60</v>
      </c>
      <c r="L114" s="2" t="s">
        <v>52</v>
      </c>
      <c r="M114" s="2" t="s">
        <v>61</v>
      </c>
      <c r="N114">
        <v>0</v>
      </c>
      <c r="O114">
        <v>0</v>
      </c>
      <c r="P114">
        <v>0</v>
      </c>
      <c r="Q114">
        <v>0</v>
      </c>
      <c r="R114">
        <v>0</v>
      </c>
      <c r="S114">
        <v>0</v>
      </c>
      <c r="T114">
        <v>1</v>
      </c>
      <c r="U114">
        <v>1</v>
      </c>
      <c r="V114">
        <v>0</v>
      </c>
      <c r="W114">
        <v>0</v>
      </c>
      <c r="X114">
        <v>0</v>
      </c>
      <c r="Y114">
        <v>0</v>
      </c>
      <c r="Z114">
        <v>0</v>
      </c>
      <c r="AA114">
        <v>0</v>
      </c>
      <c r="AB114">
        <v>1</v>
      </c>
      <c r="AC114">
        <v>0</v>
      </c>
      <c r="AD114">
        <v>0</v>
      </c>
      <c r="AE114">
        <v>0</v>
      </c>
      <c r="AF114">
        <v>0</v>
      </c>
      <c r="AG114">
        <v>0</v>
      </c>
      <c r="AH114">
        <v>0</v>
      </c>
      <c r="AI114">
        <v>0</v>
      </c>
      <c r="AJ114">
        <v>0</v>
      </c>
      <c r="AK114">
        <v>0</v>
      </c>
      <c r="AL114">
        <v>0</v>
      </c>
      <c r="AM114" t="s">
        <v>54</v>
      </c>
      <c r="AN114">
        <v>1</v>
      </c>
      <c r="AO114">
        <v>3</v>
      </c>
      <c r="AP114">
        <v>1</v>
      </c>
      <c r="AQ114">
        <v>1</v>
      </c>
      <c r="AR114">
        <v>1</v>
      </c>
      <c r="AS114">
        <v>1</v>
      </c>
    </row>
    <row r="115" spans="1:45" x14ac:dyDescent="0.2">
      <c r="A115" t="s">
        <v>193</v>
      </c>
      <c r="B115" s="3">
        <f t="shared" si="1"/>
        <v>46113</v>
      </c>
      <c r="C115" t="s">
        <v>45</v>
      </c>
      <c r="D115" s="1">
        <v>1.7997685185185186E-2</v>
      </c>
      <c r="E115">
        <v>19</v>
      </c>
      <c r="F115" t="s">
        <v>192</v>
      </c>
      <c r="G115" t="s">
        <v>103</v>
      </c>
      <c r="H115" t="s">
        <v>48</v>
      </c>
      <c r="I115" s="2" t="s">
        <v>65</v>
      </c>
      <c r="J115" s="2" t="s">
        <v>50</v>
      </c>
      <c r="K115" s="2" t="s">
        <v>51</v>
      </c>
      <c r="L115" s="2" t="s">
        <v>108</v>
      </c>
      <c r="M115" s="2" t="s">
        <v>61</v>
      </c>
      <c r="N115">
        <v>0</v>
      </c>
      <c r="O115">
        <v>0</v>
      </c>
      <c r="P115">
        <v>0</v>
      </c>
      <c r="Q115">
        <v>0</v>
      </c>
      <c r="R115">
        <v>0</v>
      </c>
      <c r="S115">
        <v>0</v>
      </c>
      <c r="T115">
        <v>1</v>
      </c>
      <c r="U115">
        <v>1</v>
      </c>
      <c r="V115">
        <v>0</v>
      </c>
      <c r="W115">
        <v>0</v>
      </c>
      <c r="X115">
        <v>0</v>
      </c>
      <c r="Y115">
        <v>0</v>
      </c>
      <c r="Z115">
        <v>0</v>
      </c>
      <c r="AA115">
        <v>0</v>
      </c>
      <c r="AB115">
        <v>1</v>
      </c>
      <c r="AC115">
        <v>0</v>
      </c>
      <c r="AD115">
        <v>0</v>
      </c>
      <c r="AE115">
        <v>0</v>
      </c>
      <c r="AF115">
        <v>0</v>
      </c>
      <c r="AG115">
        <v>0</v>
      </c>
      <c r="AH115">
        <v>0</v>
      </c>
      <c r="AI115">
        <v>0</v>
      </c>
      <c r="AJ115">
        <v>0</v>
      </c>
      <c r="AK115">
        <v>0</v>
      </c>
      <c r="AL115">
        <v>0</v>
      </c>
      <c r="AM115" t="s">
        <v>54</v>
      </c>
      <c r="AN115">
        <v>1</v>
      </c>
      <c r="AO115">
        <v>3</v>
      </c>
      <c r="AP115">
        <v>1</v>
      </c>
      <c r="AQ115">
        <v>1</v>
      </c>
      <c r="AR115">
        <v>1</v>
      </c>
      <c r="AS115">
        <v>1</v>
      </c>
    </row>
    <row r="116" spans="1:45" x14ac:dyDescent="0.2">
      <c r="A116" t="s">
        <v>193</v>
      </c>
      <c r="B116" s="3">
        <f t="shared" si="1"/>
        <v>46113</v>
      </c>
      <c r="C116" t="s">
        <v>45</v>
      </c>
      <c r="D116" s="1">
        <v>1.1689814814814814E-2</v>
      </c>
      <c r="E116">
        <v>17</v>
      </c>
      <c r="F116" t="s">
        <v>178</v>
      </c>
      <c r="G116" t="s">
        <v>109</v>
      </c>
      <c r="H116" t="s">
        <v>48</v>
      </c>
      <c r="I116" s="2" t="s">
        <v>60</v>
      </c>
      <c r="J116" s="2" t="s">
        <v>59</v>
      </c>
      <c r="K116" s="2" t="s">
        <v>49</v>
      </c>
      <c r="L116" s="2" t="s">
        <v>52</v>
      </c>
      <c r="M116" s="2" t="s">
        <v>67</v>
      </c>
      <c r="N116">
        <v>0</v>
      </c>
      <c r="O116">
        <v>0</v>
      </c>
      <c r="P116">
        <v>0</v>
      </c>
      <c r="Q116">
        <v>0</v>
      </c>
      <c r="R116">
        <v>1</v>
      </c>
      <c r="S116">
        <v>0</v>
      </c>
      <c r="T116">
        <v>1</v>
      </c>
      <c r="U116">
        <v>0</v>
      </c>
      <c r="V116">
        <v>0</v>
      </c>
      <c r="W116">
        <v>0</v>
      </c>
      <c r="X116">
        <v>0</v>
      </c>
      <c r="Y116">
        <v>1</v>
      </c>
      <c r="Z116">
        <v>0</v>
      </c>
      <c r="AA116">
        <v>0</v>
      </c>
      <c r="AB116">
        <v>0</v>
      </c>
      <c r="AC116">
        <v>0</v>
      </c>
      <c r="AD116">
        <v>0</v>
      </c>
      <c r="AE116">
        <v>0</v>
      </c>
      <c r="AF116">
        <v>0</v>
      </c>
      <c r="AG116">
        <v>0</v>
      </c>
      <c r="AH116">
        <v>0</v>
      </c>
      <c r="AI116">
        <v>0</v>
      </c>
      <c r="AJ116">
        <v>0</v>
      </c>
      <c r="AK116">
        <v>0</v>
      </c>
      <c r="AL116">
        <v>0</v>
      </c>
      <c r="AM116" t="s">
        <v>54</v>
      </c>
      <c r="AN116">
        <v>0</v>
      </c>
      <c r="AO116">
        <v>2</v>
      </c>
      <c r="AP116">
        <v>0</v>
      </c>
      <c r="AQ116">
        <v>0</v>
      </c>
      <c r="AR116">
        <v>1</v>
      </c>
      <c r="AS116">
        <v>0</v>
      </c>
    </row>
    <row r="117" spans="1:45" x14ac:dyDescent="0.2">
      <c r="A117" t="s">
        <v>194</v>
      </c>
      <c r="B117" s="3">
        <f t="shared" si="1"/>
        <v>46113</v>
      </c>
      <c r="C117" t="s">
        <v>56</v>
      </c>
      <c r="D117" s="1">
        <v>1.3912037037037037E-2</v>
      </c>
      <c r="E117">
        <v>17</v>
      </c>
      <c r="F117" t="s">
        <v>178</v>
      </c>
      <c r="G117" t="s">
        <v>91</v>
      </c>
      <c r="H117" t="s">
        <v>70</v>
      </c>
      <c r="I117" s="2" t="s">
        <v>58</v>
      </c>
      <c r="J117" s="2" t="s">
        <v>50</v>
      </c>
      <c r="K117" s="2" t="s">
        <v>59</v>
      </c>
      <c r="L117" s="2" t="s">
        <v>87</v>
      </c>
      <c r="M117">
        <v>0</v>
      </c>
      <c r="N117">
        <v>0</v>
      </c>
      <c r="O117">
        <v>0</v>
      </c>
      <c r="P117">
        <v>0</v>
      </c>
      <c r="Q117">
        <v>0</v>
      </c>
      <c r="R117">
        <v>1</v>
      </c>
      <c r="S117">
        <v>0</v>
      </c>
      <c r="T117">
        <v>1</v>
      </c>
      <c r="U117">
        <v>0</v>
      </c>
      <c r="V117">
        <v>0</v>
      </c>
      <c r="W117">
        <v>0</v>
      </c>
      <c r="X117">
        <v>0</v>
      </c>
      <c r="Y117">
        <v>1</v>
      </c>
      <c r="Z117">
        <v>0</v>
      </c>
      <c r="AA117">
        <v>0</v>
      </c>
      <c r="AB117">
        <v>0</v>
      </c>
      <c r="AC117">
        <v>0</v>
      </c>
      <c r="AD117">
        <v>0</v>
      </c>
      <c r="AE117">
        <v>0</v>
      </c>
      <c r="AF117">
        <v>0</v>
      </c>
      <c r="AG117">
        <v>0</v>
      </c>
      <c r="AH117">
        <v>0</v>
      </c>
      <c r="AI117">
        <v>0</v>
      </c>
      <c r="AJ117">
        <v>0</v>
      </c>
      <c r="AK117">
        <v>0</v>
      </c>
      <c r="AL117">
        <v>0</v>
      </c>
      <c r="AM117" t="s">
        <v>54</v>
      </c>
      <c r="AN117">
        <v>0</v>
      </c>
      <c r="AO117">
        <v>2</v>
      </c>
      <c r="AP117">
        <v>0</v>
      </c>
      <c r="AQ117">
        <v>0</v>
      </c>
      <c r="AR117">
        <v>1</v>
      </c>
      <c r="AS11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GUOT pivot</vt:lpstr>
      <vt:lpstr>Charts</vt:lpstr>
      <vt:lpstr>GUOT</vt:lpstr>
      <vt:lpstr>sessions pivot</vt:lpstr>
      <vt:lpstr>dominos_sessions_for_dragging_a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2026-04-13T14:10:20Z</dcterms:created>
  <dcterms:modified xsi:type="dcterms:W3CDTF">2026-04-13T14:17:18Z</dcterms:modified>
</cp:coreProperties>
</file>