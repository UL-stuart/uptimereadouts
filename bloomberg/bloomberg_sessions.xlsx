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bloomberg/"/>
    </mc:Choice>
  </mc:AlternateContent>
  <xr:revisionPtr revIDLastSave="0" documentId="13_ncr:9_{53BB3744-3ED1-294B-8893-47CF4ADC7711}" xr6:coauthVersionLast="47" xr6:coauthVersionMax="47" xr10:uidLastSave="{00000000-0000-0000-0000-000000000000}"/>
  <bookViews>
    <workbookView xWindow="3480" yWindow="2680" windowWidth="27640" windowHeight="16680" activeTab="1" xr2:uid="{4D487595-EF54-BF43-839D-1B803EF54C07}"/>
  </bookViews>
  <sheets>
    <sheet name="airtable pivot" sheetId="4" r:id="rId1"/>
    <sheet name="Charts" sheetId="5" r:id="rId2"/>
    <sheet name="Airtable" sheetId="3" r:id="rId3"/>
    <sheet name="sessions pivot" sheetId="2" r:id="rId4"/>
    <sheet name="bloomberg_sessions" sheetId="1" r:id="rId5"/>
  </sheets>
  <calcPr calcId="191029"/>
  <pivotCaches>
    <pivotCache cacheId="8" r:id="rId6"/>
    <pivotCache cacheId="1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" i="1"/>
</calcChain>
</file>

<file path=xl/sharedStrings.xml><?xml version="1.0" encoding="utf-8"?>
<sst xmlns="http://schemas.openxmlformats.org/spreadsheetml/2006/main" count="387" uniqueCount="160">
  <si>
    <t>session_start</t>
  </si>
  <si>
    <t>day_of_week</t>
  </si>
  <si>
    <t>duration</t>
  </si>
  <si>
    <t>level</t>
  </si>
  <si>
    <t>name</t>
  </si>
  <si>
    <t>player</t>
  </si>
  <si>
    <t>completion_status</t>
  </si>
  <si>
    <t>identify_scope</t>
  </si>
  <si>
    <t>incident_mechanics</t>
  </si>
  <si>
    <t>external_comms</t>
  </si>
  <si>
    <t>internal_comms</t>
  </si>
  <si>
    <t>commanding_the_incident</t>
  </si>
  <si>
    <t>Complexity: Ambiguous cues (multiple alternatives)</t>
  </si>
  <si>
    <t>Complexity: Attention Demands</t>
  </si>
  <si>
    <t>Complexity: Conflicting Advice</t>
  </si>
  <si>
    <t>Complexity: Decreased access to team members</t>
  </si>
  <si>
    <t>Complexity: Distributed information across individuals/organiza</t>
  </si>
  <si>
    <t>Complexity: Doublebind situations (dilemmas)</t>
  </si>
  <si>
    <t>Complexity: False prime explanations (garden path)</t>
  </si>
  <si>
    <t>Complexity: Hidden coupling (effects at a distance; cascading e</t>
  </si>
  <si>
    <t>Complexity: Implied relationship (red herring)</t>
  </si>
  <si>
    <t>Complexity: Interdependencies amongst roles (someone needs some</t>
  </si>
  <si>
    <t>Complexity: Lack of predefined plan</t>
  </si>
  <si>
    <t>Complexity: Misleading indicators (low predictive value)</t>
  </si>
  <si>
    <t>Complexity: Mismatch between prede fined plans or procedures an</t>
  </si>
  <si>
    <t>Complexity: Missing Information</t>
  </si>
  <si>
    <t>Complexity: Multi Party Dilema</t>
  </si>
  <si>
    <t>Complexity: Multiple simultaneous influences (more than one exp</t>
  </si>
  <si>
    <t>Complexity: Multiple simultaneous influences (multiple explanat</t>
  </si>
  <si>
    <t>Complexity: Saturation</t>
  </si>
  <si>
    <t>Complexity: Simultaneous seperate issues</t>
  </si>
  <si>
    <t>Complexity: Stakeholder Interference</t>
  </si>
  <si>
    <t>Complexity: Stereotype violations (not the usual suspect)</t>
  </si>
  <si>
    <t>Complexity: Stress or fatigue</t>
  </si>
  <si>
    <t>Complexity: Uncertain information (unreliable data)</t>
  </si>
  <si>
    <t>Complexity: Unintended effects (managing side effects)</t>
  </si>
  <si>
    <t>Complexity: Absence of strong signals (no alarms, no threshold</t>
  </si>
  <si>
    <t>max</t>
  </si>
  <si>
    <t>Category: Detecting</t>
  </si>
  <si>
    <t>Category: Sensemaking</t>
  </si>
  <si>
    <t>Category: Planning</t>
  </si>
  <si>
    <t>Category: Deciding</t>
  </si>
  <si>
    <t>Category: Coordination</t>
  </si>
  <si>
    <t>Category: Executing</t>
  </si>
  <si>
    <t>2026-01-21 00:00:00.000 +0000</t>
  </si>
  <si>
    <t>Wednesday</t>
  </si>
  <si>
    <t>Too Good To Be True</t>
  </si>
  <si>
    <t>s.sasi</t>
  </si>
  <si>
    <t>COMPLETED</t>
  </si>
  <si>
    <t>-</t>
  </si>
  <si>
    <t>2026-01-23 00:00:00.000 +0000</t>
  </si>
  <si>
    <t xml:space="preserve">Friday   </t>
  </si>
  <si>
    <t>cflounders</t>
  </si>
  <si>
    <t>stuck2</t>
  </si>
  <si>
    <t>2026-01-27 00:00:00.000 +0000</t>
  </si>
  <si>
    <t xml:space="preserve">Tuesday  </t>
  </si>
  <si>
    <t>Bezs Beatles Day! V2</t>
  </si>
  <si>
    <t>kdanjo</t>
  </si>
  <si>
    <t>2026-01-28 00:00:00.000 +0000</t>
  </si>
  <si>
    <t>Discount Disaster</t>
  </si>
  <si>
    <t>eschulman6</t>
  </si>
  <si>
    <t>2026-01-30 00:00:00.000 +0000</t>
  </si>
  <si>
    <t>utopkara</t>
  </si>
  <si>
    <t>2026-02-02 00:00:00.000 +0000</t>
  </si>
  <si>
    <t xml:space="preserve">Monday   </t>
  </si>
  <si>
    <t>Bezs Beatles Day!</t>
  </si>
  <si>
    <t>lspesshardt</t>
  </si>
  <si>
    <t>2026-02-03 00:00:00.000 +0000</t>
  </si>
  <si>
    <t>aho271</t>
  </si>
  <si>
    <t>OUT_OF_TIME</t>
  </si>
  <si>
    <t>2026-02-04 00:00:00.000 +0000</t>
  </si>
  <si>
    <t>2026-02-06 00:00:00.000 +0000</t>
  </si>
  <si>
    <t>DEFCON 1</t>
  </si>
  <si>
    <t>2026-02-13 00:00:00.000 +0000</t>
  </si>
  <si>
    <t>Discount Disaster Workshop</t>
  </si>
  <si>
    <t>The Unknown Unknown</t>
  </si>
  <si>
    <t>2026-02-20 00:00:00.000 +0000</t>
  </si>
  <si>
    <t>2026-02-23 00:00:00.000 +0000</t>
  </si>
  <si>
    <t>2026-02-24 00:00:00.000 +0000</t>
  </si>
  <si>
    <t>2026-02-27 00:00:00.000 +0000</t>
  </si>
  <si>
    <t>2026-03-03 00:00:00.000 +0000</t>
  </si>
  <si>
    <t>2026-03-04 00:00:00.000 +0000</t>
  </si>
  <si>
    <t>month</t>
  </si>
  <si>
    <t>Count of session_start</t>
  </si>
  <si>
    <t>Row Labels</t>
  </si>
  <si>
    <t>Grand Total</t>
  </si>
  <si>
    <t>Commanding The Incident</t>
  </si>
  <si>
    <t>Internal Comms</t>
  </si>
  <si>
    <t>External Comms</t>
  </si>
  <si>
    <t>Incident Mechanics</t>
  </si>
  <si>
    <t>Identify Scope</t>
  </si>
  <si>
    <t>Session Count</t>
  </si>
  <si>
    <t>Attended</t>
  </si>
  <si>
    <t>No Score</t>
  </si>
  <si>
    <t>Karan</t>
  </si>
  <si>
    <t>Joe</t>
  </si>
  <si>
    <t>Demo,Team Drill,Defcon1</t>
  </si>
  <si>
    <t>6, 1</t>
  </si>
  <si>
    <t>Bloomberg (Pilot)</t>
  </si>
  <si>
    <t>Eugene,Nitin</t>
  </si>
  <si>
    <t>Rishi</t>
  </si>
  <si>
    <t>5, 1</t>
  </si>
  <si>
    <t>Stephen,John</t>
  </si>
  <si>
    <t>Was late for 20mins. Got held up last minute.</t>
  </si>
  <si>
    <t>Demo,Unknown Unknown</t>
  </si>
  <si>
    <t>Umut</t>
  </si>
  <si>
    <t>Demo,Discount Disaster</t>
  </si>
  <si>
    <t>Leo</t>
  </si>
  <si>
    <t>Unknown Unknown,Demo</t>
  </si>
  <si>
    <t>Stephen</t>
  </si>
  <si>
    <t>Internal Reschedule/Cancellation</t>
  </si>
  <si>
    <t>Demo</t>
  </si>
  <si>
    <t>Sreejit</t>
  </si>
  <si>
    <t>Eugene</t>
  </si>
  <si>
    <t>Christine</t>
  </si>
  <si>
    <t>Off sick</t>
  </si>
  <si>
    <t>Cancelled</t>
  </si>
  <si>
    <t>Matthew</t>
  </si>
  <si>
    <t>na</t>
  </si>
  <si>
    <t xml:space="preserve">Exercise made me realize importance of bringing all hands on deck .
The initial intro givs awas a lot of info - I felt really good, i can feel this kidn of drill can be really usefull to junior engineers .
I did handle the situation well- i can absolutely see more junion engineer would be more enthusuatics .
Why not 10 &gt;? : Something that would , kind of stress the muscle of what to expect , repetition of what i have done before - One inc recently , Issue is not as simple , when issue involved irreversible, really haev to make hard decisions at once .
Work with people , what can be done, consequences . 
These tools are usefull for more juniors to come upto a level </t>
  </si>
  <si>
    <t>Demo,Defcon1</t>
  </si>
  <si>
    <t>Surprisingly stressful even though I knew it's not a real issue! Having to keep on top of the various technical resources, the customer experience as well the demanding CEO.</t>
  </si>
  <si>
    <t>next drill at end of feb - team drill with him watching others would be good</t>
  </si>
  <si>
    <t>Stuart</t>
  </si>
  <si>
    <t>Demo,Onboarding,Bez Beatles Day</t>
  </si>
  <si>
    <t>Feedback on drill : GUOT 6 :
Surpirise: The character were responsive to my notes and nice experience overall
Learnign : Good learning experience for the tools availble towards IM in a simulation</t>
  </si>
  <si>
    <t>Demo,Too Good To Be True</t>
  </si>
  <si>
    <t>Notes for next drill (i also stick this on airtable)discuss usage/cadence for senior like himself (he covers this in the retro part)show more data on behaviours - but try to keep it constructive (not RAG/judgement)Next drill - i want to have a slide on the drill design (similar to the ones we share in the workshop)</t>
  </si>
  <si>
    <t>This is extremely valuable . After reviewing , When i look at logs - we could have identified the pattern is a great attention to detail .</t>
  </si>
  <si>
    <t>He is still travelling in train due to heavy snowfall the train got delayed by 2 hours</t>
  </si>
  <si>
    <t>Rescheduled</t>
  </si>
  <si>
    <t>Ask them for their next availability</t>
  </si>
  <si>
    <t>4, 6</t>
  </si>
  <si>
    <t>Umut,Eugene</t>
  </si>
  <si>
    <t>5, 3, 3</t>
  </si>
  <si>
    <t>Stephen,Sreejit,Christine</t>
  </si>
  <si>
    <t>Notes for Mildred</t>
  </si>
  <si>
    <t>Testimonials</t>
  </si>
  <si>
    <t>Technical Issue Reason</t>
  </si>
  <si>
    <t>Technical Issues</t>
  </si>
  <si>
    <t>INC #</t>
  </si>
  <si>
    <t>Attendance Reason</t>
  </si>
  <si>
    <t>Attendance</t>
  </si>
  <si>
    <t>Session Reprocessed</t>
  </si>
  <si>
    <t>Data Reviewed</t>
  </si>
  <si>
    <t>Changes Required</t>
  </si>
  <si>
    <t>Session ID</t>
  </si>
  <si>
    <t>Score Notes</t>
  </si>
  <si>
    <t>GUOT</t>
  </si>
  <si>
    <t>Session Notes</t>
  </si>
  <si>
    <t>Star Guru</t>
  </si>
  <si>
    <t>Lead</t>
  </si>
  <si>
    <t>AI</t>
  </si>
  <si>
    <t>Session Plan</t>
  </si>
  <si>
    <t>Sessions Done</t>
  </si>
  <si>
    <t>Company</t>
  </si>
  <si>
    <t>Name</t>
  </si>
  <si>
    <t>Time</t>
  </si>
  <si>
    <t>Date</t>
  </si>
  <si>
    <t>Average of GUOT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</si>
</sst>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1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8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[bloomberg_sessions.xlsx]airtable 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'airtable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'airtable pivot'!$A$4:$A$6</c:f>
              <c:strCache>
                <c:ptCount val="2"/>
                <c:pt idx="0">
                  <c:v>01/01/2026</c:v>
                </c:pt>
                <c:pt idx="1">
                  <c:v>01/02/2026</c:v>
                </c:pt>
              </c:strCache>
            </c:strRef>
          </c:cat>
          <c:val>
            <c:numRef>
              <c:f>'airtable pivot'!$B$4:$B$6</c:f>
              <c:numCache>
                <c:formatCode>General</c:formatCode>
                <c:ptCount val="2"/>
                <c:pt idx="0">
                  <c:v>8.5</c:v>
                </c:pt>
                <c:pt idx="1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B-F94F-8E47-9D5324E5C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523584"/>
        <c:axId val="1045956800"/>
      </c:lineChart>
      <c:catAx>
        <c:axId val="8005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56800"/>
        <c:crosses val="autoZero"/>
        <c:auto val="1"/>
        <c:lblAlgn val="ctr"/>
        <c:lblOffset val="100"/>
        <c:noMultiLvlLbl val="0"/>
      </c:catAx>
      <c:valAx>
        <c:axId val="104595680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[bloomberg_sessions.xlsx]airtable 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GUOT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'airtable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'airtable pivot'!$A$4:$A$6</c:f>
              <c:strCache>
                <c:ptCount val="2"/>
                <c:pt idx="0">
                  <c:v>01/01/2026</c:v>
                </c:pt>
                <c:pt idx="1">
                  <c:v>01/02/2026</c:v>
                </c:pt>
              </c:strCache>
            </c:strRef>
          </c:cat>
          <c:val>
            <c:numRef>
              <c:f>'airtable pivot'!$B$4:$B$6</c:f>
              <c:numCache>
                <c:formatCode>General</c:formatCode>
                <c:ptCount val="2"/>
                <c:pt idx="0">
                  <c:v>8.5</c:v>
                </c:pt>
                <c:pt idx="1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5-6C4B-A8DB-51309C2E1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0523584"/>
        <c:axId val="1045956800"/>
      </c:lineChart>
      <c:catAx>
        <c:axId val="80052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56800"/>
        <c:crosses val="autoZero"/>
        <c:auto val="1"/>
        <c:lblAlgn val="ctr"/>
        <c:lblOffset val="100"/>
        <c:noMultiLvlLbl val="0"/>
      </c:catAx>
      <c:valAx>
        <c:axId val="104595680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523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[bloomberg_sessions.xlsx]sessions 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  <a:r>
              <a:rPr lang="en-US" baseline="0"/>
              <a:t> by Player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pivot'!$A$4:$A$12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pivot'!$B$4:$B$12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2-3842-BF15-8351744CD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077824"/>
        <c:axId val="928492928"/>
      </c:barChart>
      <c:catAx>
        <c:axId val="10120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92928"/>
        <c:crosses val="autoZero"/>
        <c:auto val="1"/>
        <c:lblAlgn val="ctr"/>
        <c:lblOffset val="100"/>
        <c:noMultiLvlLbl val="0"/>
      </c:catAx>
      <c:valAx>
        <c:axId val="9284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7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pivot'!$B$34</c:f>
              <c:strCache>
                <c:ptCount val="1"/>
                <c:pt idx="0">
                  <c:v>Commanding The Incident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81-B146-815D-90CE2D9F654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81-B146-815D-90CE2D9F654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81-B146-815D-90CE2D9F654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81-B146-815D-90CE2D9F654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81-B146-815D-90CE2D9F654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81-B146-815D-90CE2D9F654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81-B146-815D-90CE2D9F654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981-B146-815D-90CE2D9F6540}"/>
              </c:ext>
            </c:extLst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pivot'!$B$35:$B$42</c:f>
              <c:numCache>
                <c:formatCode>0%</c:formatCode>
                <c:ptCount val="8"/>
                <c:pt idx="0">
                  <c:v>9.0909090909090898E-2</c:v>
                </c:pt>
                <c:pt idx="1">
                  <c:v>0.40909090909090851</c:v>
                </c:pt>
                <c:pt idx="2">
                  <c:v>0.18181818181818143</c:v>
                </c:pt>
                <c:pt idx="3">
                  <c:v>0.22727272727272693</c:v>
                </c:pt>
                <c:pt idx="4">
                  <c:v>0.18181818181818157</c:v>
                </c:pt>
                <c:pt idx="5">
                  <c:v>0.33333333333333265</c:v>
                </c:pt>
                <c:pt idx="6">
                  <c:v>6.8181818181817969E-2</c:v>
                </c:pt>
                <c:pt idx="7">
                  <c:v>0.25454545454545396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981-B146-815D-90CE2D9F6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pivot'!$C$34</c:f>
              <c:strCache>
                <c:ptCount val="1"/>
                <c:pt idx="0">
                  <c:v>Internal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A1-AB41-843F-C538222334B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A1-AB41-843F-C538222334B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A1-AB41-843F-C538222334B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CA1-AB41-843F-C538222334B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CA1-AB41-843F-C538222334B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CA1-AB41-843F-C538222334B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CA1-AB41-843F-C538222334B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A1-AB41-843F-C538222334B4}"/>
              </c:ext>
            </c:extLst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pivot'!$C$35:$C$42</c:f>
              <c:numCache>
                <c:formatCode>0%</c:formatCode>
                <c:ptCount val="8"/>
                <c:pt idx="0">
                  <c:v>0.133333333333333</c:v>
                </c:pt>
                <c:pt idx="1">
                  <c:v>0.53333333333333299</c:v>
                </c:pt>
                <c:pt idx="2">
                  <c:v>0.266666666666666</c:v>
                </c:pt>
                <c:pt idx="3">
                  <c:v>0.39999999999999947</c:v>
                </c:pt>
                <c:pt idx="4">
                  <c:v>0.33333333333333298</c:v>
                </c:pt>
                <c:pt idx="5">
                  <c:v>0.39999999999999963</c:v>
                </c:pt>
                <c:pt idx="6">
                  <c:v>0.21666666666666651</c:v>
                </c:pt>
                <c:pt idx="7">
                  <c:v>0.49333333333333301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CA1-AB41-843F-C5382223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pivot'!$D$34</c:f>
              <c:strCache>
                <c:ptCount val="1"/>
                <c:pt idx="0">
                  <c:v>External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73-5E47-B9DC-E107122493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73-5E47-B9DC-E107122493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73-5E47-B9DC-E107122493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173-5E47-B9DC-E1071224931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73-5E47-B9DC-E1071224931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173-5E47-B9DC-E1071224931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173-5E47-B9DC-E1071224931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173-5E47-B9DC-E1071224931D}"/>
              </c:ext>
            </c:extLst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pivot'!$D$35:$D$42</c:f>
              <c:numCache>
                <c:formatCode>0%</c:formatCode>
                <c:ptCount val="8"/>
                <c:pt idx="0">
                  <c:v>0</c:v>
                </c:pt>
                <c:pt idx="1">
                  <c:v>0.58333333333333304</c:v>
                </c:pt>
                <c:pt idx="2">
                  <c:v>0.5</c:v>
                </c:pt>
                <c:pt idx="3">
                  <c:v>0.58333333333333304</c:v>
                </c:pt>
                <c:pt idx="4">
                  <c:v>5.555555555555533E-2</c:v>
                </c:pt>
                <c:pt idx="5">
                  <c:v>0.38888888888888834</c:v>
                </c:pt>
                <c:pt idx="6">
                  <c:v>0.49999999999999944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173-5E47-B9DC-E10712249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pivot'!$E$34</c:f>
              <c:strCache>
                <c:ptCount val="1"/>
                <c:pt idx="0">
                  <c:v>Incident Mechanics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8-1D4F-93F1-A0BB8FF66F4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8-1D4F-93F1-A0BB8FF66F4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8-1D4F-93F1-A0BB8FF66F4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8-1D4F-93F1-A0BB8FF66F4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8-1D4F-93F1-A0BB8FF66F4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8-1D4F-93F1-A0BB8FF66F4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8-1D4F-93F1-A0BB8FF66F4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8-1D4F-93F1-A0BB8FF66F46}"/>
              </c:ext>
            </c:extLst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pivot'!$E$35:$E$42</c:f>
              <c:numCache>
                <c:formatCode>0%</c:formatCode>
                <c:ptCount val="8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0.5</c:v>
                </c:pt>
                <c:pt idx="6">
                  <c:v>0.75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0F8-1D4F-93F1-A0BB8FF66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pivot'!$F$34</c:f>
              <c:strCache>
                <c:ptCount val="1"/>
                <c:pt idx="0">
                  <c:v>Identify Scope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C-9443-9075-C7F621A156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C-9443-9075-C7F621A156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4C-9443-9075-C7F621A1569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4C-9443-9075-C7F621A1569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4C-9443-9075-C7F621A1569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4C-9443-9075-C7F621A1569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4C-9443-9075-C7F621A1569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4C-9443-9075-C7F621A15691}"/>
              </c:ext>
            </c:extLst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pivot'!$F$35:$F$42</c:f>
              <c:numCache>
                <c:formatCode>0%</c:formatCode>
                <c:ptCount val="8"/>
                <c:pt idx="0">
                  <c:v>0.44444444444444398</c:v>
                </c:pt>
                <c:pt idx="1">
                  <c:v>0.38888888888888851</c:v>
                </c:pt>
                <c:pt idx="2">
                  <c:v>0.44444444444444398</c:v>
                </c:pt>
                <c:pt idx="3">
                  <c:v>0.44444444444444398</c:v>
                </c:pt>
                <c:pt idx="4">
                  <c:v>0.407407407407407</c:v>
                </c:pt>
                <c:pt idx="5">
                  <c:v>0.48148148148148096</c:v>
                </c:pt>
                <c:pt idx="6">
                  <c:v>0.4999999999999995</c:v>
                </c:pt>
                <c:pt idx="7">
                  <c:v>0.59999999999999942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4C-9443-9075-C7F621A15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pivot'!$G$34</c:f>
              <c:strCache>
                <c:ptCount val="1"/>
                <c:pt idx="0">
                  <c:v>Session Count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22-7349-9C6D-4409E8BAD9D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C22-7349-9C6D-4409E8BAD9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C22-7349-9C6D-4409E8BAD9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C22-7349-9C6D-4409E8BAD9D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C22-7349-9C6D-4409E8BAD9D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C22-7349-9C6D-4409E8BAD9D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C22-7349-9C6D-4409E8BAD9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C22-7349-9C6D-4409E8BAD9D2}"/>
              </c:ext>
            </c:extLst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pivot'!$G$35:$G$42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22-7349-9C6D-4409E8BA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[bloomberg_sessions.xlsx]sessions pivot!PivotTable1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Sessions</a:t>
            </a:r>
            <a:r>
              <a:rPr lang="en-US" baseline="0"/>
              <a:t> by Player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pivot'!$A$4:$A$12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pivot'!$B$4:$B$12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2-7442-BCC7-24F5435E7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077824"/>
        <c:axId val="928492928"/>
      </c:barChart>
      <c:catAx>
        <c:axId val="10120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92928"/>
        <c:crosses val="autoZero"/>
        <c:auto val="1"/>
        <c:lblAlgn val="ctr"/>
        <c:lblOffset val="100"/>
        <c:noMultiLvlLbl val="0"/>
      </c:catAx>
      <c:valAx>
        <c:axId val="9284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7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pivot'!$B$34</c:f>
              <c:strCache>
                <c:ptCount val="1"/>
                <c:pt idx="0">
                  <c:v>Commanding The Incident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pivot'!$B$35:$B$42</c:f>
              <c:numCache>
                <c:formatCode>0%</c:formatCode>
                <c:ptCount val="8"/>
                <c:pt idx="0">
                  <c:v>9.0909090909090898E-2</c:v>
                </c:pt>
                <c:pt idx="1">
                  <c:v>0.40909090909090851</c:v>
                </c:pt>
                <c:pt idx="2">
                  <c:v>0.18181818181818143</c:v>
                </c:pt>
                <c:pt idx="3">
                  <c:v>0.22727272727272693</c:v>
                </c:pt>
                <c:pt idx="4">
                  <c:v>0.18181818181818157</c:v>
                </c:pt>
                <c:pt idx="5">
                  <c:v>0.33333333333333265</c:v>
                </c:pt>
                <c:pt idx="6">
                  <c:v>6.8181818181817969E-2</c:v>
                </c:pt>
                <c:pt idx="7">
                  <c:v>0.25454545454545396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A-884E-AFCF-15E204BC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pivot'!$C$34</c:f>
              <c:strCache>
                <c:ptCount val="1"/>
                <c:pt idx="0">
                  <c:v>Internal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pivot'!$C$35:$C$42</c:f>
              <c:numCache>
                <c:formatCode>0%</c:formatCode>
                <c:ptCount val="8"/>
                <c:pt idx="0">
                  <c:v>0.133333333333333</c:v>
                </c:pt>
                <c:pt idx="1">
                  <c:v>0.53333333333333299</c:v>
                </c:pt>
                <c:pt idx="2">
                  <c:v>0.266666666666666</c:v>
                </c:pt>
                <c:pt idx="3">
                  <c:v>0.39999999999999947</c:v>
                </c:pt>
                <c:pt idx="4">
                  <c:v>0.33333333333333298</c:v>
                </c:pt>
                <c:pt idx="5">
                  <c:v>0.39999999999999963</c:v>
                </c:pt>
                <c:pt idx="6">
                  <c:v>0.21666666666666651</c:v>
                </c:pt>
                <c:pt idx="7">
                  <c:v>0.49333333333333301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A-884E-AFCF-15E204BC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pivot'!$D$34</c:f>
              <c:strCache>
                <c:ptCount val="1"/>
                <c:pt idx="0">
                  <c:v>External Comms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pivot'!$D$35:$D$42</c:f>
              <c:numCache>
                <c:formatCode>0%</c:formatCode>
                <c:ptCount val="8"/>
                <c:pt idx="0">
                  <c:v>0</c:v>
                </c:pt>
                <c:pt idx="1">
                  <c:v>0.58333333333333304</c:v>
                </c:pt>
                <c:pt idx="2">
                  <c:v>0.5</c:v>
                </c:pt>
                <c:pt idx="3">
                  <c:v>0.58333333333333304</c:v>
                </c:pt>
                <c:pt idx="4">
                  <c:v>5.555555555555533E-2</c:v>
                </c:pt>
                <c:pt idx="5">
                  <c:v>0.38888888888888834</c:v>
                </c:pt>
                <c:pt idx="6">
                  <c:v>0.49999999999999944</c:v>
                </c:pt>
                <c:pt idx="7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A-884E-AFCF-15E204BC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pivot'!$E$34</c:f>
              <c:strCache>
                <c:ptCount val="1"/>
                <c:pt idx="0">
                  <c:v>Incident Mechanics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pivot'!$E$35:$E$42</c:f>
              <c:numCache>
                <c:formatCode>0%</c:formatCode>
                <c:ptCount val="8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  <c:pt idx="4">
                  <c:v>0</c:v>
                </c:pt>
                <c:pt idx="5">
                  <c:v>0.5</c:v>
                </c:pt>
                <c:pt idx="6">
                  <c:v>0.75</c:v>
                </c:pt>
                <c:pt idx="7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A-884E-AFCF-15E204BC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pivot'!$F$34</c:f>
              <c:strCache>
                <c:ptCount val="1"/>
                <c:pt idx="0">
                  <c:v>Identify Scope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pivot'!$F$35:$F$42</c:f>
              <c:numCache>
                <c:formatCode>0%</c:formatCode>
                <c:ptCount val="8"/>
                <c:pt idx="0">
                  <c:v>0.44444444444444398</c:v>
                </c:pt>
                <c:pt idx="1">
                  <c:v>0.38888888888888851</c:v>
                </c:pt>
                <c:pt idx="2">
                  <c:v>0.44444444444444398</c:v>
                </c:pt>
                <c:pt idx="3">
                  <c:v>0.44444444444444398</c:v>
                </c:pt>
                <c:pt idx="4">
                  <c:v>0.407407407407407</c:v>
                </c:pt>
                <c:pt idx="5">
                  <c:v>0.48148148148148096</c:v>
                </c:pt>
                <c:pt idx="6">
                  <c:v>0.4999999999999995</c:v>
                </c:pt>
                <c:pt idx="7">
                  <c:v>0.59999999999999942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A-884E-AFCF-15E204BC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'sessions pivot'!$G$34</c:f>
              <c:strCache>
                <c:ptCount val="1"/>
                <c:pt idx="0">
                  <c:v>Session Count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'sessions pivot'!$A$35:$A$42</c:f>
              <c:strCache>
                <c:ptCount val="8"/>
                <c:pt idx="0">
                  <c:v>aho271</c:v>
                </c:pt>
                <c:pt idx="1">
                  <c:v>cflounders</c:v>
                </c:pt>
                <c:pt idx="2">
                  <c:v>utopkara</c:v>
                </c:pt>
                <c:pt idx="3">
                  <c:v>s.sasi</c:v>
                </c:pt>
                <c:pt idx="4">
                  <c:v>kdanjo</c:v>
                </c:pt>
                <c:pt idx="5">
                  <c:v>stuck2</c:v>
                </c:pt>
                <c:pt idx="6">
                  <c:v>lspesshardt</c:v>
                </c:pt>
                <c:pt idx="7">
                  <c:v>eschulman6</c:v>
                </c:pt>
              </c:strCache>
            </c:strRef>
          </c:cat>
          <c:val>
            <c:numRef>
              <c:f>'sessions pivot'!$G$35:$G$42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A-884E-AFCF-15E204BC3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56064"/>
        <c:axId val="798788672"/>
      </c:barChart>
      <c:catAx>
        <c:axId val="102085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788672"/>
        <c:crosses val="autoZero"/>
        <c:auto val="1"/>
        <c:lblAlgn val="ctr"/>
        <c:lblOffset val="100"/>
        <c:noMultiLvlLbl val="0"/>
      </c:catAx>
      <c:valAx>
        <c:axId val="79878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85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800100</xdr:colOff>
      <xdr:row>6</xdr:row>
      <xdr:rowOff>31750</xdr:rowOff>
    </xdr:from>
    <xdr:to>
      <xdr:col>9</xdr:col>
      <xdr:colOff>419100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E5BFB-BD8D-949F-1CBA-609BF5021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787400</xdr:colOff>
      <xdr:row>0</xdr:row>
      <xdr:rowOff>139700</xdr:rowOff>
    </xdr:from>
    <xdr:to>
      <xdr:col>14</xdr:col>
      <xdr:colOff>406400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5EF57-086C-8742-BAE6-1F9F99C64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215900</xdr:colOff>
      <xdr:row>0</xdr:row>
      <xdr:rowOff>127000</xdr:rowOff>
    </xdr:from>
    <xdr:to>
      <xdr:col>8</xdr:col>
      <xdr:colOff>101600</xdr:colOff>
      <xdr:row>14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B3B181-F8DE-2240-A89C-0F15C42CD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406400</xdr:colOff>
      <xdr:row>15</xdr:row>
      <xdr:rowOff>165100</xdr:rowOff>
    </xdr:from>
    <xdr:to>
      <xdr:col>5</xdr:col>
      <xdr:colOff>196850</xdr:colOff>
      <xdr:row>29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66C44C-E249-534F-8BD7-939F9F48B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165100</xdr:colOff>
      <xdr:row>15</xdr:row>
      <xdr:rowOff>152400</xdr:rowOff>
    </xdr:from>
    <xdr:to>
      <xdr:col>9</xdr:col>
      <xdr:colOff>781050</xdr:colOff>
      <xdr:row>29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675AA2-6D4E-7C4E-B263-998235C55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552450</xdr:colOff>
      <xdr:row>30</xdr:row>
      <xdr:rowOff>25400</xdr:rowOff>
    </xdr:from>
    <xdr:to>
      <xdr:col>5</xdr:col>
      <xdr:colOff>95250</xdr:colOff>
      <xdr:row>43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B8FB9C4-FAD7-4649-BE0E-3B9B0550C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190500</xdr:colOff>
      <xdr:row>30</xdr:row>
      <xdr:rowOff>25400</xdr:rowOff>
    </xdr:from>
    <xdr:to>
      <xdr:col>9</xdr:col>
      <xdr:colOff>806450</xdr:colOff>
      <xdr:row>43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1922C0-8A9E-5349-94AA-E9849F5BD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666750</xdr:colOff>
      <xdr:row>44</xdr:row>
      <xdr:rowOff>12700</xdr:rowOff>
    </xdr:from>
    <xdr:to>
      <xdr:col>5</xdr:col>
      <xdr:colOff>177800</xdr:colOff>
      <xdr:row>58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7C99E1-3EFF-214E-8803-9390BF960F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190500</xdr:colOff>
      <xdr:row>44</xdr:row>
      <xdr:rowOff>127000</xdr:rowOff>
    </xdr:from>
    <xdr:to>
      <xdr:col>9</xdr:col>
      <xdr:colOff>787400</xdr:colOff>
      <xdr:row>58</xdr:row>
      <xdr:rowOff>88900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201CE8-0C8E-3742-B89D-64F7771A2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0</xdr:row>
      <xdr:rowOff>114300</xdr:rowOff>
    </xdr:from>
    <xdr:to>
      <xdr:col>8</xdr:col>
      <xdr:colOff>177800</xdr:colOff>
      <xdr:row>14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962807-9018-8B73-D73A-492B5C5E2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565150</xdr:colOff>
      <xdr:row>30</xdr:row>
      <xdr:rowOff>165100</xdr:rowOff>
    </xdr:from>
    <xdr:to>
      <xdr:col>12</xdr:col>
      <xdr:colOff>355600</xdr:colOff>
      <xdr:row>44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334A5-DF4E-F368-7C3F-79B206297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323850</xdr:colOff>
      <xdr:row>30</xdr:row>
      <xdr:rowOff>152400</xdr:rowOff>
    </xdr:from>
    <xdr:to>
      <xdr:col>17</xdr:col>
      <xdr:colOff>114300</xdr:colOff>
      <xdr:row>44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A0D2CB-BFCB-5A3D-C08C-E5983739A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596900</xdr:colOff>
      <xdr:row>45</xdr:row>
      <xdr:rowOff>101600</xdr:rowOff>
    </xdr:from>
    <xdr:to>
      <xdr:col>12</xdr:col>
      <xdr:colOff>139700</xdr:colOff>
      <xdr:row>59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6890D0-A81B-8BA3-6B77-0E3E798F5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158750</xdr:colOff>
      <xdr:row>44</xdr:row>
      <xdr:rowOff>152400</xdr:rowOff>
    </xdr:from>
    <xdr:to>
      <xdr:col>16</xdr:col>
      <xdr:colOff>774700</xdr:colOff>
      <xdr:row>58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484257-0825-7053-961D-53761BDA2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622300</xdr:colOff>
      <xdr:row>59</xdr:row>
      <xdr:rowOff>177800</xdr:rowOff>
    </xdr:from>
    <xdr:to>
      <xdr:col>12</xdr:col>
      <xdr:colOff>139700</xdr:colOff>
      <xdr:row>73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9D5BFE-44C6-9F9F-8E18-361968579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298450</xdr:colOff>
      <xdr:row>59</xdr:row>
      <xdr:rowOff>190500</xdr:rowOff>
    </xdr:from>
    <xdr:to>
      <xdr:col>16</xdr:col>
      <xdr:colOff>457200</xdr:colOff>
      <xdr:row>73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FF248DD-BD52-73A1-EB08-20DC7323E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091.672715972221" createdVersion="8" refreshedVersion="8" minRefreshableVersion="3" recordCount="23" xr:uid="{044F948F-442A-3845-9CC1-1CEA2DD44428}">
  <cacheSource type="worksheet">
    <worksheetSource ref="A1:AS1048576" sheet="bloomberg_sessions"/>
  </cacheSource>
  <cacheFields count="45">
    <cacheField name="session_start" numFmtId="0">
      <sharedItems containsBlank="1"/>
    </cacheField>
    <cacheField name="month" numFmtId="0">
      <sharedItems containsNonDate="0" containsDate="1" containsString="0" containsBlank="1" minDate="2026-01-01T00:00:00" maxDate="2026-03-02T00:00:00"/>
    </cacheField>
    <cacheField name="day_of_week" numFmtId="0">
      <sharedItems containsBlank="1"/>
    </cacheField>
    <cacheField name="duration" numFmtId="0">
      <sharedItems containsNonDate="0" containsDate="1" containsString="0" containsBlank="1" minDate="1899-12-30T00:09:44" maxDate="1899-12-30T00:40:02"/>
    </cacheField>
    <cacheField name="level" numFmtId="0">
      <sharedItems containsString="0" containsBlank="1" containsNumber="1" containsInteger="1" minValue="5" maxValue="33"/>
    </cacheField>
    <cacheField name="name" numFmtId="0">
      <sharedItems containsBlank="1" count="8">
        <s v="Too Good To Be True"/>
        <s v="Bezs Beatles Day! V2"/>
        <s v="Discount Disaster"/>
        <s v="Bezs Beatles Day!"/>
        <s v="DEFCON 1"/>
        <s v="Discount Disaster Workshop"/>
        <s v="The Unknown Unknown"/>
        <m/>
      </sharedItems>
    </cacheField>
    <cacheField name="player" numFmtId="0">
      <sharedItems containsBlank="1" count="9">
        <s v="s.sasi"/>
        <s v="cflounders"/>
        <s v="stuck2"/>
        <s v="kdanjo"/>
        <s v="eschulman6"/>
        <s v="utopkara"/>
        <s v="lspesshardt"/>
        <s v="aho271"/>
        <m/>
      </sharedItems>
    </cacheField>
    <cacheField name="completion_status" numFmtId="0">
      <sharedItems containsBlank="1" count="3">
        <s v="COMPLETED"/>
        <s v="OUT_OF_TIME"/>
        <m/>
      </sharedItems>
    </cacheField>
    <cacheField name="identify_scope" numFmtId="0">
      <sharedItems containsString="0" containsBlank="1" containsNumber="1" minValue="0.22222222222222199" maxValue="0.88888888888888795"/>
    </cacheField>
    <cacheField name="incident_mechanics" numFmtId="0">
      <sharedItems containsString="0" containsBlank="1" containsNumber="1" minValue="0" maxValue="1"/>
    </cacheField>
    <cacheField name="external_comms" numFmtId="0">
      <sharedItems containsString="0" containsBlank="1" containsNumber="1" minValue="0" maxValue="0.66666666666666596"/>
    </cacheField>
    <cacheField name="internal_comms" numFmtId="0">
      <sharedItems containsString="0" containsBlank="1" containsNumber="1" minValue="0.133333333333333" maxValue="0.66666666666666596"/>
    </cacheField>
    <cacheField name="commanding_the_incident" numFmtId="0">
      <sharedItems containsString="0" containsBlank="1" containsNumber="1" minValue="0" maxValue="0.63636363636363602"/>
    </cacheField>
    <cacheField name="Complexity: Ambiguous cues (multiple alternatives)" numFmtId="0">
      <sharedItems containsString="0" containsBlank="1" containsNumber="1" containsInteger="1" minValue="0" maxValue="0"/>
    </cacheField>
    <cacheField name="Complexity: Attention Demands" numFmtId="0">
      <sharedItems containsString="0" containsBlank="1" containsNumber="1" containsInteger="1" minValue="0" maxValue="1"/>
    </cacheField>
    <cacheField name="Complexity: Conflicting Advice" numFmtId="0">
      <sharedItems containsString="0" containsBlank="1" containsNumber="1" containsInteger="1" minValue="0" maxValue="1"/>
    </cacheField>
    <cacheField name="Complexity: Decreased access to team members" numFmtId="0">
      <sharedItems containsString="0" containsBlank="1" containsNumber="1" containsInteger="1" minValue="0" maxValue="0"/>
    </cacheField>
    <cacheField name="Complexity: Distributed information across individuals/organiza" numFmtId="0">
      <sharedItems containsString="0" containsBlank="1" containsNumber="1" containsInteger="1" minValue="0" maxValue="0"/>
    </cacheField>
    <cacheField name="Complexity: Doublebind situations (dilemmas)" numFmtId="0">
      <sharedItems containsString="0" containsBlank="1" containsNumber="1" containsInteger="1" minValue="0" maxValue="1"/>
    </cacheField>
    <cacheField name="Complexity: False prime explanations (garden path)" numFmtId="0">
      <sharedItems containsString="0" containsBlank="1" containsNumber="1" containsInteger="1" minValue="0" maxValue="1"/>
    </cacheField>
    <cacheField name="Complexity: Hidden coupling (effects at a distance; cascading e" numFmtId="0">
      <sharedItems containsString="0" containsBlank="1" containsNumber="1" containsInteger="1" minValue="0" maxValue="0"/>
    </cacheField>
    <cacheField name="Complexity: Implied relationship (red herring)" numFmtId="0">
      <sharedItems containsString="0" containsBlank="1" containsNumber="1" containsInteger="1" minValue="0" maxValue="0"/>
    </cacheField>
    <cacheField name="Complexity: Interdependencies amongst roles (someone needs some" numFmtId="0">
      <sharedItems containsString="0" containsBlank="1" containsNumber="1" containsInteger="1" minValue="0" maxValue="0"/>
    </cacheField>
    <cacheField name="Complexity: Lack of predefined plan" numFmtId="0">
      <sharedItems containsString="0" containsBlank="1" containsNumber="1" containsInteger="1" minValue="0" maxValue="1"/>
    </cacheField>
    <cacheField name="Complexity: Misleading indicators (low predictive value)" numFmtId="0">
      <sharedItems containsString="0" containsBlank="1" containsNumber="1" containsInteger="1" minValue="0" maxValue="1"/>
    </cacheField>
    <cacheField name="Complexity: Mismatch between prede fined plans or procedures an" numFmtId="0">
      <sharedItems containsString="0" containsBlank="1" containsNumber="1" containsInteger="1" minValue="0" maxValue="0"/>
    </cacheField>
    <cacheField name="Complexity: Missing Information" numFmtId="0">
      <sharedItems containsString="0" containsBlank="1" containsNumber="1" containsInteger="1" minValue="0" maxValue="0"/>
    </cacheField>
    <cacheField name="Complexity: Multi Party Dilema" numFmtId="0">
      <sharedItems containsString="0" containsBlank="1" containsNumber="1" containsInteger="1" minValue="0" maxValue="0"/>
    </cacheField>
    <cacheField name="Complexity: Multiple simultaneous influences (more than one exp" numFmtId="0">
      <sharedItems containsString="0" containsBlank="1" containsNumber="1" containsInteger="1" minValue="0" maxValue="1"/>
    </cacheField>
    <cacheField name="Complexity: Multiple simultaneous influences (multiple explanat" numFmtId="0">
      <sharedItems containsString="0" containsBlank="1" containsNumber="1" containsInteger="1" minValue="0" maxValue="0"/>
    </cacheField>
    <cacheField name="Complexity: Saturation" numFmtId="0">
      <sharedItems containsString="0" containsBlank="1" containsNumber="1" containsInteger="1" minValue="0" maxValue="1"/>
    </cacheField>
    <cacheField name="Complexity: Simultaneous seperate issues" numFmtId="0">
      <sharedItems containsString="0" containsBlank="1" containsNumber="1" containsInteger="1" minValue="0" maxValue="0"/>
    </cacheField>
    <cacheField name="Complexity: Stakeholder Interference" numFmtId="0">
      <sharedItems containsString="0" containsBlank="1" containsNumber="1" containsInteger="1" minValue="0" maxValue="0"/>
    </cacheField>
    <cacheField name="Complexity: Stereotype violations (not the usual suspect)" numFmtId="0">
      <sharedItems containsString="0" containsBlank="1" containsNumber="1" containsInteger="1" minValue="0" maxValue="0"/>
    </cacheField>
    <cacheField name="Complexity: Stress or fatigue" numFmtId="0">
      <sharedItems containsString="0" containsBlank="1" containsNumber="1" containsInteger="1" minValue="0" maxValue="0"/>
    </cacheField>
    <cacheField name="Complexity: Uncertain information (unreliable data)" numFmtId="0">
      <sharedItems containsString="0" containsBlank="1" containsNumber="1" containsInteger="1" minValue="0" maxValue="1"/>
    </cacheField>
    <cacheField name="Complexity: Unintended effects (managing side effects)" numFmtId="0">
      <sharedItems containsString="0" containsBlank="1" containsNumber="1" containsInteger="1" minValue="0" maxValue="0"/>
    </cacheField>
    <cacheField name="Complexity: Absence of strong signals (no alarms, no threshold" numFmtId="0">
      <sharedItems containsString="0" containsBlank="1" containsNumber="1" containsInteger="1" minValue="0" maxValue="1"/>
    </cacheField>
    <cacheField name="max" numFmtId="0">
      <sharedItems containsBlank="1"/>
    </cacheField>
    <cacheField name="Category: Detecting" numFmtId="0">
      <sharedItems containsString="0" containsBlank="1" containsNumber="1" containsInteger="1" minValue="0" maxValue="1"/>
    </cacheField>
    <cacheField name="Category: Sensemaking" numFmtId="0">
      <sharedItems containsString="0" containsBlank="1" containsNumber="1" containsInteger="1" minValue="0" maxValue="2"/>
    </cacheField>
    <cacheField name="Category: Planning" numFmtId="0">
      <sharedItems containsString="0" containsBlank="1" containsNumber="1" containsInteger="1" minValue="0" maxValue="2"/>
    </cacheField>
    <cacheField name="Category: Deciding" numFmtId="0">
      <sharedItems containsString="0" containsBlank="1" containsNumber="1" containsInteger="1" minValue="0" maxValue="2"/>
    </cacheField>
    <cacheField name="Category: Coordination" numFmtId="0">
      <sharedItems containsString="0" containsBlank="1" containsNumber="1" containsInteger="1" minValue="0" maxValue="2"/>
    </cacheField>
    <cacheField name="Category: Executing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uart rimell" refreshedDate="46091.684936458332" createdVersion="8" refreshedVersion="8" minRefreshableVersion="3" recordCount="24" xr:uid="{E2FE21B9-7D79-3E4C-A077-732B420E952E}">
  <cacheSource type="worksheet">
    <worksheetSource ref="A1:X1048576" sheet="Airtable"/>
  </cacheSource>
  <cacheFields count="24">
    <cacheField name="Date" numFmtId="0">
      <sharedItems containsNonDate="0" containsDate="1" containsString="0" containsBlank="1" minDate="2026-01-20T00:00:00" maxDate="2026-03-05T00:00:00"/>
    </cacheField>
    <cacheField name="month" numFmtId="0">
      <sharedItems containsNonDate="0" containsDate="1" containsString="0" containsBlank="1" minDate="2026-01-01T00:00:00" maxDate="2026-03-02T00:00:00" count="4">
        <d v="2026-01-01T00:00:00"/>
        <d v="2026-02-01T00:00:00"/>
        <d v="2026-03-01T00:00:00"/>
        <m/>
      </sharedItems>
    </cacheField>
    <cacheField name="Time" numFmtId="0">
      <sharedItems containsNonDate="0" containsDate="1" containsString="0" containsBlank="1" minDate="1899-12-30T04:30:00" maxDate="1899-12-30T19:45:00"/>
    </cacheField>
    <cacheField name="Name" numFmtId="0">
      <sharedItems containsBlank="1"/>
    </cacheField>
    <cacheField name="Company" numFmtId="0">
      <sharedItems containsBlank="1"/>
    </cacheField>
    <cacheField name="Sessions Done" numFmtId="0">
      <sharedItems containsBlank="1" containsMixedTypes="1" containsNumber="1" containsInteger="1" minValue="2" maxValue="6"/>
    </cacheField>
    <cacheField name="Session Plan" numFmtId="0">
      <sharedItems containsBlank="1"/>
    </cacheField>
    <cacheField name="AI" numFmtId="0">
      <sharedItems containsNonDate="0" containsString="0" containsBlank="1"/>
    </cacheField>
    <cacheField name="Lead" numFmtId="0">
      <sharedItems containsBlank="1"/>
    </cacheField>
    <cacheField name="Star Guru" numFmtId="0">
      <sharedItems containsBlank="1"/>
    </cacheField>
    <cacheField name="Session Notes" numFmtId="0">
      <sharedItems containsBlank="1" longText="1"/>
    </cacheField>
    <cacheField name="GUOT" numFmtId="0">
      <sharedItems containsBlank="1" containsMixedTypes="1" containsNumber="1" containsInteger="1" minValue="5" maxValue="10"/>
    </cacheField>
    <cacheField name="Score Notes" numFmtId="0">
      <sharedItems containsBlank="1" longText="1"/>
    </cacheField>
    <cacheField name="Session ID" numFmtId="0">
      <sharedItems containsString="0" containsBlank="1" containsNumber="1" containsInteger="1" minValue="7542" maxValue="7656"/>
    </cacheField>
    <cacheField name="Changes Required" numFmtId="0">
      <sharedItems containsBlank="1"/>
    </cacheField>
    <cacheField name="Data Reviewed" numFmtId="0">
      <sharedItems containsNonDate="0" containsString="0" containsBlank="1"/>
    </cacheField>
    <cacheField name="Session Reprocessed" numFmtId="0">
      <sharedItems containsNonDate="0" containsString="0" containsBlank="1"/>
    </cacheField>
    <cacheField name="Attendance" numFmtId="0">
      <sharedItems containsBlank="1"/>
    </cacheField>
    <cacheField name="Attendance Reason" numFmtId="0">
      <sharedItems containsBlank="1"/>
    </cacheField>
    <cacheField name="INC #" numFmtId="0">
      <sharedItems containsNonDate="0" containsString="0" containsBlank="1"/>
    </cacheField>
    <cacheField name="Technical Issues" numFmtId="0">
      <sharedItems containsNonDate="0" containsString="0" containsBlank="1"/>
    </cacheField>
    <cacheField name="Technical Issue Reason" numFmtId="0">
      <sharedItems containsNonDate="0" containsString="0" containsBlank="1"/>
    </cacheField>
    <cacheField name="Testimonials" numFmtId="0">
      <sharedItems containsNonDate="0" containsString="0" containsBlank="1"/>
    </cacheField>
    <cacheField name="Notes for Mildre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2026-01-21 00:00:00.000 +0000"/>
    <d v="2026-01-01T00:00:00"/>
    <s v="Wednesday"/>
    <d v="1899-12-30T00:12:10"/>
    <n v="29"/>
    <x v="0"/>
    <x v="0"/>
    <x v="0"/>
    <n v="0.44444444444444398"/>
    <n v="0.5"/>
    <n v="0.66666666666666596"/>
    <n v="0.266666666666666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1-23 00:00:00.000 +0000"/>
    <d v="2026-01-01T00:00:00"/>
    <s v="Friday   "/>
    <d v="1899-12-30T00:10:25"/>
    <n v="29"/>
    <x v="0"/>
    <x v="1"/>
    <x v="0"/>
    <n v="0.22222222222222199"/>
    <n v="0.5"/>
    <n v="0.66666666666666596"/>
    <n v="0.53333333333333299"/>
    <n v="0.36363636363636298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1-23 00:00:00.000 +0000"/>
    <d v="2026-01-01T00:00:00"/>
    <s v="Friday   "/>
    <d v="1899-12-30T00:11:17"/>
    <n v="29"/>
    <x v="0"/>
    <x v="2"/>
    <x v="0"/>
    <n v="0.33333333333333298"/>
    <n v="0"/>
    <n v="0.16666666666666599"/>
    <n v="0.33333333333333298"/>
    <n v="0.18181818181818099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1-27 00:00:00.000 +0000"/>
    <d v="2026-01-01T00:00:00"/>
    <s v="Tuesday  "/>
    <d v="1899-12-30T00:09:44"/>
    <n v="5"/>
    <x v="1"/>
    <x v="3"/>
    <x v="0"/>
    <n v="0.33333333333333298"/>
    <n v="0"/>
    <n v="0.16666666666666599"/>
    <n v="0.266666666666666"/>
    <n v="9.0909090909090898E-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1-28 00:00:00.000 +0000"/>
    <d v="2026-01-01T00:00:00"/>
    <s v="Wednesday"/>
    <d v="1899-12-30T00:23:20"/>
    <n v="26"/>
    <x v="2"/>
    <x v="0"/>
    <x v="0"/>
    <n v="0.44444444444444398"/>
    <n v="0.5"/>
    <n v="0.5"/>
    <n v="0.53333333333333299"/>
    <n v="0.363636363636362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1-28 00:00:00.000 +0000"/>
    <d v="2026-01-01T00:00:00"/>
    <s v="Wednesday"/>
    <d v="1899-12-30T00:15:37"/>
    <n v="29"/>
    <x v="0"/>
    <x v="4"/>
    <x v="0"/>
    <n v="0.33333333333333298"/>
    <n v="0.5"/>
    <n v="0.5"/>
    <n v="0.33333333333333298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1-30 00:00:00.000 +0000"/>
    <d v="2026-01-01T00:00:00"/>
    <s v="Friday   "/>
    <d v="1899-12-30T00:26:41"/>
    <n v="26"/>
    <x v="2"/>
    <x v="2"/>
    <x v="0"/>
    <n v="0.44444444444444398"/>
    <n v="0.5"/>
    <n v="0.66666666666666596"/>
    <n v="0.2"/>
    <n v="0.181818181818180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1-30 00:00:00.000 +0000"/>
    <d v="2026-01-01T00:00:00"/>
    <s v="Friday   "/>
    <d v="1899-12-30T00:12:49"/>
    <n v="29"/>
    <x v="0"/>
    <x v="5"/>
    <x v="0"/>
    <n v="0.33333333333333298"/>
    <n v="1"/>
    <n v="0.5"/>
    <n v="0.266666666666666"/>
    <n v="9.0909090909090898E-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s v="-"/>
    <n v="0"/>
    <n v="1"/>
    <n v="2"/>
    <n v="0"/>
    <n v="0"/>
    <n v="0"/>
  </r>
  <r>
    <s v="2026-02-02 00:00:00.000 +0000"/>
    <d v="2026-02-01T00:00:00"/>
    <s v="Monday   "/>
    <d v="1899-12-30T00:19:14"/>
    <n v="31"/>
    <x v="3"/>
    <x v="6"/>
    <x v="0"/>
    <n v="0.55555555555555503"/>
    <n v="1"/>
    <n v="0.66666666666666596"/>
    <n v="0.33333333333333298"/>
    <n v="0.18181818181818099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2-03 00:00:00.000 +0000"/>
    <d v="2026-02-01T00:00:00"/>
    <s v="Tuesday  "/>
    <d v="1899-12-30T00:20:01"/>
    <n v="5"/>
    <x v="1"/>
    <x v="7"/>
    <x v="1"/>
    <n v="0.44444444444444398"/>
    <n v="0.5"/>
    <n v="0"/>
    <n v="0.133333333333333"/>
    <n v="9.0909090909090898E-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2-03 00:00:00.000 +0000"/>
    <d v="2026-02-01T00:00:00"/>
    <s v="Tuesday  "/>
    <d v="1899-12-30T00:17:38"/>
    <n v="26"/>
    <x v="2"/>
    <x v="4"/>
    <x v="0"/>
    <n v="0.55555555555555503"/>
    <n v="0.5"/>
    <n v="0.5"/>
    <n v="0.53333333333333299"/>
    <n v="0.18181818181818099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04 00:00:00.000 +0000"/>
    <d v="2026-02-01T00:00:00"/>
    <s v="Wednesday"/>
    <d v="1899-12-30T00:20:01"/>
    <n v="5"/>
    <x v="1"/>
    <x v="3"/>
    <x v="1"/>
    <n v="0.22222222222222199"/>
    <n v="0"/>
    <n v="0"/>
    <n v="0.133333333333333"/>
    <n v="9.0909090909090898E-2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2-06 00:00:00.000 +0000"/>
    <d v="2026-02-01T00:00:00"/>
    <s v="Friday   "/>
    <d v="1899-12-30T00:39:59"/>
    <n v="30"/>
    <x v="4"/>
    <x v="4"/>
    <x v="0"/>
    <n v="0.66666666666666596"/>
    <n v="0.5"/>
    <n v="0.5"/>
    <n v="0.53333333333333299"/>
    <n v="0.27272727272727199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2-13 00:00:00.000 +0000"/>
    <d v="2026-02-01T00:00:00"/>
    <s v="Friday   "/>
    <d v="1899-12-30T00:19:23"/>
    <n v="26"/>
    <x v="5"/>
    <x v="1"/>
    <x v="0"/>
    <n v="0.55555555555555503"/>
    <n v="0.5"/>
    <n v="0.5"/>
    <n v="0.53333333333333299"/>
    <n v="0.45454545454545398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13 00:00:00.000 +0000"/>
    <d v="2026-02-01T00:00:00"/>
    <s v="Friday   "/>
    <d v="1899-12-30T00:26:47"/>
    <n v="33"/>
    <x v="6"/>
    <x v="4"/>
    <x v="0"/>
    <n v="0.88888888888888795"/>
    <n v="1"/>
    <n v="0.5"/>
    <n v="0.53333333333333299"/>
    <n v="0.36363636363636298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2-20 00:00:00.000 +0000"/>
    <d v="2026-02-01T00:00:00"/>
    <s v="Friday   "/>
    <d v="1899-12-30T00:20:02"/>
    <n v="5"/>
    <x v="3"/>
    <x v="6"/>
    <x v="1"/>
    <n v="0.44444444444444398"/>
    <n v="0.5"/>
    <n v="0.33333333333333298"/>
    <n v="0.133333333333333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2-23 00:00:00.000 +0000"/>
    <d v="2026-02-01T00:00:00"/>
    <s v="Monday   "/>
    <d v="1899-12-30T00:24:11"/>
    <n v="26"/>
    <x v="5"/>
    <x v="6"/>
    <x v="0"/>
    <n v="0.66666666666666596"/>
    <n v="1"/>
    <n v="0.66666666666666596"/>
    <n v="0.2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24 00:00:00.000 +0000"/>
    <d v="2026-02-01T00:00:00"/>
    <s v="Tuesday  "/>
    <d v="1899-12-30T00:30:03"/>
    <n v="26"/>
    <x v="5"/>
    <x v="6"/>
    <x v="1"/>
    <n v="0.33333333333333298"/>
    <n v="0.5"/>
    <n v="0.33333333333333298"/>
    <n v="0.2"/>
    <n v="9.0909090909090898E-2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  <n v="0"/>
    <n v="0"/>
    <n v="0"/>
    <n v="0"/>
    <s v="-"/>
    <n v="0"/>
    <n v="2"/>
    <n v="0"/>
    <n v="0"/>
    <n v="0"/>
    <n v="0"/>
  </r>
  <r>
    <s v="2026-02-27 00:00:00.000 +0000"/>
    <d v="2026-02-01T00:00:00"/>
    <s v="Friday   "/>
    <d v="1899-12-30T00:20:02"/>
    <n v="5"/>
    <x v="3"/>
    <x v="3"/>
    <x v="1"/>
    <n v="0.66666666666666596"/>
    <n v="0"/>
    <n v="0"/>
    <n v="0.6"/>
    <n v="0.36363636363636298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s v="-"/>
    <n v="0"/>
    <n v="1"/>
    <n v="1"/>
    <n v="0"/>
    <n v="0"/>
    <n v="0"/>
  </r>
  <r>
    <s v="2026-02-27 00:00:00.000 +0000"/>
    <d v="2026-02-01T00:00:00"/>
    <s v="Friday   "/>
    <d v="1899-12-30T00:30:52"/>
    <n v="33"/>
    <x v="6"/>
    <x v="5"/>
    <x v="0"/>
    <n v="0.55555555555555503"/>
    <n v="1"/>
    <n v="0.5"/>
    <n v="0.266666666666666"/>
    <n v="0.27272727272727199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s v="-"/>
    <n v="1"/>
    <n v="0"/>
    <n v="1"/>
    <n v="1"/>
    <n v="0"/>
    <n v="0"/>
  </r>
  <r>
    <s v="2026-03-03 00:00:00.000 +0000"/>
    <d v="2026-03-01T00:00:00"/>
    <s v="Tuesday  "/>
    <d v="1899-12-30T00:40:02"/>
    <n v="30"/>
    <x v="4"/>
    <x v="2"/>
    <x v="1"/>
    <n v="0.66666666666666596"/>
    <n v="1"/>
    <n v="0.33333333333333298"/>
    <n v="0.66666666666666596"/>
    <n v="0.63636363636363602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s v="2026-03-04 00:00:00.000 +0000"/>
    <d v="2026-03-01T00:00:00"/>
    <s v="Wednesday"/>
    <d v="1899-12-30T00:35:12"/>
    <n v="30"/>
    <x v="4"/>
    <x v="4"/>
    <x v="0"/>
    <n v="0.55555555555555503"/>
    <n v="1"/>
    <n v="0.5"/>
    <n v="0.53333333333333299"/>
    <n v="0.36363636363636298"/>
    <n v="0"/>
    <n v="1"/>
    <n v="0"/>
    <n v="0"/>
    <n v="0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s v="-"/>
    <n v="1"/>
    <n v="2"/>
    <n v="2"/>
    <n v="2"/>
    <n v="2"/>
    <n v="0"/>
  </r>
  <r>
    <m/>
    <m/>
    <m/>
    <m/>
    <m/>
    <x v="7"/>
    <x v="8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d v="2026-01-20T00:00:00"/>
    <x v="0"/>
    <d v="1899-12-30T11:00:00"/>
    <s v="Stephen,Sreejit,Christine"/>
    <s v="Bloomberg (Pilot)"/>
    <s v="5, 3, 3"/>
    <s v="Demo"/>
    <m/>
    <s v="Karan"/>
    <m/>
    <s v="Ask them for their next availability"/>
    <m/>
    <m/>
    <m/>
    <m/>
    <m/>
    <m/>
    <s v="Attended"/>
    <m/>
    <m/>
    <m/>
    <m/>
    <m/>
    <m/>
  </r>
  <r>
    <d v="2026-01-21T00:00:00"/>
    <x v="0"/>
    <d v="1899-12-30T10:30:00"/>
    <s v="Sreejit"/>
    <s v="Bloomberg (Pilot)"/>
    <n v="3"/>
    <s v="Demo"/>
    <m/>
    <s v="Karan"/>
    <m/>
    <m/>
    <m/>
    <m/>
    <m/>
    <m/>
    <m/>
    <m/>
    <s v="Attended"/>
    <m/>
    <m/>
    <m/>
    <m/>
    <m/>
    <m/>
  </r>
  <r>
    <d v="2026-01-21T00:00:00"/>
    <x v="0"/>
    <d v="1899-12-30T16:30:00"/>
    <s v="Umut,Eugene"/>
    <s v="Bloomberg (Pilot)"/>
    <s v="4, 6"/>
    <s v="Demo"/>
    <m/>
    <s v="Karan"/>
    <m/>
    <s v="Ask them for their next availability"/>
    <m/>
    <m/>
    <m/>
    <m/>
    <m/>
    <m/>
    <s v="Attended"/>
    <m/>
    <m/>
    <m/>
    <m/>
    <m/>
    <m/>
  </r>
  <r>
    <d v="2026-01-23T00:00:00"/>
    <x v="0"/>
    <d v="1899-12-30T09:45:00"/>
    <s v="Christine"/>
    <s v="Bloomberg (Pilot)"/>
    <n v="3"/>
    <s v="Demo,Too Good To Be True"/>
    <m/>
    <s v="Karan"/>
    <m/>
    <m/>
    <n v="8"/>
    <m/>
    <m/>
    <m/>
    <m/>
    <m/>
    <s v="Attended"/>
    <m/>
    <m/>
    <m/>
    <m/>
    <m/>
    <m/>
  </r>
  <r>
    <d v="2026-01-23T00:00:00"/>
    <x v="0"/>
    <d v="1899-12-30T11:00:00"/>
    <s v="Stephen"/>
    <s v="Bloomberg (Pilot)"/>
    <n v="5"/>
    <s v="Demo,Too Good To Be True"/>
    <m/>
    <s v="Joe"/>
    <s v="Karan"/>
    <m/>
    <m/>
    <m/>
    <m/>
    <m/>
    <m/>
    <m/>
    <s v="Attended"/>
    <m/>
    <m/>
    <m/>
    <m/>
    <m/>
    <m/>
  </r>
  <r>
    <d v="2026-01-27T00:00:00"/>
    <x v="0"/>
    <d v="1899-12-30T13:00:00"/>
    <s v="Umut"/>
    <s v="Bloomberg (Pilot)"/>
    <n v="4"/>
    <s v="Demo"/>
    <m/>
    <m/>
    <m/>
    <m/>
    <m/>
    <m/>
    <m/>
    <m/>
    <m/>
    <m/>
    <s v="Rescheduled"/>
    <s v="He is still travelling in train due to heavy snowfall the train got delayed by 2 hours"/>
    <m/>
    <m/>
    <m/>
    <m/>
    <m/>
  </r>
  <r>
    <d v="2026-01-28T00:00:00"/>
    <x v="0"/>
    <d v="1899-12-30T10:30:00"/>
    <s v="Sreejit"/>
    <s v="Bloomberg (Pilot)"/>
    <n v="3"/>
    <s v="Demo,Discount Disaster"/>
    <m/>
    <s v="Karan"/>
    <m/>
    <m/>
    <n v="10"/>
    <s v="This is extremely valuable . After reviewing , When i look at logs - we could have identified the pattern is a great attention to detail ."/>
    <n v="7542"/>
    <m/>
    <m/>
    <m/>
    <s v="Attended"/>
    <m/>
    <m/>
    <m/>
    <m/>
    <m/>
    <m/>
  </r>
  <r>
    <d v="2026-01-28T00:00:00"/>
    <x v="0"/>
    <d v="1899-12-30T15:30:00"/>
    <s v="Eugene"/>
    <s v="Bloomberg (Pilot)"/>
    <n v="6"/>
    <s v="Demo,Too Good To Be True"/>
    <m/>
    <s v="Joe"/>
    <m/>
    <m/>
    <n v="10"/>
    <m/>
    <m/>
    <m/>
    <m/>
    <m/>
    <s v="Attended"/>
    <m/>
    <m/>
    <m/>
    <m/>
    <m/>
    <m/>
  </r>
  <r>
    <d v="2026-01-30T00:00:00"/>
    <x v="0"/>
    <d v="1899-12-30T11:00:00"/>
    <s v="Stephen"/>
    <s v="Bloomberg (Pilot)"/>
    <n v="5"/>
    <s v="Demo,Discount Disaster"/>
    <m/>
    <s v="Joe"/>
    <s v="Karan"/>
    <s v="Notes for next drill (i also stick this on airtable)discuss usage/cadence for senior like himself (he covers this in the retro part)show more data on behaviours - but try to keep it constructive (not RAG/judgement)Next drill - i want to have a slide on the drill design (similar to the ones we share in the workshop)"/>
    <m/>
    <m/>
    <m/>
    <m/>
    <m/>
    <m/>
    <s v="Attended"/>
    <m/>
    <m/>
    <m/>
    <m/>
    <m/>
    <m/>
  </r>
  <r>
    <d v="2026-01-30T00:00:00"/>
    <x v="0"/>
    <d v="1899-12-30T13:00:00"/>
    <s v="Umut"/>
    <s v="Bloomberg (Pilot)"/>
    <n v="4"/>
    <s v="Demo,Too Good To Be True"/>
    <m/>
    <s v="Karan"/>
    <m/>
    <m/>
    <n v="6"/>
    <s v="Feedback on drill : GUOT 6 :_x000a_Surpirise: The character were responsive to my notes and nice experience overall_x000a_Learnign : Good learning experience for the tools availble towards IM in a simulation"/>
    <m/>
    <m/>
    <m/>
    <m/>
    <s v="Attended"/>
    <m/>
    <m/>
    <m/>
    <m/>
    <m/>
    <m/>
  </r>
  <r>
    <d v="2026-02-02T00:00:00"/>
    <x v="1"/>
    <d v="1899-12-30T13:00:00"/>
    <s v="Leo"/>
    <s v="Bloomberg (Pilot)"/>
    <n v="2"/>
    <s v="Demo,Onboarding,Bez Beatles Day"/>
    <m/>
    <s v="Stuart"/>
    <m/>
    <s v="next drill at end of feb - team drill with him watching others would be good"/>
    <n v="10"/>
    <s v="Surprisingly stressful even though I knew it's not a real issue! Having to keep on top of the various technical resources, the customer experience as well the demanding CEO."/>
    <n v="7587"/>
    <m/>
    <m/>
    <m/>
    <s v="Attended"/>
    <m/>
    <m/>
    <m/>
    <m/>
    <m/>
    <m/>
  </r>
  <r>
    <d v="2026-02-03T00:00:00"/>
    <x v="1"/>
    <d v="1899-12-30T19:45:00"/>
    <s v="Eugene"/>
    <s v="Bloomberg (Pilot)"/>
    <n v="6"/>
    <s v="Demo,Defcon1"/>
    <m/>
    <s v="Joe"/>
    <m/>
    <m/>
    <n v="10"/>
    <m/>
    <m/>
    <m/>
    <m/>
    <m/>
    <s v="Attended"/>
    <m/>
    <m/>
    <m/>
    <m/>
    <m/>
    <m/>
  </r>
  <r>
    <d v="2026-02-06T00:00:00"/>
    <x v="1"/>
    <d v="1899-12-30T13:00:00"/>
    <s v="Umut"/>
    <s v="Bloomberg (Pilot)"/>
    <n v="4"/>
    <s v="Demo,Discount Disaster"/>
    <m/>
    <s v="Karan"/>
    <m/>
    <m/>
    <n v="6"/>
    <s v="Exercise made me realize importance of bringing all hands on deck ._x000a__x000a_The initial intro givs awas a lot of info - I felt really good, i can feel this kidn of drill can be really usefull to junior engineers ._x000a_I did handle the situation well- i can absolutely see more junion engineer would be more enthusuatics ._x000a__x000a_Why not 10 &gt;? : Something that would , kind of stress the muscle of what to expect , repetition of what i have done before - One inc recently , Issue is not as simple , when issue involved irreversible, really haev to make hard decisions at once ._x000a_Work with people , what can be done, consequences . _x000a_These tools are usefull for more juniors to come upto a level "/>
    <n v="7656"/>
    <s v="na"/>
    <m/>
    <m/>
    <s v="Attended"/>
    <m/>
    <m/>
    <m/>
    <m/>
    <m/>
    <m/>
  </r>
  <r>
    <d v="2026-02-06T00:00:00"/>
    <x v="1"/>
    <d v="1899-12-30T18:30:00"/>
    <s v="Eugene"/>
    <s v="Bloomberg (Pilot)"/>
    <n v="6"/>
    <s v="Demo,Unknown Unknown"/>
    <m/>
    <s v="Joe"/>
    <s v="Matthew"/>
    <m/>
    <m/>
    <m/>
    <m/>
    <m/>
    <m/>
    <m/>
    <s v="Attended"/>
    <m/>
    <m/>
    <m/>
    <m/>
    <m/>
    <m/>
  </r>
  <r>
    <d v="2026-02-11T00:00:00"/>
    <x v="1"/>
    <d v="1899-12-30T09:00:00"/>
    <s v="Sreejit"/>
    <s v="Bloomberg (Pilot)"/>
    <n v="3"/>
    <s v="Demo"/>
    <m/>
    <m/>
    <m/>
    <m/>
    <m/>
    <m/>
    <m/>
    <m/>
    <m/>
    <m/>
    <s v="Cancelled"/>
    <s v="Off sick"/>
    <m/>
    <m/>
    <m/>
    <m/>
    <m/>
  </r>
  <r>
    <d v="2026-02-13T00:00:00"/>
    <x v="1"/>
    <d v="1899-12-30T09:45:00"/>
    <s v="Christine"/>
    <s v="Bloomberg (Pilot)"/>
    <n v="3"/>
    <s v="Demo,Discount Disaster"/>
    <m/>
    <s v="Karan"/>
    <m/>
    <m/>
    <n v="5"/>
    <m/>
    <m/>
    <m/>
    <m/>
    <m/>
    <s v="Attended"/>
    <m/>
    <m/>
    <m/>
    <m/>
    <m/>
    <m/>
  </r>
  <r>
    <d v="2026-02-13T00:00:00"/>
    <x v="1"/>
    <d v="1899-12-30T16:00:00"/>
    <s v="Eugene"/>
    <s v="Bloomberg (Pilot)"/>
    <n v="6"/>
    <s v="Demo,Unknown Unknown"/>
    <m/>
    <s v="Karan"/>
    <s v="Rishi"/>
    <m/>
    <m/>
    <m/>
    <m/>
    <m/>
    <m/>
    <m/>
    <s v="Attended"/>
    <m/>
    <m/>
    <m/>
    <m/>
    <m/>
    <m/>
  </r>
  <r>
    <d v="2026-02-19T00:00:00"/>
    <x v="1"/>
    <d v="1899-12-30T04:30:00"/>
    <s v="Sreejit"/>
    <s v="Bloomberg (Pilot)"/>
    <n v="3"/>
    <s v="Demo"/>
    <m/>
    <s v="Karan"/>
    <m/>
    <m/>
    <m/>
    <m/>
    <m/>
    <m/>
    <m/>
    <m/>
    <s v="Internal Reschedule/Cancellation"/>
    <m/>
    <m/>
    <m/>
    <m/>
    <m/>
    <m/>
  </r>
  <r>
    <d v="2026-02-20T00:00:00"/>
    <x v="1"/>
    <d v="1899-12-30T11:30:00"/>
    <s v="Stephen"/>
    <s v="Bloomberg (Pilot)"/>
    <n v="5"/>
    <s v="Unknown Unknown,Demo"/>
    <m/>
    <s v="Joe"/>
    <s v="Karan"/>
    <m/>
    <s v="No Score"/>
    <m/>
    <m/>
    <m/>
    <m/>
    <m/>
    <s v="Attended"/>
    <m/>
    <m/>
    <m/>
    <m/>
    <m/>
    <m/>
  </r>
  <r>
    <d v="2026-02-23T00:00:00"/>
    <x v="1"/>
    <d v="1899-12-30T13:00:00"/>
    <s v="Leo"/>
    <s v="Bloomberg (Pilot)"/>
    <n v="2"/>
    <s v="Demo,Discount Disaster"/>
    <m/>
    <s v="Joe"/>
    <s v="Rishi"/>
    <m/>
    <m/>
    <m/>
    <m/>
    <m/>
    <m/>
    <m/>
    <s v="Attended"/>
    <m/>
    <m/>
    <m/>
    <m/>
    <m/>
    <m/>
  </r>
  <r>
    <d v="2026-02-27T00:00:00"/>
    <x v="1"/>
    <d v="1899-12-30T13:00:00"/>
    <s v="Umut"/>
    <s v="Bloomberg (Pilot)"/>
    <n v="4"/>
    <s v="Demo,Unknown Unknown"/>
    <m/>
    <s v="Karan"/>
    <m/>
    <s v="Was late for 20mins. Got held up last minute."/>
    <s v="No Score"/>
    <m/>
    <m/>
    <m/>
    <m/>
    <m/>
    <s v="Attended"/>
    <m/>
    <m/>
    <m/>
    <m/>
    <m/>
    <m/>
  </r>
  <r>
    <d v="2026-03-03T00:00:00"/>
    <x v="2"/>
    <d v="1899-12-30T11:00:00"/>
    <s v="Stephen,John"/>
    <s v="Bloomberg (Pilot)"/>
    <s v="5, 1"/>
    <s v="Demo,Team Drill,Defcon1"/>
    <m/>
    <s v="Karan"/>
    <s v="Rishi"/>
    <m/>
    <s v="No Score"/>
    <m/>
    <m/>
    <m/>
    <m/>
    <m/>
    <s v="Attended"/>
    <m/>
    <m/>
    <m/>
    <m/>
    <m/>
    <m/>
  </r>
  <r>
    <d v="2026-03-04T00:00:00"/>
    <x v="2"/>
    <d v="1899-12-30T10:00:00"/>
    <s v="Eugene,Nitin"/>
    <s v="Bloomberg (Pilot)"/>
    <s v="6, 1"/>
    <s v="Demo,Team Drill,Defcon1"/>
    <m/>
    <s v="Joe"/>
    <s v="Karan"/>
    <m/>
    <s v="No Score"/>
    <m/>
    <m/>
    <m/>
    <m/>
    <m/>
    <s v="Attended"/>
    <m/>
    <m/>
    <m/>
    <m/>
    <m/>
    <m/>
  </r>
  <r>
    <m/>
    <x v="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6A761-01E0-314D-A675-4212B130601C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24"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GUOT" fld="1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1FB61-0A90-9240-8813-973A8C82F4F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2:G31" firstHeaderRow="0" firstDataRow="1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3"/>
        <item x="1"/>
        <item x="4"/>
        <item x="2"/>
        <item x="5"/>
        <item x="6"/>
        <item x="0"/>
        <item h="1" x="7"/>
        <item t="default"/>
      </items>
    </pivotField>
    <pivotField axis="axisRow" showAll="0" sortType="ascending">
      <items count="10">
        <item x="7"/>
        <item x="1"/>
        <item x="4"/>
        <item x="3"/>
        <item x="6"/>
        <item x="0"/>
        <item x="2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7"/>
    </i>
    <i>
      <x v="5"/>
    </i>
    <i>
      <x v="3"/>
    </i>
    <i>
      <x v="6"/>
    </i>
    <i>
      <x v="4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ommanding The Incident" fld="12" subtotal="average" baseField="0" baseItem="0"/>
    <dataField name="Internal Comms" fld="11" subtotal="average" baseField="0" baseItem="0"/>
    <dataField name="External Comms" fld="10" subtotal="average" baseField="0" baseItem="0"/>
    <dataField name="Incident Mechanics" fld="9" subtotal="average" baseField="0" baseItem="0"/>
    <dataField name="Identify Scope" fld="8" subtotal="average" baseField="0" baseItem="0"/>
    <dataField name="Count of session_star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880B8-31B2-DB4D-85E0-08CE5B90FEC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45">
    <pivotField dataField="1" showAll="0"/>
    <pivotField showAll="0"/>
    <pivotField showAll="0"/>
    <pivotField showAll="0"/>
    <pivotField showAll="0"/>
    <pivotField showAll="0">
      <items count="9">
        <item x="3"/>
        <item x="1"/>
        <item x="4"/>
        <item x="2"/>
        <item x="5"/>
        <item x="6"/>
        <item x="0"/>
        <item h="1" x="7"/>
        <item t="default"/>
      </items>
    </pivotField>
    <pivotField axis="axisRow" showAll="0" sortType="ascending">
      <items count="10">
        <item x="7"/>
        <item x="1"/>
        <item x="4"/>
        <item x="3"/>
        <item x="6"/>
        <item x="0"/>
        <item x="2"/>
        <item x="5"/>
        <item h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7"/>
    </i>
    <i>
      <x v="5"/>
    </i>
    <i>
      <x v="3"/>
    </i>
    <i>
      <x v="6"/>
    </i>
    <i>
      <x v="4"/>
    </i>
    <i>
      <x v="2"/>
    </i>
    <i t="grand">
      <x/>
    </i>
  </rowItems>
  <colItems count="1">
    <i/>
  </colItems>
  <dataFields count="1">
    <dataField name="Count of session_start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3D1F-2B6E-9E4A-9474-7D354187E455}">
  <dimension ref="A3:B6"/>
  <sheetViews>
    <sheetView workbookViewId="0">
      <selection activeCell="A4" sqref="A4:A5"/>
    </sheetView>
  </sheetViews>
  <sheetFormatPr baseColWidth="10" defaultRowHeight="16" x14ac:dyDescent="0.2"/>
  <cols>
    <col min="1" max="1" width="13" bestFit="1" customWidth="1"/>
    <col min="2" max="2" width="14.83203125" bestFit="1" customWidth="1"/>
  </cols>
  <sheetData>
    <row r="3" spans="1:2" x14ac:dyDescent="0.2">
      <c r="A3" s="4" t="s">
        <v>84</v>
      </c>
      <c r="B3" t="s">
        <v>159</v>
      </c>
    </row>
    <row r="4" spans="1:2" x14ac:dyDescent="0.2">
      <c r="A4" s="9">
        <v>46023</v>
      </c>
      <c r="B4" s="3">
        <v>8.5</v>
      </c>
    </row>
    <row r="5" spans="1:2" x14ac:dyDescent="0.2">
      <c r="A5" s="9">
        <v>46054</v>
      </c>
      <c r="B5" s="3">
        <v>7.75</v>
      </c>
    </row>
    <row r="6" spans="1:2" x14ac:dyDescent="0.2">
      <c r="A6" s="5" t="s">
        <v>85</v>
      </c>
      <c r="B6" s="3">
        <v>8.125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F6A9-2722-BD44-804D-26DCB26E0BF2}">
  <dimension ref="A1"/>
  <sheetViews>
    <sheetView tabSelected="1" workbookViewId="0">
      <selection activeCell="L55" sqref="L5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919B-916D-0E4F-A020-032161BCDC56}">
  <dimension ref="A1:X24"/>
  <sheetViews>
    <sheetView workbookViewId="0">
      <selection sqref="A1:XFD1048576"/>
    </sheetView>
  </sheetViews>
  <sheetFormatPr baseColWidth="10" defaultRowHeight="16" x14ac:dyDescent="0.2"/>
  <sheetData>
    <row r="1" spans="1:24" x14ac:dyDescent="0.2">
      <c r="A1" t="s">
        <v>158</v>
      </c>
      <c r="B1" t="s">
        <v>82</v>
      </c>
      <c r="C1" t="s">
        <v>157</v>
      </c>
      <c r="D1" t="s">
        <v>156</v>
      </c>
      <c r="E1" t="s">
        <v>155</v>
      </c>
      <c r="F1" t="s">
        <v>154</v>
      </c>
      <c r="G1" t="s">
        <v>153</v>
      </c>
      <c r="H1" t="s">
        <v>152</v>
      </c>
      <c r="I1" t="s">
        <v>151</v>
      </c>
      <c r="J1" t="s">
        <v>150</v>
      </c>
      <c r="K1" t="s">
        <v>149</v>
      </c>
      <c r="L1" t="s">
        <v>148</v>
      </c>
      <c r="M1" t="s">
        <v>147</v>
      </c>
      <c r="N1" t="s">
        <v>146</v>
      </c>
      <c r="O1" t="s">
        <v>145</v>
      </c>
      <c r="P1" t="s">
        <v>144</v>
      </c>
      <c r="Q1" t="s">
        <v>143</v>
      </c>
      <c r="R1" t="s">
        <v>142</v>
      </c>
      <c r="S1" t="s">
        <v>141</v>
      </c>
      <c r="T1" t="s">
        <v>140</v>
      </c>
      <c r="U1" t="s">
        <v>139</v>
      </c>
      <c r="V1" t="s">
        <v>138</v>
      </c>
      <c r="W1" t="s">
        <v>137</v>
      </c>
      <c r="X1" t="s">
        <v>136</v>
      </c>
    </row>
    <row r="2" spans="1:24" x14ac:dyDescent="0.2">
      <c r="A2" s="2">
        <v>46042</v>
      </c>
      <c r="B2" s="2">
        <f>DATE(YEAR(A2), MONTH(A2), 1)</f>
        <v>46023</v>
      </c>
      <c r="C2" s="7">
        <v>0.45833333333333331</v>
      </c>
      <c r="D2" t="s">
        <v>135</v>
      </c>
      <c r="E2" t="s">
        <v>98</v>
      </c>
      <c r="F2" t="s">
        <v>134</v>
      </c>
      <c r="G2" t="s">
        <v>111</v>
      </c>
      <c r="I2" t="s">
        <v>94</v>
      </c>
      <c r="K2" t="s">
        <v>131</v>
      </c>
      <c r="R2" t="s">
        <v>92</v>
      </c>
    </row>
    <row r="3" spans="1:24" x14ac:dyDescent="0.2">
      <c r="A3" s="2">
        <v>46043</v>
      </c>
      <c r="B3" s="2">
        <f t="shared" ref="B3:B24" si="0">DATE(YEAR(A3), MONTH(A3), 1)</f>
        <v>46023</v>
      </c>
      <c r="C3" s="7">
        <v>0.4375</v>
      </c>
      <c r="D3" t="s">
        <v>112</v>
      </c>
      <c r="E3" t="s">
        <v>98</v>
      </c>
      <c r="F3">
        <v>3</v>
      </c>
      <c r="G3" t="s">
        <v>111</v>
      </c>
      <c r="I3" t="s">
        <v>94</v>
      </c>
      <c r="R3" t="s">
        <v>92</v>
      </c>
    </row>
    <row r="4" spans="1:24" x14ac:dyDescent="0.2">
      <c r="A4" s="2">
        <v>46043</v>
      </c>
      <c r="B4" s="2">
        <f t="shared" si="0"/>
        <v>46023</v>
      </c>
      <c r="C4" s="7">
        <v>0.6875</v>
      </c>
      <c r="D4" t="s">
        <v>133</v>
      </c>
      <c r="E4" t="s">
        <v>98</v>
      </c>
      <c r="F4" t="s">
        <v>132</v>
      </c>
      <c r="G4" t="s">
        <v>111</v>
      </c>
      <c r="I4" t="s">
        <v>94</v>
      </c>
      <c r="K4" t="s">
        <v>131</v>
      </c>
      <c r="R4" t="s">
        <v>92</v>
      </c>
    </row>
    <row r="5" spans="1:24" x14ac:dyDescent="0.2">
      <c r="A5" s="2">
        <v>46045</v>
      </c>
      <c r="B5" s="2">
        <f t="shared" si="0"/>
        <v>46023</v>
      </c>
      <c r="C5" s="7">
        <v>0.40625</v>
      </c>
      <c r="D5" t="s">
        <v>114</v>
      </c>
      <c r="E5" t="s">
        <v>98</v>
      </c>
      <c r="F5">
        <v>3</v>
      </c>
      <c r="G5" t="s">
        <v>126</v>
      </c>
      <c r="I5" t="s">
        <v>94</v>
      </c>
      <c r="L5">
        <v>8</v>
      </c>
      <c r="R5" t="s">
        <v>92</v>
      </c>
    </row>
    <row r="6" spans="1:24" x14ac:dyDescent="0.2">
      <c r="A6" s="2">
        <v>46045</v>
      </c>
      <c r="B6" s="2">
        <f t="shared" si="0"/>
        <v>46023</v>
      </c>
      <c r="C6" s="7">
        <v>0.45833333333333331</v>
      </c>
      <c r="D6" t="s">
        <v>109</v>
      </c>
      <c r="E6" t="s">
        <v>98</v>
      </c>
      <c r="F6">
        <v>5</v>
      </c>
      <c r="G6" t="s">
        <v>126</v>
      </c>
      <c r="I6" t="s">
        <v>95</v>
      </c>
      <c r="J6" t="s">
        <v>94</v>
      </c>
      <c r="R6" t="s">
        <v>92</v>
      </c>
    </row>
    <row r="7" spans="1:24" x14ac:dyDescent="0.2">
      <c r="A7" s="2">
        <v>46049</v>
      </c>
      <c r="B7" s="2">
        <f t="shared" si="0"/>
        <v>46023</v>
      </c>
      <c r="C7" s="7">
        <v>0.54166666666666663</v>
      </c>
      <c r="D7" t="s">
        <v>105</v>
      </c>
      <c r="E7" t="s">
        <v>98</v>
      </c>
      <c r="F7">
        <v>4</v>
      </c>
      <c r="G7" t="s">
        <v>111</v>
      </c>
      <c r="R7" t="s">
        <v>130</v>
      </c>
      <c r="S7" t="s">
        <v>129</v>
      </c>
    </row>
    <row r="8" spans="1:24" x14ac:dyDescent="0.2">
      <c r="A8" s="2">
        <v>46050</v>
      </c>
      <c r="B8" s="2">
        <f t="shared" si="0"/>
        <v>46023</v>
      </c>
      <c r="C8" s="7">
        <v>0.4375</v>
      </c>
      <c r="D8" t="s">
        <v>112</v>
      </c>
      <c r="E8" t="s">
        <v>98</v>
      </c>
      <c r="F8">
        <v>3</v>
      </c>
      <c r="G8" t="s">
        <v>106</v>
      </c>
      <c r="I8" t="s">
        <v>94</v>
      </c>
      <c r="L8">
        <v>10</v>
      </c>
      <c r="M8" t="s">
        <v>128</v>
      </c>
      <c r="N8">
        <v>7542</v>
      </c>
      <c r="R8" t="s">
        <v>92</v>
      </c>
    </row>
    <row r="9" spans="1:24" x14ac:dyDescent="0.2">
      <c r="A9" s="2">
        <v>46050</v>
      </c>
      <c r="B9" s="2">
        <f t="shared" si="0"/>
        <v>46023</v>
      </c>
      <c r="C9" s="7">
        <v>0.64583333333333337</v>
      </c>
      <c r="D9" t="s">
        <v>113</v>
      </c>
      <c r="E9" t="s">
        <v>98</v>
      </c>
      <c r="F9">
        <v>6</v>
      </c>
      <c r="G9" t="s">
        <v>126</v>
      </c>
      <c r="I9" t="s">
        <v>95</v>
      </c>
      <c r="L9">
        <v>10</v>
      </c>
      <c r="R9" t="s">
        <v>92</v>
      </c>
    </row>
    <row r="10" spans="1:24" x14ac:dyDescent="0.2">
      <c r="A10" s="2">
        <v>46052</v>
      </c>
      <c r="B10" s="2">
        <f t="shared" si="0"/>
        <v>46023</v>
      </c>
      <c r="C10" s="7">
        <v>0.45833333333333331</v>
      </c>
      <c r="D10" t="s">
        <v>109</v>
      </c>
      <c r="E10" t="s">
        <v>98</v>
      </c>
      <c r="F10">
        <v>5</v>
      </c>
      <c r="G10" t="s">
        <v>106</v>
      </c>
      <c r="I10" t="s">
        <v>95</v>
      </c>
      <c r="J10" t="s">
        <v>94</v>
      </c>
      <c r="K10" t="s">
        <v>127</v>
      </c>
      <c r="R10" t="s">
        <v>92</v>
      </c>
    </row>
    <row r="11" spans="1:24" ht="356" x14ac:dyDescent="0.2">
      <c r="A11" s="2">
        <v>46052</v>
      </c>
      <c r="B11" s="2">
        <f t="shared" si="0"/>
        <v>46023</v>
      </c>
      <c r="C11" s="7">
        <v>0.54166666666666663</v>
      </c>
      <c r="D11" t="s">
        <v>105</v>
      </c>
      <c r="E11" t="s">
        <v>98</v>
      </c>
      <c r="F11">
        <v>4</v>
      </c>
      <c r="G11" t="s">
        <v>126</v>
      </c>
      <c r="I11" t="s">
        <v>94</v>
      </c>
      <c r="L11">
        <v>6</v>
      </c>
      <c r="M11" s="8" t="s">
        <v>125</v>
      </c>
      <c r="R11" t="s">
        <v>92</v>
      </c>
    </row>
    <row r="12" spans="1:24" x14ac:dyDescent="0.2">
      <c r="A12" s="2">
        <v>46055</v>
      </c>
      <c r="B12" s="2">
        <f t="shared" si="0"/>
        <v>46054</v>
      </c>
      <c r="C12" s="7">
        <v>0.54166666666666663</v>
      </c>
      <c r="D12" t="s">
        <v>107</v>
      </c>
      <c r="E12" t="s">
        <v>98</v>
      </c>
      <c r="F12">
        <v>2</v>
      </c>
      <c r="G12" t="s">
        <v>124</v>
      </c>
      <c r="I12" t="s">
        <v>123</v>
      </c>
      <c r="K12" t="s">
        <v>122</v>
      </c>
      <c r="L12">
        <v>10</v>
      </c>
      <c r="M12" t="s">
        <v>121</v>
      </c>
      <c r="N12">
        <v>7587</v>
      </c>
      <c r="R12" t="s">
        <v>92</v>
      </c>
    </row>
    <row r="13" spans="1:24" x14ac:dyDescent="0.2">
      <c r="A13" s="2">
        <v>46056</v>
      </c>
      <c r="B13" s="2">
        <f t="shared" si="0"/>
        <v>46054</v>
      </c>
      <c r="C13" s="7">
        <v>0.82291666666666663</v>
      </c>
      <c r="D13" t="s">
        <v>113</v>
      </c>
      <c r="E13" t="s">
        <v>98</v>
      </c>
      <c r="F13">
        <v>6</v>
      </c>
      <c r="G13" t="s">
        <v>120</v>
      </c>
      <c r="I13" t="s">
        <v>95</v>
      </c>
      <c r="L13">
        <v>10</v>
      </c>
      <c r="R13" t="s">
        <v>92</v>
      </c>
    </row>
    <row r="14" spans="1:24" ht="409.6" x14ac:dyDescent="0.2">
      <c r="A14" s="2">
        <v>46059</v>
      </c>
      <c r="B14" s="2">
        <f t="shared" si="0"/>
        <v>46054</v>
      </c>
      <c r="C14" s="7">
        <v>0.54166666666666663</v>
      </c>
      <c r="D14" t="s">
        <v>105</v>
      </c>
      <c r="E14" t="s">
        <v>98</v>
      </c>
      <c r="F14">
        <v>4</v>
      </c>
      <c r="G14" t="s">
        <v>106</v>
      </c>
      <c r="I14" t="s">
        <v>94</v>
      </c>
      <c r="L14">
        <v>6</v>
      </c>
      <c r="M14" s="8" t="s">
        <v>119</v>
      </c>
      <c r="N14">
        <v>7656</v>
      </c>
      <c r="O14" t="s">
        <v>118</v>
      </c>
      <c r="R14" t="s">
        <v>92</v>
      </c>
    </row>
    <row r="15" spans="1:24" x14ac:dyDescent="0.2">
      <c r="A15" s="2">
        <v>46059</v>
      </c>
      <c r="B15" s="2">
        <f t="shared" si="0"/>
        <v>46054</v>
      </c>
      <c r="C15" s="7">
        <v>0.77083333333333337</v>
      </c>
      <c r="D15" t="s">
        <v>113</v>
      </c>
      <c r="E15" t="s">
        <v>98</v>
      </c>
      <c r="F15">
        <v>6</v>
      </c>
      <c r="G15" t="s">
        <v>104</v>
      </c>
      <c r="I15" t="s">
        <v>95</v>
      </c>
      <c r="J15" t="s">
        <v>117</v>
      </c>
      <c r="R15" t="s">
        <v>92</v>
      </c>
    </row>
    <row r="16" spans="1:24" x14ac:dyDescent="0.2">
      <c r="A16" s="2">
        <v>46064</v>
      </c>
      <c r="B16" s="2">
        <f t="shared" si="0"/>
        <v>46054</v>
      </c>
      <c r="C16" s="7">
        <v>0.375</v>
      </c>
      <c r="D16" t="s">
        <v>112</v>
      </c>
      <c r="E16" t="s">
        <v>98</v>
      </c>
      <c r="F16">
        <v>3</v>
      </c>
      <c r="G16" t="s">
        <v>111</v>
      </c>
      <c r="R16" t="s">
        <v>116</v>
      </c>
      <c r="S16" t="s">
        <v>115</v>
      </c>
    </row>
    <row r="17" spans="1:18" x14ac:dyDescent="0.2">
      <c r="A17" s="2">
        <v>46066</v>
      </c>
      <c r="B17" s="2">
        <f t="shared" si="0"/>
        <v>46054</v>
      </c>
      <c r="C17" s="7">
        <v>0.40625</v>
      </c>
      <c r="D17" t="s">
        <v>114</v>
      </c>
      <c r="E17" t="s">
        <v>98</v>
      </c>
      <c r="F17">
        <v>3</v>
      </c>
      <c r="G17" t="s">
        <v>106</v>
      </c>
      <c r="I17" t="s">
        <v>94</v>
      </c>
      <c r="L17">
        <v>5</v>
      </c>
      <c r="R17" t="s">
        <v>92</v>
      </c>
    </row>
    <row r="18" spans="1:18" x14ac:dyDescent="0.2">
      <c r="A18" s="2">
        <v>46066</v>
      </c>
      <c r="B18" s="2">
        <f t="shared" si="0"/>
        <v>46054</v>
      </c>
      <c r="C18" s="7">
        <v>0.66666666666666663</v>
      </c>
      <c r="D18" t="s">
        <v>113</v>
      </c>
      <c r="E18" t="s">
        <v>98</v>
      </c>
      <c r="F18">
        <v>6</v>
      </c>
      <c r="G18" t="s">
        <v>104</v>
      </c>
      <c r="I18" t="s">
        <v>94</v>
      </c>
      <c r="J18" t="s">
        <v>100</v>
      </c>
      <c r="R18" t="s">
        <v>92</v>
      </c>
    </row>
    <row r="19" spans="1:18" x14ac:dyDescent="0.2">
      <c r="A19" s="2">
        <v>46072</v>
      </c>
      <c r="B19" s="2">
        <f t="shared" si="0"/>
        <v>46054</v>
      </c>
      <c r="C19" s="7">
        <v>0.1875</v>
      </c>
      <c r="D19" t="s">
        <v>112</v>
      </c>
      <c r="E19" t="s">
        <v>98</v>
      </c>
      <c r="F19">
        <v>3</v>
      </c>
      <c r="G19" t="s">
        <v>111</v>
      </c>
      <c r="I19" t="s">
        <v>94</v>
      </c>
      <c r="R19" t="s">
        <v>110</v>
      </c>
    </row>
    <row r="20" spans="1:18" x14ac:dyDescent="0.2">
      <c r="A20" s="2">
        <v>46073</v>
      </c>
      <c r="B20" s="2">
        <f t="shared" si="0"/>
        <v>46054</v>
      </c>
      <c r="C20" s="7">
        <v>0.47916666666666669</v>
      </c>
      <c r="D20" t="s">
        <v>109</v>
      </c>
      <c r="E20" t="s">
        <v>98</v>
      </c>
      <c r="F20">
        <v>5</v>
      </c>
      <c r="G20" t="s">
        <v>108</v>
      </c>
      <c r="I20" t="s">
        <v>95</v>
      </c>
      <c r="J20" t="s">
        <v>94</v>
      </c>
      <c r="L20" t="s">
        <v>93</v>
      </c>
      <c r="R20" t="s">
        <v>92</v>
      </c>
    </row>
    <row r="21" spans="1:18" x14ac:dyDescent="0.2">
      <c r="A21" s="2">
        <v>46076</v>
      </c>
      <c r="B21" s="2">
        <f t="shared" si="0"/>
        <v>46054</v>
      </c>
      <c r="C21" s="7">
        <v>0.54166666666666663</v>
      </c>
      <c r="D21" t="s">
        <v>107</v>
      </c>
      <c r="E21" t="s">
        <v>98</v>
      </c>
      <c r="F21">
        <v>2</v>
      </c>
      <c r="G21" t="s">
        <v>106</v>
      </c>
      <c r="I21" t="s">
        <v>95</v>
      </c>
      <c r="J21" t="s">
        <v>100</v>
      </c>
      <c r="R21" t="s">
        <v>92</v>
      </c>
    </row>
    <row r="22" spans="1:18" x14ac:dyDescent="0.2">
      <c r="A22" s="2">
        <v>46080</v>
      </c>
      <c r="B22" s="2">
        <f t="shared" si="0"/>
        <v>46054</v>
      </c>
      <c r="C22" s="7">
        <v>0.54166666666666663</v>
      </c>
      <c r="D22" t="s">
        <v>105</v>
      </c>
      <c r="E22" t="s">
        <v>98</v>
      </c>
      <c r="F22">
        <v>4</v>
      </c>
      <c r="G22" t="s">
        <v>104</v>
      </c>
      <c r="I22" t="s">
        <v>94</v>
      </c>
      <c r="K22" t="s">
        <v>103</v>
      </c>
      <c r="L22" t="s">
        <v>93</v>
      </c>
      <c r="R22" t="s">
        <v>92</v>
      </c>
    </row>
    <row r="23" spans="1:18" x14ac:dyDescent="0.2">
      <c r="A23" s="2">
        <v>46084</v>
      </c>
      <c r="B23" s="2">
        <f t="shared" si="0"/>
        <v>46082</v>
      </c>
      <c r="C23" s="7">
        <v>0.45833333333333331</v>
      </c>
      <c r="D23" t="s">
        <v>102</v>
      </c>
      <c r="E23" t="s">
        <v>98</v>
      </c>
      <c r="F23" t="s">
        <v>101</v>
      </c>
      <c r="G23" t="s">
        <v>96</v>
      </c>
      <c r="I23" t="s">
        <v>94</v>
      </c>
      <c r="J23" t="s">
        <v>100</v>
      </c>
      <c r="L23" t="s">
        <v>93</v>
      </c>
      <c r="R23" t="s">
        <v>92</v>
      </c>
    </row>
    <row r="24" spans="1:18" x14ac:dyDescent="0.2">
      <c r="A24" s="2">
        <v>46085</v>
      </c>
      <c r="B24" s="2">
        <f t="shared" si="0"/>
        <v>46082</v>
      </c>
      <c r="C24" s="7">
        <v>0.41666666666666669</v>
      </c>
      <c r="D24" t="s">
        <v>99</v>
      </c>
      <c r="E24" t="s">
        <v>98</v>
      </c>
      <c r="F24" t="s">
        <v>97</v>
      </c>
      <c r="G24" t="s">
        <v>96</v>
      </c>
      <c r="I24" t="s">
        <v>95</v>
      </c>
      <c r="J24" t="s">
        <v>94</v>
      </c>
      <c r="L24" t="s">
        <v>93</v>
      </c>
      <c r="R24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E64A-246B-304B-AB59-4F32E78798E7}">
  <dimension ref="A3:G42"/>
  <sheetViews>
    <sheetView topLeftCell="D42" workbookViewId="0">
      <selection activeCell="G60" sqref="G60"/>
    </sheetView>
  </sheetViews>
  <sheetFormatPr baseColWidth="10" defaultRowHeight="16" x14ac:dyDescent="0.2"/>
  <cols>
    <col min="1" max="1" width="13" bestFit="1" customWidth="1"/>
    <col min="2" max="2" width="22.83203125" bestFit="1" customWidth="1"/>
    <col min="3" max="3" width="14.5" bestFit="1" customWidth="1"/>
    <col min="4" max="4" width="14.83203125" bestFit="1" customWidth="1"/>
    <col min="5" max="5" width="17.33203125" bestFit="1" customWidth="1"/>
    <col min="6" max="6" width="12.6640625" bestFit="1" customWidth="1"/>
    <col min="7" max="7" width="20" bestFit="1" customWidth="1"/>
  </cols>
  <sheetData>
    <row r="3" spans="1:2" x14ac:dyDescent="0.2">
      <c r="A3" s="4" t="s">
        <v>84</v>
      </c>
      <c r="B3" t="s">
        <v>83</v>
      </c>
    </row>
    <row r="4" spans="1:2" x14ac:dyDescent="0.2">
      <c r="A4" s="5" t="s">
        <v>68</v>
      </c>
      <c r="B4" s="3">
        <v>1</v>
      </c>
    </row>
    <row r="5" spans="1:2" x14ac:dyDescent="0.2">
      <c r="A5" s="5" t="s">
        <v>52</v>
      </c>
      <c r="B5" s="3">
        <v>2</v>
      </c>
    </row>
    <row r="6" spans="1:2" x14ac:dyDescent="0.2">
      <c r="A6" s="5" t="s">
        <v>62</v>
      </c>
      <c r="B6" s="3">
        <v>2</v>
      </c>
    </row>
    <row r="7" spans="1:2" x14ac:dyDescent="0.2">
      <c r="A7" s="5" t="s">
        <v>47</v>
      </c>
      <c r="B7" s="3">
        <v>2</v>
      </c>
    </row>
    <row r="8" spans="1:2" x14ac:dyDescent="0.2">
      <c r="A8" s="5" t="s">
        <v>57</v>
      </c>
      <c r="B8" s="3">
        <v>3</v>
      </c>
    </row>
    <row r="9" spans="1:2" x14ac:dyDescent="0.2">
      <c r="A9" s="5" t="s">
        <v>53</v>
      </c>
      <c r="B9" s="3">
        <v>3</v>
      </c>
    </row>
    <row r="10" spans="1:2" x14ac:dyDescent="0.2">
      <c r="A10" s="5" t="s">
        <v>66</v>
      </c>
      <c r="B10" s="3">
        <v>4</v>
      </c>
    </row>
    <row r="11" spans="1:2" x14ac:dyDescent="0.2">
      <c r="A11" s="5" t="s">
        <v>60</v>
      </c>
      <c r="B11" s="3">
        <v>5</v>
      </c>
    </row>
    <row r="12" spans="1:2" x14ac:dyDescent="0.2">
      <c r="A12" s="5" t="s">
        <v>85</v>
      </c>
      <c r="B12" s="3">
        <v>22</v>
      </c>
    </row>
    <row r="22" spans="1:7" x14ac:dyDescent="0.2">
      <c r="A22" s="4" t="s">
        <v>84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83</v>
      </c>
    </row>
    <row r="23" spans="1:7" x14ac:dyDescent="0.2">
      <c r="A23" s="5" t="s">
        <v>68</v>
      </c>
      <c r="B23" s="3">
        <v>9.0909090909090898E-2</v>
      </c>
      <c r="C23" s="3">
        <v>0.133333333333333</v>
      </c>
      <c r="D23" s="3">
        <v>0</v>
      </c>
      <c r="E23" s="3">
        <v>0.5</v>
      </c>
      <c r="F23" s="3">
        <v>0.44444444444444398</v>
      </c>
      <c r="G23" s="3">
        <v>1</v>
      </c>
    </row>
    <row r="24" spans="1:7" x14ac:dyDescent="0.2">
      <c r="A24" s="5" t="s">
        <v>52</v>
      </c>
      <c r="B24" s="3">
        <v>0.40909090909090851</v>
      </c>
      <c r="C24" s="3">
        <v>0.53333333333333299</v>
      </c>
      <c r="D24" s="3">
        <v>0.58333333333333304</v>
      </c>
      <c r="E24" s="3">
        <v>0.5</v>
      </c>
      <c r="F24" s="3">
        <v>0.38888888888888851</v>
      </c>
      <c r="G24" s="3">
        <v>2</v>
      </c>
    </row>
    <row r="25" spans="1:7" x14ac:dyDescent="0.2">
      <c r="A25" s="5" t="s">
        <v>62</v>
      </c>
      <c r="B25" s="3">
        <v>0.18181818181818143</v>
      </c>
      <c r="C25" s="3">
        <v>0.266666666666666</v>
      </c>
      <c r="D25" s="3">
        <v>0.5</v>
      </c>
      <c r="E25" s="3">
        <v>1</v>
      </c>
      <c r="F25" s="3">
        <v>0.44444444444444398</v>
      </c>
      <c r="G25" s="3">
        <v>2</v>
      </c>
    </row>
    <row r="26" spans="1:7" x14ac:dyDescent="0.2">
      <c r="A26" s="5" t="s">
        <v>47</v>
      </c>
      <c r="B26" s="3">
        <v>0.22727272727272693</v>
      </c>
      <c r="C26" s="3">
        <v>0.39999999999999947</v>
      </c>
      <c r="D26" s="3">
        <v>0.58333333333333304</v>
      </c>
      <c r="E26" s="3">
        <v>0.5</v>
      </c>
      <c r="F26" s="3">
        <v>0.44444444444444398</v>
      </c>
      <c r="G26" s="3">
        <v>2</v>
      </c>
    </row>
    <row r="27" spans="1:7" x14ac:dyDescent="0.2">
      <c r="A27" s="5" t="s">
        <v>57</v>
      </c>
      <c r="B27" s="3">
        <v>0.18181818181818157</v>
      </c>
      <c r="C27" s="3">
        <v>0.33333333333333298</v>
      </c>
      <c r="D27" s="3">
        <v>5.555555555555533E-2</v>
      </c>
      <c r="E27" s="3">
        <v>0</v>
      </c>
      <c r="F27" s="3">
        <v>0.407407407407407</v>
      </c>
      <c r="G27" s="3">
        <v>3</v>
      </c>
    </row>
    <row r="28" spans="1:7" x14ac:dyDescent="0.2">
      <c r="A28" s="5" t="s">
        <v>53</v>
      </c>
      <c r="B28" s="3">
        <v>0.33333333333333265</v>
      </c>
      <c r="C28" s="3">
        <v>0.39999999999999963</v>
      </c>
      <c r="D28" s="3">
        <v>0.38888888888888834</v>
      </c>
      <c r="E28" s="3">
        <v>0.5</v>
      </c>
      <c r="F28" s="3">
        <v>0.48148148148148096</v>
      </c>
      <c r="G28" s="3">
        <v>3</v>
      </c>
    </row>
    <row r="29" spans="1:7" x14ac:dyDescent="0.2">
      <c r="A29" s="5" t="s">
        <v>66</v>
      </c>
      <c r="B29" s="3">
        <v>6.8181818181817969E-2</v>
      </c>
      <c r="C29" s="3">
        <v>0.21666666666666651</v>
      </c>
      <c r="D29" s="3">
        <v>0.49999999999999944</v>
      </c>
      <c r="E29" s="3">
        <v>0.75</v>
      </c>
      <c r="F29" s="3">
        <v>0.4999999999999995</v>
      </c>
      <c r="G29" s="3">
        <v>4</v>
      </c>
    </row>
    <row r="30" spans="1:7" x14ac:dyDescent="0.2">
      <c r="A30" s="5" t="s">
        <v>60</v>
      </c>
      <c r="B30" s="3">
        <v>0.25454545454545396</v>
      </c>
      <c r="C30" s="3">
        <v>0.49333333333333301</v>
      </c>
      <c r="D30" s="3">
        <v>0.5</v>
      </c>
      <c r="E30" s="3">
        <v>0.7</v>
      </c>
      <c r="F30" s="3">
        <v>0.59999999999999942</v>
      </c>
      <c r="G30" s="3">
        <v>5</v>
      </c>
    </row>
    <row r="31" spans="1:7" x14ac:dyDescent="0.2">
      <c r="A31" s="5" t="s">
        <v>85</v>
      </c>
      <c r="B31" s="3">
        <v>0.21900826446280944</v>
      </c>
      <c r="C31" s="3">
        <v>0.36666666666666631</v>
      </c>
      <c r="D31" s="3">
        <v>0.41666666666666641</v>
      </c>
      <c r="E31" s="3">
        <v>0.56818181818181823</v>
      </c>
      <c r="F31" s="3">
        <v>0.48484848484848436</v>
      </c>
      <c r="G31" s="3">
        <v>22</v>
      </c>
    </row>
    <row r="34" spans="1:7" x14ac:dyDescent="0.2">
      <c r="A34" t="s">
        <v>84</v>
      </c>
      <c r="B34" t="s">
        <v>86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</row>
    <row r="35" spans="1:7" x14ac:dyDescent="0.2">
      <c r="A35" t="s">
        <v>68</v>
      </c>
      <c r="B35" s="6">
        <v>9.0909090909090898E-2</v>
      </c>
      <c r="C35" s="6">
        <v>0.133333333333333</v>
      </c>
      <c r="D35" s="6">
        <v>0</v>
      </c>
      <c r="E35" s="6">
        <v>0.5</v>
      </c>
      <c r="F35" s="6">
        <v>0.44444444444444398</v>
      </c>
      <c r="G35">
        <v>1</v>
      </c>
    </row>
    <row r="36" spans="1:7" x14ac:dyDescent="0.2">
      <c r="A36" t="s">
        <v>52</v>
      </c>
      <c r="B36" s="6">
        <v>0.40909090909090851</v>
      </c>
      <c r="C36" s="6">
        <v>0.53333333333333299</v>
      </c>
      <c r="D36" s="6">
        <v>0.58333333333333304</v>
      </c>
      <c r="E36" s="6">
        <v>0.5</v>
      </c>
      <c r="F36" s="6">
        <v>0.38888888888888851</v>
      </c>
      <c r="G36">
        <v>2</v>
      </c>
    </row>
    <row r="37" spans="1:7" x14ac:dyDescent="0.2">
      <c r="A37" t="s">
        <v>62</v>
      </c>
      <c r="B37" s="6">
        <v>0.18181818181818143</v>
      </c>
      <c r="C37" s="6">
        <v>0.266666666666666</v>
      </c>
      <c r="D37" s="6">
        <v>0.5</v>
      </c>
      <c r="E37" s="6">
        <v>1</v>
      </c>
      <c r="F37" s="6">
        <v>0.44444444444444398</v>
      </c>
      <c r="G37">
        <v>2</v>
      </c>
    </row>
    <row r="38" spans="1:7" x14ac:dyDescent="0.2">
      <c r="A38" t="s">
        <v>47</v>
      </c>
      <c r="B38" s="6">
        <v>0.22727272727272693</v>
      </c>
      <c r="C38" s="6">
        <v>0.39999999999999947</v>
      </c>
      <c r="D38" s="6">
        <v>0.58333333333333304</v>
      </c>
      <c r="E38" s="6">
        <v>0.5</v>
      </c>
      <c r="F38" s="6">
        <v>0.44444444444444398</v>
      </c>
      <c r="G38">
        <v>2</v>
      </c>
    </row>
    <row r="39" spans="1:7" x14ac:dyDescent="0.2">
      <c r="A39" t="s">
        <v>57</v>
      </c>
      <c r="B39" s="6">
        <v>0.18181818181818157</v>
      </c>
      <c r="C39" s="6">
        <v>0.33333333333333298</v>
      </c>
      <c r="D39" s="6">
        <v>5.555555555555533E-2</v>
      </c>
      <c r="E39" s="6">
        <v>0</v>
      </c>
      <c r="F39" s="6">
        <v>0.407407407407407</v>
      </c>
      <c r="G39">
        <v>3</v>
      </c>
    </row>
    <row r="40" spans="1:7" x14ac:dyDescent="0.2">
      <c r="A40" t="s">
        <v>53</v>
      </c>
      <c r="B40" s="6">
        <v>0.33333333333333265</v>
      </c>
      <c r="C40" s="6">
        <v>0.39999999999999963</v>
      </c>
      <c r="D40" s="6">
        <v>0.38888888888888834</v>
      </c>
      <c r="E40" s="6">
        <v>0.5</v>
      </c>
      <c r="F40" s="6">
        <v>0.48148148148148096</v>
      </c>
      <c r="G40">
        <v>3</v>
      </c>
    </row>
    <row r="41" spans="1:7" x14ac:dyDescent="0.2">
      <c r="A41" t="s">
        <v>66</v>
      </c>
      <c r="B41" s="6">
        <v>6.8181818181817969E-2</v>
      </c>
      <c r="C41" s="6">
        <v>0.21666666666666651</v>
      </c>
      <c r="D41" s="6">
        <v>0.49999999999999944</v>
      </c>
      <c r="E41" s="6">
        <v>0.75</v>
      </c>
      <c r="F41" s="6">
        <v>0.4999999999999995</v>
      </c>
      <c r="G41">
        <v>4</v>
      </c>
    </row>
    <row r="42" spans="1:7" x14ac:dyDescent="0.2">
      <c r="A42" t="s">
        <v>60</v>
      </c>
      <c r="B42" s="6">
        <v>0.25454545454545396</v>
      </c>
      <c r="C42" s="6">
        <v>0.49333333333333301</v>
      </c>
      <c r="D42" s="6">
        <v>0.5</v>
      </c>
      <c r="E42" s="6">
        <v>0.7</v>
      </c>
      <c r="F42" s="6">
        <v>0.59999999999999942</v>
      </c>
      <c r="G42">
        <v>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F2FF-2E55-5B4C-A3CB-DF670ADB43BC}">
  <dimension ref="A1:AS23"/>
  <sheetViews>
    <sheetView workbookViewId="0">
      <selection sqref="A1:XFD1048576"/>
    </sheetView>
  </sheetViews>
  <sheetFormatPr baseColWidth="10" defaultRowHeight="16" x14ac:dyDescent="0.2"/>
  <sheetData>
    <row r="1" spans="1:45" x14ac:dyDescent="0.2">
      <c r="A1" t="s">
        <v>0</v>
      </c>
      <c r="B1" t="s">
        <v>82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44</v>
      </c>
      <c r="B2" s="2">
        <f>DATE(YEAR(DATEVALUE(LEFT(A2,10))), MONTH(DATEVALUE(LEFT(A2,10))), 1)</f>
        <v>46023</v>
      </c>
      <c r="C2" t="s">
        <v>45</v>
      </c>
      <c r="D2" s="1">
        <v>8.4490740740740741E-3</v>
      </c>
      <c r="E2">
        <v>29</v>
      </c>
      <c r="F2" t="s">
        <v>46</v>
      </c>
      <c r="G2" t="s">
        <v>47</v>
      </c>
      <c r="H2" t="s">
        <v>48</v>
      </c>
      <c r="I2">
        <v>0.44444444444444398</v>
      </c>
      <c r="J2">
        <v>0.5</v>
      </c>
      <c r="K2">
        <v>0.66666666666666596</v>
      </c>
      <c r="L2">
        <v>0.266666666666666</v>
      </c>
      <c r="M2">
        <v>9.0909090909090898E-2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 t="s">
        <v>49</v>
      </c>
      <c r="AN2">
        <v>0</v>
      </c>
      <c r="AO2">
        <v>1</v>
      </c>
      <c r="AP2">
        <v>2</v>
      </c>
      <c r="AQ2">
        <v>0</v>
      </c>
      <c r="AR2">
        <v>0</v>
      </c>
      <c r="AS2">
        <v>0</v>
      </c>
    </row>
    <row r="3" spans="1:45" x14ac:dyDescent="0.2">
      <c r="A3" t="s">
        <v>50</v>
      </c>
      <c r="B3" s="2">
        <f t="shared" ref="B3:B23" si="0">DATE(YEAR(DATEVALUE(LEFT(A3,10))), MONTH(DATEVALUE(LEFT(A3,10))), 1)</f>
        <v>46023</v>
      </c>
      <c r="C3" t="s">
        <v>51</v>
      </c>
      <c r="D3" s="1">
        <v>7.2337962962962963E-3</v>
      </c>
      <c r="E3">
        <v>29</v>
      </c>
      <c r="F3" t="s">
        <v>46</v>
      </c>
      <c r="G3" t="s">
        <v>52</v>
      </c>
      <c r="H3" t="s">
        <v>48</v>
      </c>
      <c r="I3">
        <v>0.22222222222222199</v>
      </c>
      <c r="J3">
        <v>0.5</v>
      </c>
      <c r="K3">
        <v>0.66666666666666596</v>
      </c>
      <c r="L3">
        <v>0.53333333333333299</v>
      </c>
      <c r="M3">
        <v>0.36363636363636298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 t="s">
        <v>49</v>
      </c>
      <c r="AN3">
        <v>0</v>
      </c>
      <c r="AO3">
        <v>1</v>
      </c>
      <c r="AP3">
        <v>2</v>
      </c>
      <c r="AQ3">
        <v>0</v>
      </c>
      <c r="AR3">
        <v>0</v>
      </c>
      <c r="AS3">
        <v>0</v>
      </c>
    </row>
    <row r="4" spans="1:45" x14ac:dyDescent="0.2">
      <c r="A4" t="s">
        <v>50</v>
      </c>
      <c r="B4" s="2">
        <f t="shared" si="0"/>
        <v>46023</v>
      </c>
      <c r="C4" t="s">
        <v>51</v>
      </c>
      <c r="D4" s="1">
        <v>7.8356481481481489E-3</v>
      </c>
      <c r="E4">
        <v>29</v>
      </c>
      <c r="F4" t="s">
        <v>46</v>
      </c>
      <c r="G4" t="s">
        <v>53</v>
      </c>
      <c r="H4" t="s">
        <v>48</v>
      </c>
      <c r="I4">
        <v>0.33333333333333298</v>
      </c>
      <c r="J4">
        <v>0</v>
      </c>
      <c r="K4">
        <v>0.16666666666666599</v>
      </c>
      <c r="L4">
        <v>0.33333333333333298</v>
      </c>
      <c r="M4">
        <v>0.18181818181818099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 t="s">
        <v>49</v>
      </c>
      <c r="AN4">
        <v>0</v>
      </c>
      <c r="AO4">
        <v>1</v>
      </c>
      <c r="AP4">
        <v>2</v>
      </c>
      <c r="AQ4">
        <v>0</v>
      </c>
      <c r="AR4">
        <v>0</v>
      </c>
      <c r="AS4">
        <v>0</v>
      </c>
    </row>
    <row r="5" spans="1:45" x14ac:dyDescent="0.2">
      <c r="A5" t="s">
        <v>54</v>
      </c>
      <c r="B5" s="2">
        <f t="shared" si="0"/>
        <v>46023</v>
      </c>
      <c r="C5" t="s">
        <v>55</v>
      </c>
      <c r="D5" s="1">
        <v>6.7592592592592591E-3</v>
      </c>
      <c r="E5">
        <v>5</v>
      </c>
      <c r="F5" t="s">
        <v>56</v>
      </c>
      <c r="G5" t="s">
        <v>57</v>
      </c>
      <c r="H5" t="s">
        <v>48</v>
      </c>
      <c r="I5">
        <v>0.33333333333333298</v>
      </c>
      <c r="J5">
        <v>0</v>
      </c>
      <c r="K5">
        <v>0.16666666666666599</v>
      </c>
      <c r="L5">
        <v>0.266666666666666</v>
      </c>
      <c r="M5">
        <v>9.0909090909090898E-2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49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</row>
    <row r="6" spans="1:45" x14ac:dyDescent="0.2">
      <c r="A6" t="s">
        <v>58</v>
      </c>
      <c r="B6" s="2">
        <f t="shared" si="0"/>
        <v>46023</v>
      </c>
      <c r="C6" t="s">
        <v>45</v>
      </c>
      <c r="D6" s="1">
        <v>1.6203703703703703E-2</v>
      </c>
      <c r="E6">
        <v>26</v>
      </c>
      <c r="F6" t="s">
        <v>59</v>
      </c>
      <c r="G6" t="s">
        <v>47</v>
      </c>
      <c r="H6" t="s">
        <v>48</v>
      </c>
      <c r="I6">
        <v>0.44444444444444398</v>
      </c>
      <c r="J6">
        <v>0.5</v>
      </c>
      <c r="K6">
        <v>0.5</v>
      </c>
      <c r="L6">
        <v>0.53333333333333299</v>
      </c>
      <c r="M6">
        <v>0.36363636363636298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s">
        <v>49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</row>
    <row r="7" spans="1:45" x14ac:dyDescent="0.2">
      <c r="A7" t="s">
        <v>58</v>
      </c>
      <c r="B7" s="2">
        <f t="shared" si="0"/>
        <v>46023</v>
      </c>
      <c r="C7" t="s">
        <v>45</v>
      </c>
      <c r="D7" s="1">
        <v>1.0844907407407407E-2</v>
      </c>
      <c r="E7">
        <v>29</v>
      </c>
      <c r="F7" t="s">
        <v>46</v>
      </c>
      <c r="G7" t="s">
        <v>60</v>
      </c>
      <c r="H7" t="s">
        <v>48</v>
      </c>
      <c r="I7">
        <v>0.33333333333333298</v>
      </c>
      <c r="J7">
        <v>0.5</v>
      </c>
      <c r="K7">
        <v>0.5</v>
      </c>
      <c r="L7">
        <v>0.33333333333333298</v>
      </c>
      <c r="M7">
        <v>9.0909090909090898E-2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 t="s">
        <v>49</v>
      </c>
      <c r="AN7">
        <v>0</v>
      </c>
      <c r="AO7">
        <v>1</v>
      </c>
      <c r="AP7">
        <v>2</v>
      </c>
      <c r="AQ7">
        <v>0</v>
      </c>
      <c r="AR7">
        <v>0</v>
      </c>
      <c r="AS7">
        <v>0</v>
      </c>
    </row>
    <row r="8" spans="1:45" x14ac:dyDescent="0.2">
      <c r="A8" t="s">
        <v>61</v>
      </c>
      <c r="B8" s="2">
        <f t="shared" si="0"/>
        <v>46023</v>
      </c>
      <c r="C8" t="s">
        <v>51</v>
      </c>
      <c r="D8" s="1">
        <v>1.8530092592592591E-2</v>
      </c>
      <c r="E8">
        <v>26</v>
      </c>
      <c r="F8" t="s">
        <v>59</v>
      </c>
      <c r="G8" t="s">
        <v>53</v>
      </c>
      <c r="H8" t="s">
        <v>48</v>
      </c>
      <c r="I8">
        <v>0.44444444444444398</v>
      </c>
      <c r="J8">
        <v>0.5</v>
      </c>
      <c r="K8">
        <v>0.66666666666666596</v>
      </c>
      <c r="L8">
        <v>0.2</v>
      </c>
      <c r="M8">
        <v>0.18181818181818099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s">
        <v>49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</row>
    <row r="9" spans="1:45" x14ac:dyDescent="0.2">
      <c r="A9" t="s">
        <v>61</v>
      </c>
      <c r="B9" s="2">
        <f t="shared" si="0"/>
        <v>46023</v>
      </c>
      <c r="C9" t="s">
        <v>51</v>
      </c>
      <c r="D9" s="1">
        <v>8.9004629629629625E-3</v>
      </c>
      <c r="E9">
        <v>29</v>
      </c>
      <c r="F9" t="s">
        <v>46</v>
      </c>
      <c r="G9" t="s">
        <v>62</v>
      </c>
      <c r="H9" t="s">
        <v>48</v>
      </c>
      <c r="I9">
        <v>0.33333333333333298</v>
      </c>
      <c r="J9">
        <v>1</v>
      </c>
      <c r="K9">
        <v>0.5</v>
      </c>
      <c r="L9">
        <v>0.266666666666666</v>
      </c>
      <c r="M9">
        <v>9.0909090909090898E-2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 t="s">
        <v>49</v>
      </c>
      <c r="AN9">
        <v>0</v>
      </c>
      <c r="AO9">
        <v>1</v>
      </c>
      <c r="AP9">
        <v>2</v>
      </c>
      <c r="AQ9">
        <v>0</v>
      </c>
      <c r="AR9">
        <v>0</v>
      </c>
      <c r="AS9">
        <v>0</v>
      </c>
    </row>
    <row r="10" spans="1:45" x14ac:dyDescent="0.2">
      <c r="A10" t="s">
        <v>63</v>
      </c>
      <c r="B10" s="2">
        <f t="shared" si="0"/>
        <v>46054</v>
      </c>
      <c r="C10" t="s">
        <v>64</v>
      </c>
      <c r="D10" s="1">
        <v>1.3356481481481481E-2</v>
      </c>
      <c r="E10">
        <v>31</v>
      </c>
      <c r="F10" t="s">
        <v>65</v>
      </c>
      <c r="G10" t="s">
        <v>66</v>
      </c>
      <c r="H10" t="s">
        <v>48</v>
      </c>
      <c r="I10">
        <v>0.55555555555555503</v>
      </c>
      <c r="J10">
        <v>1</v>
      </c>
      <c r="K10">
        <v>0.66666666666666596</v>
      </c>
      <c r="L10">
        <v>0.33333333333333298</v>
      </c>
      <c r="M10">
        <v>0.18181818181818099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s">
        <v>49</v>
      </c>
      <c r="AN10">
        <v>0</v>
      </c>
      <c r="AO10">
        <v>1</v>
      </c>
      <c r="AP10">
        <v>1</v>
      </c>
      <c r="AQ10">
        <v>0</v>
      </c>
      <c r="AR10">
        <v>0</v>
      </c>
      <c r="AS10">
        <v>0</v>
      </c>
    </row>
    <row r="11" spans="1:45" x14ac:dyDescent="0.2">
      <c r="A11" t="s">
        <v>67</v>
      </c>
      <c r="B11" s="2">
        <f t="shared" si="0"/>
        <v>46054</v>
      </c>
      <c r="C11" t="s">
        <v>55</v>
      </c>
      <c r="D11" s="1">
        <v>1.3900462962962963E-2</v>
      </c>
      <c r="E11">
        <v>5</v>
      </c>
      <c r="F11" t="s">
        <v>56</v>
      </c>
      <c r="G11" t="s">
        <v>68</v>
      </c>
      <c r="H11" t="s">
        <v>69</v>
      </c>
      <c r="I11">
        <v>0.44444444444444398</v>
      </c>
      <c r="J11">
        <v>0.5</v>
      </c>
      <c r="K11">
        <v>0</v>
      </c>
      <c r="L11">
        <v>0.133333333333333</v>
      </c>
      <c r="M11">
        <v>9.0909090909090898E-2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 t="s">
        <v>49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</row>
    <row r="12" spans="1:45" x14ac:dyDescent="0.2">
      <c r="A12" t="s">
        <v>67</v>
      </c>
      <c r="B12" s="2">
        <f t="shared" si="0"/>
        <v>46054</v>
      </c>
      <c r="C12" t="s">
        <v>55</v>
      </c>
      <c r="D12" s="1">
        <v>1.224537037037037E-2</v>
      </c>
      <c r="E12">
        <v>26</v>
      </c>
      <c r="F12" t="s">
        <v>59</v>
      </c>
      <c r="G12" t="s">
        <v>60</v>
      </c>
      <c r="H12" t="s">
        <v>48</v>
      </c>
      <c r="I12">
        <v>0.55555555555555503</v>
      </c>
      <c r="J12">
        <v>0.5</v>
      </c>
      <c r="K12">
        <v>0.5</v>
      </c>
      <c r="L12">
        <v>0.53333333333333299</v>
      </c>
      <c r="M12">
        <v>0.18181818181818099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 t="s">
        <v>49</v>
      </c>
      <c r="AN12">
        <v>0</v>
      </c>
      <c r="AO12">
        <v>2</v>
      </c>
      <c r="AP12">
        <v>0</v>
      </c>
      <c r="AQ12">
        <v>0</v>
      </c>
      <c r="AR12">
        <v>0</v>
      </c>
      <c r="AS12">
        <v>0</v>
      </c>
    </row>
    <row r="13" spans="1:45" x14ac:dyDescent="0.2">
      <c r="A13" t="s">
        <v>70</v>
      </c>
      <c r="B13" s="2">
        <f t="shared" si="0"/>
        <v>46054</v>
      </c>
      <c r="C13" t="s">
        <v>45</v>
      </c>
      <c r="D13" s="1">
        <v>1.3900462962962963E-2</v>
      </c>
      <c r="E13">
        <v>5</v>
      </c>
      <c r="F13" t="s">
        <v>56</v>
      </c>
      <c r="G13" t="s">
        <v>57</v>
      </c>
      <c r="H13" t="s">
        <v>69</v>
      </c>
      <c r="I13">
        <v>0.22222222222222199</v>
      </c>
      <c r="J13">
        <v>0</v>
      </c>
      <c r="K13">
        <v>0</v>
      </c>
      <c r="L13">
        <v>0.133333333333333</v>
      </c>
      <c r="M13">
        <v>9.0909090909090898E-2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 t="s">
        <v>49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</row>
    <row r="14" spans="1:45" x14ac:dyDescent="0.2">
      <c r="A14" t="s">
        <v>71</v>
      </c>
      <c r="B14" s="2">
        <f t="shared" si="0"/>
        <v>46054</v>
      </c>
      <c r="C14" t="s">
        <v>51</v>
      </c>
      <c r="D14" s="1">
        <v>2.7766203703703703E-2</v>
      </c>
      <c r="E14">
        <v>30</v>
      </c>
      <c r="F14" t="s">
        <v>72</v>
      </c>
      <c r="G14" t="s">
        <v>60</v>
      </c>
      <c r="H14" t="s">
        <v>48</v>
      </c>
      <c r="I14">
        <v>0.66666666666666596</v>
      </c>
      <c r="J14">
        <v>0.5</v>
      </c>
      <c r="K14">
        <v>0.5</v>
      </c>
      <c r="L14">
        <v>0.53333333333333299</v>
      </c>
      <c r="M14">
        <v>0.27272727272727199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 t="s">
        <v>49</v>
      </c>
      <c r="AN14">
        <v>1</v>
      </c>
      <c r="AO14">
        <v>2</v>
      </c>
      <c r="AP14">
        <v>2</v>
      </c>
      <c r="AQ14">
        <v>2</v>
      </c>
      <c r="AR14">
        <v>2</v>
      </c>
      <c r="AS14">
        <v>0</v>
      </c>
    </row>
    <row r="15" spans="1:45" x14ac:dyDescent="0.2">
      <c r="A15" t="s">
        <v>73</v>
      </c>
      <c r="B15" s="2">
        <f t="shared" si="0"/>
        <v>46054</v>
      </c>
      <c r="C15" t="s">
        <v>51</v>
      </c>
      <c r="D15" s="1">
        <v>1.3460648148148149E-2</v>
      </c>
      <c r="E15">
        <v>26</v>
      </c>
      <c r="F15" t="s">
        <v>74</v>
      </c>
      <c r="G15" t="s">
        <v>52</v>
      </c>
      <c r="H15" t="s">
        <v>48</v>
      </c>
      <c r="I15">
        <v>0.55555555555555503</v>
      </c>
      <c r="J15">
        <v>0.5</v>
      </c>
      <c r="K15">
        <v>0.5</v>
      </c>
      <c r="L15">
        <v>0.53333333333333299</v>
      </c>
      <c r="M15">
        <v>0.45454545454545398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 t="s">
        <v>49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</row>
    <row r="16" spans="1:45" x14ac:dyDescent="0.2">
      <c r="A16" t="s">
        <v>73</v>
      </c>
      <c r="B16" s="2">
        <f t="shared" si="0"/>
        <v>46054</v>
      </c>
      <c r="C16" t="s">
        <v>51</v>
      </c>
      <c r="D16" s="1">
        <v>1.8599537037037036E-2</v>
      </c>
      <c r="E16">
        <v>33</v>
      </c>
      <c r="F16" t="s">
        <v>75</v>
      </c>
      <c r="G16" t="s">
        <v>60</v>
      </c>
      <c r="H16" t="s">
        <v>48</v>
      </c>
      <c r="I16">
        <v>0.88888888888888795</v>
      </c>
      <c r="J16">
        <v>1</v>
      </c>
      <c r="K16">
        <v>0.5</v>
      </c>
      <c r="L16">
        <v>0.53333333333333299</v>
      </c>
      <c r="M16">
        <v>0.36363636363636298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 t="s">
        <v>49</v>
      </c>
      <c r="AN16">
        <v>1</v>
      </c>
      <c r="AO16">
        <v>0</v>
      </c>
      <c r="AP16">
        <v>1</v>
      </c>
      <c r="AQ16">
        <v>1</v>
      </c>
      <c r="AR16">
        <v>0</v>
      </c>
      <c r="AS16">
        <v>0</v>
      </c>
    </row>
    <row r="17" spans="1:45" x14ac:dyDescent="0.2">
      <c r="A17" t="s">
        <v>76</v>
      </c>
      <c r="B17" s="2">
        <f t="shared" si="0"/>
        <v>46054</v>
      </c>
      <c r="C17" t="s">
        <v>51</v>
      </c>
      <c r="D17" s="1">
        <v>1.3912037037037037E-2</v>
      </c>
      <c r="E17">
        <v>5</v>
      </c>
      <c r="F17" t="s">
        <v>65</v>
      </c>
      <c r="G17" t="s">
        <v>66</v>
      </c>
      <c r="H17" t="s">
        <v>69</v>
      </c>
      <c r="I17">
        <v>0.44444444444444398</v>
      </c>
      <c r="J17">
        <v>0.5</v>
      </c>
      <c r="K17">
        <v>0.33333333333333298</v>
      </c>
      <c r="L17">
        <v>0.133333333333333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 t="s">
        <v>49</v>
      </c>
      <c r="AN17">
        <v>0</v>
      </c>
      <c r="AO17">
        <v>1</v>
      </c>
      <c r="AP17">
        <v>1</v>
      </c>
      <c r="AQ17">
        <v>0</v>
      </c>
      <c r="AR17">
        <v>0</v>
      </c>
      <c r="AS17">
        <v>0</v>
      </c>
    </row>
    <row r="18" spans="1:45" x14ac:dyDescent="0.2">
      <c r="A18" t="s">
        <v>77</v>
      </c>
      <c r="B18" s="2">
        <f t="shared" si="0"/>
        <v>46054</v>
      </c>
      <c r="C18" t="s">
        <v>64</v>
      </c>
      <c r="D18" s="1">
        <v>1.6793981481481483E-2</v>
      </c>
      <c r="E18">
        <v>26</v>
      </c>
      <c r="F18" t="s">
        <v>74</v>
      </c>
      <c r="G18" t="s">
        <v>66</v>
      </c>
      <c r="H18" t="s">
        <v>48</v>
      </c>
      <c r="I18">
        <v>0.66666666666666596</v>
      </c>
      <c r="J18">
        <v>1</v>
      </c>
      <c r="K18">
        <v>0.66666666666666596</v>
      </c>
      <c r="L18">
        <v>0.2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 t="s">
        <v>49</v>
      </c>
      <c r="AN18">
        <v>0</v>
      </c>
      <c r="AO18">
        <v>2</v>
      </c>
      <c r="AP18">
        <v>0</v>
      </c>
      <c r="AQ18">
        <v>0</v>
      </c>
      <c r="AR18">
        <v>0</v>
      </c>
      <c r="AS18">
        <v>0</v>
      </c>
    </row>
    <row r="19" spans="1:45" x14ac:dyDescent="0.2">
      <c r="A19" t="s">
        <v>78</v>
      </c>
      <c r="B19" s="2">
        <f t="shared" si="0"/>
        <v>46054</v>
      </c>
      <c r="C19" t="s">
        <v>55</v>
      </c>
      <c r="D19" s="1">
        <v>2.0868055555555556E-2</v>
      </c>
      <c r="E19">
        <v>26</v>
      </c>
      <c r="F19" t="s">
        <v>74</v>
      </c>
      <c r="G19" t="s">
        <v>66</v>
      </c>
      <c r="H19" t="s">
        <v>69</v>
      </c>
      <c r="I19">
        <v>0.33333333333333298</v>
      </c>
      <c r="J19">
        <v>0.5</v>
      </c>
      <c r="K19">
        <v>0.33333333333333298</v>
      </c>
      <c r="L19">
        <v>0.2</v>
      </c>
      <c r="M19">
        <v>9.0909090909090898E-2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49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0</v>
      </c>
    </row>
    <row r="20" spans="1:45" x14ac:dyDescent="0.2">
      <c r="A20" t="s">
        <v>79</v>
      </c>
      <c r="B20" s="2">
        <f t="shared" si="0"/>
        <v>46054</v>
      </c>
      <c r="C20" t="s">
        <v>51</v>
      </c>
      <c r="D20" s="1">
        <v>1.3912037037037037E-2</v>
      </c>
      <c r="E20">
        <v>5</v>
      </c>
      <c r="F20" t="s">
        <v>65</v>
      </c>
      <c r="G20" t="s">
        <v>57</v>
      </c>
      <c r="H20" t="s">
        <v>69</v>
      </c>
      <c r="I20">
        <v>0.66666666666666596</v>
      </c>
      <c r="J20">
        <v>0</v>
      </c>
      <c r="K20">
        <v>0</v>
      </c>
      <c r="L20">
        <v>0.6</v>
      </c>
      <c r="M20">
        <v>0.36363636363636298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 t="s">
        <v>49</v>
      </c>
      <c r="AN20">
        <v>0</v>
      </c>
      <c r="AO20">
        <v>1</v>
      </c>
      <c r="AP20">
        <v>1</v>
      </c>
      <c r="AQ20">
        <v>0</v>
      </c>
      <c r="AR20">
        <v>0</v>
      </c>
      <c r="AS20">
        <v>0</v>
      </c>
    </row>
    <row r="21" spans="1:45" x14ac:dyDescent="0.2">
      <c r="A21" t="s">
        <v>79</v>
      </c>
      <c r="B21" s="2">
        <f t="shared" si="0"/>
        <v>46054</v>
      </c>
      <c r="C21" t="s">
        <v>51</v>
      </c>
      <c r="D21" s="1">
        <v>2.1435185185185186E-2</v>
      </c>
      <c r="E21">
        <v>33</v>
      </c>
      <c r="F21" t="s">
        <v>75</v>
      </c>
      <c r="G21" t="s">
        <v>62</v>
      </c>
      <c r="H21" t="s">
        <v>48</v>
      </c>
      <c r="I21">
        <v>0.55555555555555503</v>
      </c>
      <c r="J21">
        <v>1</v>
      </c>
      <c r="K21">
        <v>0.5</v>
      </c>
      <c r="L21">
        <v>0.266666666666666</v>
      </c>
      <c r="M21">
        <v>0.27272727272727199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 t="s">
        <v>49</v>
      </c>
      <c r="AN21">
        <v>1</v>
      </c>
      <c r="AO21">
        <v>0</v>
      </c>
      <c r="AP21">
        <v>1</v>
      </c>
      <c r="AQ21">
        <v>1</v>
      </c>
      <c r="AR21">
        <v>0</v>
      </c>
      <c r="AS21">
        <v>0</v>
      </c>
    </row>
    <row r="22" spans="1:45" x14ac:dyDescent="0.2">
      <c r="A22" t="s">
        <v>80</v>
      </c>
      <c r="B22" s="2">
        <f t="shared" si="0"/>
        <v>46082</v>
      </c>
      <c r="C22" t="s">
        <v>55</v>
      </c>
      <c r="D22" s="1">
        <v>2.7800925925925927E-2</v>
      </c>
      <c r="E22">
        <v>30</v>
      </c>
      <c r="F22" t="s">
        <v>72</v>
      </c>
      <c r="G22" t="s">
        <v>53</v>
      </c>
      <c r="H22" t="s">
        <v>69</v>
      </c>
      <c r="I22">
        <v>0.66666666666666596</v>
      </c>
      <c r="J22">
        <v>1</v>
      </c>
      <c r="K22">
        <v>0.33333333333333298</v>
      </c>
      <c r="L22">
        <v>0.66666666666666596</v>
      </c>
      <c r="M22">
        <v>0.63636363636363602</v>
      </c>
      <c r="N22">
        <v>0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 t="s">
        <v>49</v>
      </c>
      <c r="AN22">
        <v>1</v>
      </c>
      <c r="AO22">
        <v>2</v>
      </c>
      <c r="AP22">
        <v>2</v>
      </c>
      <c r="AQ22">
        <v>2</v>
      </c>
      <c r="AR22">
        <v>2</v>
      </c>
      <c r="AS22">
        <v>0</v>
      </c>
    </row>
    <row r="23" spans="1:45" x14ac:dyDescent="0.2">
      <c r="A23" t="s">
        <v>81</v>
      </c>
      <c r="B23" s="2">
        <f t="shared" si="0"/>
        <v>46082</v>
      </c>
      <c r="C23" t="s">
        <v>45</v>
      </c>
      <c r="D23" s="1">
        <v>2.4444444444444446E-2</v>
      </c>
      <c r="E23">
        <v>30</v>
      </c>
      <c r="F23" t="s">
        <v>72</v>
      </c>
      <c r="G23" t="s">
        <v>60</v>
      </c>
      <c r="H23" t="s">
        <v>48</v>
      </c>
      <c r="I23">
        <v>0.55555555555555503</v>
      </c>
      <c r="J23">
        <v>1</v>
      </c>
      <c r="K23">
        <v>0.5</v>
      </c>
      <c r="L23">
        <v>0.53333333333333299</v>
      </c>
      <c r="M23">
        <v>0.36363636363636298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 t="s">
        <v>49</v>
      </c>
      <c r="AN23">
        <v>1</v>
      </c>
      <c r="AO23">
        <v>2</v>
      </c>
      <c r="AP23">
        <v>2</v>
      </c>
      <c r="AQ23">
        <v>2</v>
      </c>
      <c r="AR23">
        <v>2</v>
      </c>
      <c r="AS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airtable pivot</vt:lpstr>
      <vt:lpstr>Charts</vt:lpstr>
      <vt:lpstr>Airtable</vt:lpstr>
      <vt:lpstr>sessions pivot</vt:lpstr>
      <vt:lpstr>bloomberg_sessions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2026-03-10T16:14:43Z</dcterms:created>
  <dcterms:modified xsi:type="dcterms:W3CDTF">2026-03-10T16:29:27Z</dcterms:modified>
</cp:coreProperties>
</file>