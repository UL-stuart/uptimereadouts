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sonic/april 2026/"/>
    </mc:Choice>
  </mc:AlternateContent>
  <xr:revisionPtr revIDLastSave="0" documentId="13_ncr:1_{481EB304-98F5-8E4D-817B-73725B90CB56}" xr6:coauthVersionLast="47" xr6:coauthVersionMax="47" xr10:uidLastSave="{00000000-0000-0000-0000-000000000000}"/>
  <bookViews>
    <workbookView xWindow="3080" yWindow="2200" windowWidth="28040" windowHeight="17180" activeTab="1" xr2:uid="{ADBC70A6-D803-6F47-96C1-A22483F89999}"/>
  </bookViews>
  <sheets>
    <sheet name="GUOT Pivot" sheetId="5" r:id="rId1"/>
    <sheet name="Charts" sheetId="6" r:id="rId2"/>
    <sheet name="GUOT" sheetId="4" r:id="rId3"/>
    <sheet name="usage" sheetId="2" r:id="rId4"/>
    <sheet name="csv_for_dragging" sheetId="1" r:id="rId5"/>
  </sheets>
  <calcPr calcId="191029"/>
  <pivotCaches>
    <pivotCache cacheId="1" r:id="rId6"/>
    <pivotCache cacheId="6"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B4" i="4"/>
  <c r="B5" i="4"/>
  <c r="B6" i="4"/>
  <c r="B7" i="4"/>
  <c r="B8" i="4"/>
  <c r="B9" i="4"/>
  <c r="B10" i="4"/>
  <c r="B11" i="4"/>
  <c r="B12" i="4"/>
  <c r="B13" i="4"/>
  <c r="B2" i="4"/>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2" i="1"/>
</calcChain>
</file>

<file path=xl/sharedStrings.xml><?xml version="1.0" encoding="utf-8"?>
<sst xmlns="http://schemas.openxmlformats.org/spreadsheetml/2006/main" count="592" uniqueCount="198">
  <si>
    <t>session_start</t>
  </si>
  <si>
    <t>day_of_week</t>
  </si>
  <si>
    <t>duration</t>
  </si>
  <si>
    <t>level</t>
  </si>
  <si>
    <t>name</t>
  </si>
  <si>
    <t>player</t>
  </si>
  <si>
    <t>completion_status</t>
  </si>
  <si>
    <t>identify_scope</t>
  </si>
  <si>
    <t>incident_mechanics</t>
  </si>
  <si>
    <t>external_comms</t>
  </si>
  <si>
    <t>internal_comms</t>
  </si>
  <si>
    <t>commanding_the_incident</t>
  </si>
  <si>
    <t>Complexity: Ambiguous cues (multiple alternatives)</t>
  </si>
  <si>
    <t>Complexity: Attention Demands</t>
  </si>
  <si>
    <t>Complexity: Conflicting Advice</t>
  </si>
  <si>
    <t>Complexity: Decreased access to team members</t>
  </si>
  <si>
    <t>Complexity: Distributed information across individuals/organiza</t>
  </si>
  <si>
    <t>Complexity: Doublebind situations (dilemmas)</t>
  </si>
  <si>
    <t>Complexity: False prime explanations (garden path)</t>
  </si>
  <si>
    <t>Complexity: Hidden coupling (effects at a distance; cascading e</t>
  </si>
  <si>
    <t>Complexity: Implied relationship (red herring)</t>
  </si>
  <si>
    <t>Complexity: Interdependencies amongst roles (someone needs some</t>
  </si>
  <si>
    <t>Complexity: Lack of predefined plan</t>
  </si>
  <si>
    <t>Complexity: Misleading indicators (low predictive value)</t>
  </si>
  <si>
    <t>Complexity: Mismatch between prede fined plans or procedures an</t>
  </si>
  <si>
    <t>Complexity: Missing Information</t>
  </si>
  <si>
    <t>Complexity: Multi Party Dilema</t>
  </si>
  <si>
    <t>Complexity: Multiple simultaneous influences (more than one exp</t>
  </si>
  <si>
    <t>Complexity: Multiple simultaneous influences (multiple explanat</t>
  </si>
  <si>
    <t>Complexity: Saturation</t>
  </si>
  <si>
    <t>Complexity: Simultaneous seperate issues</t>
  </si>
  <si>
    <t>Complexity: Stakeholder Interference</t>
  </si>
  <si>
    <t>Complexity: Stereotype violations (not the usual suspect)</t>
  </si>
  <si>
    <t>Complexity: Stress or fatigue</t>
  </si>
  <si>
    <t>Complexity: Uncertain information (unreliable data)</t>
  </si>
  <si>
    <t>Complexity: Unintended effects (managing side effects)</t>
  </si>
  <si>
    <t>Complexity: Absence of strong signals (no alarms, no threshold</t>
  </si>
  <si>
    <t>max</t>
  </si>
  <si>
    <t>Category: Detecting</t>
  </si>
  <si>
    <t>Category: Sensemaking</t>
  </si>
  <si>
    <t>Category: Planning</t>
  </si>
  <si>
    <t>Category: Deciding</t>
  </si>
  <si>
    <t>Category: Coordination</t>
  </si>
  <si>
    <t>Category: Executing</t>
  </si>
  <si>
    <t>2025-04-03 01:00:00.000 +0100</t>
  </si>
  <si>
    <t xml:space="preserve">Thursday </t>
  </si>
  <si>
    <t>First day blues</t>
  </si>
  <si>
    <t>seth.lohr</t>
  </si>
  <si>
    <t>COMPLETED</t>
  </si>
  <si>
    <t>0.11111111111111111111</t>
  </si>
  <si>
    <t>0.16666666666666666667</t>
  </si>
  <si>
    <t>0.20000000000000000000</t>
  </si>
  <si>
    <t>0.09090909090909090909</t>
  </si>
  <si>
    <t>-</t>
  </si>
  <si>
    <t>2025-07-03 01:00:00.000 +0100</t>
  </si>
  <si>
    <t>Too Good To Be True</t>
  </si>
  <si>
    <t>leigh.burton</t>
  </si>
  <si>
    <t>0.44444444444444444444</t>
  </si>
  <si>
    <t>1.00000000000000000000</t>
  </si>
  <si>
    <t>0.66666666666666666667</t>
  </si>
  <si>
    <t>0.46666666666666666667</t>
  </si>
  <si>
    <t>0.27272727272727272727</t>
  </si>
  <si>
    <t>joe.muller</t>
  </si>
  <si>
    <t>0.55555555555555555556</t>
  </si>
  <si>
    <t>0.33333333333333333333</t>
  </si>
  <si>
    <t>2025-07-07 01:00:00.000 +0100</t>
  </si>
  <si>
    <t xml:space="preserve">Monday   </t>
  </si>
  <si>
    <t>The Big Investor</t>
  </si>
  <si>
    <t>OUT_OF_TIME</t>
  </si>
  <si>
    <t>0.50000000000000000000</t>
  </si>
  <si>
    <t>0.40000000000000000000</t>
  </si>
  <si>
    <t>2025-07-10 01:00:00.000 +0100</t>
  </si>
  <si>
    <t>Discount Disaster</t>
  </si>
  <si>
    <t>0.36363636363636363636</t>
  </si>
  <si>
    <t>kevan.benson</t>
  </si>
  <si>
    <t>0.53333333333333333333</t>
  </si>
  <si>
    <t>0.45454545454545454545</t>
  </si>
  <si>
    <t>2025-07-15 01:00:00.000 +0100</t>
  </si>
  <si>
    <t xml:space="preserve">Tuesday  </t>
  </si>
  <si>
    <t>2025-07-16 01:00:00.000 +0100</t>
  </si>
  <si>
    <t>Wednesday</t>
  </si>
  <si>
    <t>0.26666666666666666667</t>
  </si>
  <si>
    <t>2025-07-17 01:00:00.000 +0100</t>
  </si>
  <si>
    <t>The Disappearing Act</t>
  </si>
  <si>
    <t>0.83333333333333333333</t>
  </si>
  <si>
    <t>2025-09-15 01:00:00.000 +0100</t>
  </si>
  <si>
    <t>Too Good To Be True V2</t>
  </si>
  <si>
    <t>0.18181818181818181818</t>
  </si>
  <si>
    <t>2025-09-17 01:00:00.000 +0100</t>
  </si>
  <si>
    <t>Bezs Beatles Day! V2</t>
  </si>
  <si>
    <t>2025-09-22 01:00:00.000 +0100</t>
  </si>
  <si>
    <t>0.22222222222222222222</t>
  </si>
  <si>
    <t>2025-09-23 01:00:00.000 +0100</t>
  </si>
  <si>
    <t>0.60000000000000000000</t>
  </si>
  <si>
    <t>2025-09-24 01:00:00.000 +0100</t>
  </si>
  <si>
    <t>Rumours</t>
  </si>
  <si>
    <t>2025-09-29 01:00:00.000 +0100</t>
  </si>
  <si>
    <t>0.80000000000000000000</t>
  </si>
  <si>
    <t>0.63636363636363636364</t>
  </si>
  <si>
    <t>2025-09-30 01:00:00.000 +0100</t>
  </si>
  <si>
    <t>0.13333333333333333333</t>
  </si>
  <si>
    <t>2025-10-07 01:00:00.000 +0100</t>
  </si>
  <si>
    <t>The Big Investor V2</t>
  </si>
  <si>
    <t>0.54545454545454545455</t>
  </si>
  <si>
    <t>2025-10-13 01:00:00.000 +0100</t>
  </si>
  <si>
    <t>2025-10-14 01:00:00.000 +0100</t>
  </si>
  <si>
    <t>Missing Delivery</t>
  </si>
  <si>
    <t>2025-10-20 01:00:00.000 +0100</t>
  </si>
  <si>
    <t>0.88888888888888888889</t>
  </si>
  <si>
    <t>0.72727272727272727273</t>
  </si>
  <si>
    <t>2025-10-22 01:00:00.000 +0100</t>
  </si>
  <si>
    <t>DEFCON 1</t>
  </si>
  <si>
    <t>2025-10-23 01:00:00.000 +0100</t>
  </si>
  <si>
    <t>0.77777777777777777778</t>
  </si>
  <si>
    <t>2025-10-27 00:00:00.000 +0000</t>
  </si>
  <si>
    <t>2025-11-04 00:00:00.000 +0000</t>
  </si>
  <si>
    <t>Radio Silence</t>
  </si>
  <si>
    <t>2025-11-05 00:00:00.000 +0000</t>
  </si>
  <si>
    <t>Roblox</t>
  </si>
  <si>
    <t>2025-11-18 00:00:00.000 +0000</t>
  </si>
  <si>
    <t>2025-11-19 00:00:00.000 +0000</t>
  </si>
  <si>
    <t>2025-12-01 00:00:00.000 +0000</t>
  </si>
  <si>
    <t>2025-12-02 00:00:00.000 +0000</t>
  </si>
  <si>
    <t>2025-12-16 00:00:00.000 +0000</t>
  </si>
  <si>
    <t>2025-12-17 00:00:00.000 +0000</t>
  </si>
  <si>
    <t>2026-01-26 00:00:00.000 +0000</t>
  </si>
  <si>
    <t>The Chain</t>
  </si>
  <si>
    <t>2026-02-10 00:00:00.000 +0000</t>
  </si>
  <si>
    <t>2026-02-13 00:00:00.000 +0000</t>
  </si>
  <si>
    <t xml:space="preserve">Friday   </t>
  </si>
  <si>
    <t>2026-02-23 00:00:00.000 +0000</t>
  </si>
  <si>
    <t>The Switch</t>
  </si>
  <si>
    <t>2026-03-18 00:00:00.000 +0000</t>
  </si>
  <si>
    <t>2026-03-19 00:00:00.000 +0000</t>
  </si>
  <si>
    <t>2026-04-02 01:00:00.000 +0100</t>
  </si>
  <si>
    <t>alyssa.afaese</t>
  </si>
  <si>
    <t>2026-04-09 01:00:00.000 +0100</t>
  </si>
  <si>
    <t>Bezs Beatles Day!</t>
  </si>
  <si>
    <t>month</t>
  </si>
  <si>
    <t>Row Labels</t>
  </si>
  <si>
    <t>Grand Total</t>
  </si>
  <si>
    <t>Count of session_start</t>
  </si>
  <si>
    <t>Attended</t>
  </si>
  <si>
    <t>accurate</t>
  </si>
  <si>
    <t>She enjoyed the drill and said it was a good use of her time.  she felt the struggle between moving from a hand on technical role vs a commander and is looking forward to playing more sessions</t>
  </si>
  <si>
    <t>Charlene</t>
  </si>
  <si>
    <t>checked</t>
  </si>
  <si>
    <t>Onboarding,Too Good To Be True V2</t>
  </si>
  <si>
    <t>Sonic</t>
  </si>
  <si>
    <t>Alyssa</t>
  </si>
  <si>
    <t xml:space="preserve">It was very useful for him. He joined even though he was off for the day. Took a page full of notes. He has built up muscle memory - mentions why he asked Maya to isolate the system - coz of DEFCON1 drill's memory </t>
  </si>
  <si>
    <t>No Score</t>
  </si>
  <si>
    <t>Rishi</t>
  </si>
  <si>
    <t>PIR on Switch</t>
  </si>
  <si>
    <t>Joe</t>
  </si>
  <si>
    <t xml:space="preserve">Mentioned it was nice introduction to Security drills as he is familiar with this type of incidents </t>
  </si>
  <si>
    <t>Ed</t>
  </si>
  <si>
    <t xml:space="preserve">Great drill to time box and impact analysis.
One of few drill i am confident on my skills </t>
  </si>
  <si>
    <t>Karan</t>
  </si>
  <si>
    <t>Leigh</t>
  </si>
  <si>
    <t>She is looking forward to try the platform</t>
  </si>
  <si>
    <t>Intro</t>
  </si>
  <si>
    <t>Profile Report</t>
  </si>
  <si>
    <t>would be good if we could ask we could add his quote to our reference library- from Miranda
@Matthew Rooney or playing Switch</t>
  </si>
  <si>
    <t>Matthew</t>
  </si>
  <si>
    <t>He is looking forward to PIR and pushing for incident response within the sonic</t>
  </si>
  <si>
    <t>Make sure Switch works well</t>
  </si>
  <si>
    <t>Seth</t>
  </si>
  <si>
    <t>Really liked the drill, found it to be challenging (in a good way)</t>
  </si>
  <si>
    <t>The Chain,Grounding Workshop</t>
  </si>
  <si>
    <t>Enjoyed it. Learnt - Don't be afraid to rollback if a new feature doesn't work. It's better to have a working product than a partially broken one.
What it would take to get 10 ? 
Probably could be sort of push from bots when player feels stuck or needs suggestion</t>
  </si>
  <si>
    <t xml:space="preserve">PIR on chain next session </t>
  </si>
  <si>
    <t>Very insightful. The PIR provided by UL looks much fancier than what I filled out. People at sonic are more reactive than proactive . He's proposing this to his team on the learnings what he has got from discussions with UL</t>
  </si>
  <si>
    <t>Karan is this ready? G2?</t>
  </si>
  <si>
    <t>PIR on Chain</t>
  </si>
  <si>
    <t xml:space="preserve">Feels good to steal ideas from uptimelabs session to improve in sonic. Their team lags in incident comms. So learning CAN - to do grounding definitely makes difference. 
Also, the grafana dashboard looks cool here but yet to have something like this in sonic. 
What it'd take to get 10 ? 
Narrative was too generic not something new. Felt like same rollback and Daniel always making mistakes with deployments. So as per him, this experience was not upto mark. Mentioned that he loves these sessions to learn new things. </t>
  </si>
  <si>
    <t>Notes for Mildred</t>
  </si>
  <si>
    <t>Technical Issue Reason</t>
  </si>
  <si>
    <t>Technical Issues</t>
  </si>
  <si>
    <t>INC #</t>
  </si>
  <si>
    <t>Attendance Reason</t>
  </si>
  <si>
    <t>Attendance</t>
  </si>
  <si>
    <t>Feedback Notes</t>
  </si>
  <si>
    <t>Feedback Quality Score</t>
  </si>
  <si>
    <t>Session ID</t>
  </si>
  <si>
    <t>Score Notes</t>
  </si>
  <si>
    <t>GUOT</t>
  </si>
  <si>
    <t>Session Notes</t>
  </si>
  <si>
    <t>Star Guru</t>
  </si>
  <si>
    <t>Lead</t>
  </si>
  <si>
    <t>AI</t>
  </si>
  <si>
    <t>Session Plan</t>
  </si>
  <si>
    <t>Sessions Done</t>
  </si>
  <si>
    <t>Company</t>
  </si>
  <si>
    <t>Name</t>
  </si>
  <si>
    <t>Time</t>
  </si>
  <si>
    <t>Date</t>
  </si>
  <si>
    <t>Average of GUOT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</si>
</sst>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1" fontId="0" fillId="0" borderId="0" xfId="0" applyNumberFormat="1"/>
    <xf numFmtId="0" fontId="0" fillId="0" borderId="0" xfId="0" quotePrefix="1"/>
    <xf numFmtId="14" fontId="0" fillId="0" borderId="0" xfId="0" applyNumberFormat="1"/>
    <xf numFmtId="0" fontId="0" fillId="0" borderId="0" xfId="0" pivotButton="1"/>
    <xf numFmtId="0" fontId="0" fillId="0" borderId="0" xfId="0" applyAlignment="1">
      <alignment horizontal="left"/>
    </xf>
    <xf numFmtId="18" fontId="0" fillId="0" borderId="0" xfId="0" applyNumberFormat="1"/>
    <xf numFmtId="0" fontId="0" fillId="0" borderId="0" xfId="0" applyAlignment="1">
      <alignment wrapText="1"/>
    </xf>
    <xf numFmtId="1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[sonic_usage.xlsx]GUOT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Use Of Time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Pivot'!$A$4:$A$8</c:f>
              <c:strCache>
                <c:ptCount val="4"/>
                <c:pt idx="0">
                  <c:v>01/01/2026</c:v>
                </c:pt>
                <c:pt idx="1">
                  <c:v>01/02/2026</c:v>
                </c:pt>
                <c:pt idx="2">
                  <c:v>01/03/2026</c:v>
                </c:pt>
                <c:pt idx="3">
                  <c:v>01/04/2026</c:v>
                </c:pt>
              </c:strCache>
            </c:strRef>
          </c:cat>
          <c:val>
            <c:numRef>
              <c:f>'GUOT Pivot'!$B$4:$B$8</c:f>
              <c:numCache>
                <c:formatCode>General</c:formatCode>
                <c:ptCount val="4"/>
                <c:pt idx="0">
                  <c:v>7</c:v>
                </c:pt>
                <c:pt idx="1">
                  <c:v>9</c:v>
                </c:pt>
                <c:pt idx="2">
                  <c:v>9</c:v>
                </c:pt>
                <c:pt idx="3">
                  <c:v>7</c:v>
                </c:pt>
              </c:numCache>
            </c:numRef>
          </c:val>
          <c:smooth val="1"/>
          <c:extLst>
            <c:ext xmlns:c16="http://schemas.microsoft.com/office/drawing/2014/chart" uri="{C3380CC4-5D6E-409C-BE32-E72D297353CC}">
              <c16:uniqueId val="{00000000-FB44-EC4C-8940-5FA2378EF2E6}"/>
            </c:ext>
          </c:extLst>
        </c:ser>
        <c:dLbls>
          <c:showLegendKey val="0"/>
          <c:showVal val="0"/>
          <c:showCatName val="0"/>
          <c:showSerName val="0"/>
          <c:showPercent val="0"/>
          <c:showBubbleSize val="0"/>
        </c:dLbls>
        <c:smooth val="0"/>
        <c:axId val="1222654399"/>
        <c:axId val="1262318719"/>
      </c:lineChart>
      <c:catAx>
        <c:axId val="122265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18719"/>
        <c:crosses val="autoZero"/>
        <c:auto val="1"/>
        <c:lblAlgn val="ctr"/>
        <c:lblOffset val="100"/>
        <c:noMultiLvlLbl val="0"/>
      </c:catAx>
      <c:valAx>
        <c:axId val="126231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65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[sonic_usage.xlsx]GUOT 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Use Of Time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Pivot'!$A$4:$A$8</c:f>
              <c:strCache>
                <c:ptCount val="4"/>
                <c:pt idx="0">
                  <c:v>01/01/2026</c:v>
                </c:pt>
                <c:pt idx="1">
                  <c:v>01/02/2026</c:v>
                </c:pt>
                <c:pt idx="2">
                  <c:v>01/03/2026</c:v>
                </c:pt>
                <c:pt idx="3">
                  <c:v>01/04/2026</c:v>
                </c:pt>
              </c:strCache>
            </c:strRef>
          </c:cat>
          <c:val>
            <c:numRef>
              <c:f>'GUOT Pivot'!$B$4:$B$8</c:f>
              <c:numCache>
                <c:formatCode>General</c:formatCode>
                <c:ptCount val="4"/>
                <c:pt idx="0">
                  <c:v>7</c:v>
                </c:pt>
                <c:pt idx="1">
                  <c:v>9</c:v>
                </c:pt>
                <c:pt idx="2">
                  <c:v>9</c:v>
                </c:pt>
                <c:pt idx="3">
                  <c:v>7</c:v>
                </c:pt>
              </c:numCache>
            </c:numRef>
          </c:val>
          <c:smooth val="1"/>
          <c:extLst>
            <c:ext xmlns:c16="http://schemas.microsoft.com/office/drawing/2014/chart" uri="{C3380CC4-5D6E-409C-BE32-E72D297353CC}">
              <c16:uniqueId val="{00000000-F82C-CB4E-AB09-95CA9CDD8BC4}"/>
            </c:ext>
          </c:extLst>
        </c:ser>
        <c:dLbls>
          <c:showLegendKey val="0"/>
          <c:showVal val="0"/>
          <c:showCatName val="0"/>
          <c:showSerName val="0"/>
          <c:showPercent val="0"/>
          <c:showBubbleSize val="0"/>
        </c:dLbls>
        <c:smooth val="0"/>
        <c:axId val="1222654399"/>
        <c:axId val="1262318719"/>
      </c:lineChart>
      <c:catAx>
        <c:axId val="122265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18719"/>
        <c:crosses val="autoZero"/>
        <c:auto val="1"/>
        <c:lblAlgn val="ctr"/>
        <c:lblOffset val="100"/>
        <c:noMultiLvlLbl val="0"/>
      </c:catAx>
      <c:valAx>
        <c:axId val="126231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65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[sonic_usage.xlsx]usage!PivotTable1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usage!$B$3</c:f>
              <c:strCache>
                <c:ptCount val="1"/>
                <c:pt idx="0">
                  <c:v>Total</c:v>
                </c:pt>
              </c:strCache>
            </c:strRef>
          </c:tx>
          <c:spPr>
            <a:solidFill>
              <a:schemeClr val="accent1"/>
            </a:solidFill>
            <a:ln>
              <a:noFill/>
            </a:ln>
            <a:effectLst/>
          </c:spPr>
          <c:invertIfNegative val="0"/>
          <c:cat>
            <c:strRef>
              <c:f>usage!$A$4:$A$9</c:f>
              <c:strCache>
                <c:ptCount val="5"/>
                <c:pt idx="0">
                  <c:v>joe.muller</c:v>
                </c:pt>
                <c:pt idx="1">
                  <c:v>seth.lohr</c:v>
                </c:pt>
                <c:pt idx="2">
                  <c:v>leigh.burton</c:v>
                </c:pt>
                <c:pt idx="3">
                  <c:v>alyssa.afaese</c:v>
                </c:pt>
                <c:pt idx="4">
                  <c:v>kevan.benson</c:v>
                </c:pt>
              </c:strCache>
            </c:strRef>
          </c:cat>
          <c:val>
            <c:numRef>
              <c:f>usage!$B$4:$B$9</c:f>
              <c:numCache>
                <c:formatCode>General</c:formatCode>
                <c:ptCount val="5"/>
                <c:pt idx="0">
                  <c:v>13</c:v>
                </c:pt>
                <c:pt idx="1">
                  <c:v>12</c:v>
                </c:pt>
                <c:pt idx="2">
                  <c:v>12</c:v>
                </c:pt>
                <c:pt idx="3">
                  <c:v>2</c:v>
                </c:pt>
                <c:pt idx="4">
                  <c:v>1</c:v>
                </c:pt>
              </c:numCache>
            </c:numRef>
          </c:val>
          <c:extLst>
            <c:ext xmlns:c16="http://schemas.microsoft.com/office/drawing/2014/chart" uri="{C3380CC4-5D6E-409C-BE32-E72D297353CC}">
              <c16:uniqueId val="{00000000-5309-9346-9CAA-1A96323A21EF}"/>
            </c:ext>
          </c:extLst>
        </c:ser>
        <c:dLbls>
          <c:showLegendKey val="0"/>
          <c:showVal val="0"/>
          <c:showCatName val="0"/>
          <c:showSerName val="0"/>
          <c:showPercent val="0"/>
          <c:showBubbleSize val="0"/>
        </c:dLbls>
        <c:gapWidth val="219"/>
        <c:overlap val="-27"/>
        <c:axId val="944674048"/>
        <c:axId val="944675840"/>
      </c:barChart>
      <c:catAx>
        <c:axId val="9446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75840"/>
        <c:crosses val="autoZero"/>
        <c:auto val="1"/>
        <c:lblAlgn val="ctr"/>
        <c:lblOffset val="100"/>
        <c:noMultiLvlLbl val="0"/>
      </c:catAx>
      <c:valAx>
        <c:axId val="94467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7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[sonic_usage.xlsx]usage!PivotTable1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usage!$B$3</c:f>
              <c:strCache>
                <c:ptCount val="1"/>
                <c:pt idx="0">
                  <c:v>Total</c:v>
                </c:pt>
              </c:strCache>
            </c:strRef>
          </c:tx>
          <c:spPr>
            <a:solidFill>
              <a:schemeClr val="accent1"/>
            </a:solidFill>
            <a:ln>
              <a:noFill/>
            </a:ln>
            <a:effectLst/>
          </c:spPr>
          <c:invertIfNegative val="0"/>
          <c:cat>
            <c:strRef>
              <c:f>usage!$A$4:$A$9</c:f>
              <c:strCache>
                <c:ptCount val="5"/>
                <c:pt idx="0">
                  <c:v>joe.muller</c:v>
                </c:pt>
                <c:pt idx="1">
                  <c:v>seth.lohr</c:v>
                </c:pt>
                <c:pt idx="2">
                  <c:v>leigh.burton</c:v>
                </c:pt>
                <c:pt idx="3">
                  <c:v>alyssa.afaese</c:v>
                </c:pt>
                <c:pt idx="4">
                  <c:v>kevan.benson</c:v>
                </c:pt>
              </c:strCache>
            </c:strRef>
          </c:cat>
          <c:val>
            <c:numRef>
              <c:f>usage!$B$4:$B$9</c:f>
              <c:numCache>
                <c:formatCode>General</c:formatCode>
                <c:ptCount val="5"/>
                <c:pt idx="0">
                  <c:v>13</c:v>
                </c:pt>
                <c:pt idx="1">
                  <c:v>12</c:v>
                </c:pt>
                <c:pt idx="2">
                  <c:v>12</c:v>
                </c:pt>
                <c:pt idx="3">
                  <c:v>2</c:v>
                </c:pt>
                <c:pt idx="4">
                  <c:v>1</c:v>
                </c:pt>
              </c:numCache>
            </c:numRef>
          </c:val>
          <c:extLst>
            <c:ext xmlns:c16="http://schemas.microsoft.com/office/drawing/2014/chart" uri="{C3380CC4-5D6E-409C-BE32-E72D297353CC}">
              <c16:uniqueId val="{00000000-7F7F-134D-AD84-0B502AE6BAC9}"/>
            </c:ext>
          </c:extLst>
        </c:ser>
        <c:dLbls>
          <c:showLegendKey val="0"/>
          <c:showVal val="0"/>
          <c:showCatName val="0"/>
          <c:showSerName val="0"/>
          <c:showPercent val="0"/>
          <c:showBubbleSize val="0"/>
        </c:dLbls>
        <c:gapWidth val="219"/>
        <c:overlap val="-27"/>
        <c:axId val="944674048"/>
        <c:axId val="944675840"/>
      </c:barChart>
      <c:catAx>
        <c:axId val="9446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75840"/>
        <c:crosses val="autoZero"/>
        <c:auto val="1"/>
        <c:lblAlgn val="ctr"/>
        <c:lblOffset val="100"/>
        <c:noMultiLvlLbl val="0"/>
      </c:catAx>
      <c:valAx>
        <c:axId val="94467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7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787400</xdr:colOff>
      <xdr:row>11</xdr:row>
      <xdr:rowOff>95250</xdr:rowOff>
    </xdr:from>
    <xdr:to>
      <xdr:col>10</xdr:col>
      <xdr:colOff>406400</xdr:colOff>
      <xdr:row>24</xdr:row>
      <xdr:rowOff>196850</xdr:rowOff>
    </xdr:to>
    <xdr:graphicFrame macro="">
      <xdr:nvGraphicFramePr>
        <xdr:cNvPr id="2" name="Chart 1">
          <a:extLst>
            <a:ext uri="{FF2B5EF4-FFF2-40B4-BE49-F238E27FC236}">
              <a16:creationId xmlns:a16="http://schemas.microsoft.com/office/drawing/2014/main" id="{3923FE89-3A28-8093-7200-CC0D69816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317500</xdr:colOff>
      <xdr:row>0</xdr:row>
      <xdr:rowOff>139700</xdr:rowOff>
    </xdr:from>
    <xdr:to>
      <xdr:col>13</xdr:col>
      <xdr:colOff>762000</xdr:colOff>
      <xdr:row>14</xdr:row>
      <xdr:rowOff>38100</xdr:rowOff>
    </xdr:to>
    <xdr:graphicFrame macro="">
      <xdr:nvGraphicFramePr>
        <xdr:cNvPr id="2" name="Chart 1">
          <a:extLst>
            <a:ext uri="{FF2B5EF4-FFF2-40B4-BE49-F238E27FC236}">
              <a16:creationId xmlns:a16="http://schemas.microsoft.com/office/drawing/2014/main" id="{C5AEAF6F-28C4-3C4C-84DE-D7F34EE4D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127000</xdr:rowOff>
    </xdr:from>
    <xdr:to>
      <xdr:col>8</xdr:col>
      <xdr:colOff>38100</xdr:colOff>
      <xdr:row>19</xdr:row>
      <xdr:rowOff>69850</xdr:rowOff>
    </xdr:to>
    <xdr:graphicFrame macro="">
      <xdr:nvGraphicFramePr>
        <xdr:cNvPr id="3" name="Chart 2">
          <a:extLst>
            <a:ext uri="{FF2B5EF4-FFF2-40B4-BE49-F238E27FC236}">
              <a16:creationId xmlns:a16="http://schemas.microsoft.com/office/drawing/2014/main" id="{539A2FC2-59B3-E04E-9F7C-3E133279A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584200</xdr:colOff>
      <xdr:row>1</xdr:row>
      <xdr:rowOff>19050</xdr:rowOff>
    </xdr:from>
    <xdr:to>
      <xdr:col>10</xdr:col>
      <xdr:colOff>622300</xdr:colOff>
      <xdr:row>19</xdr:row>
      <xdr:rowOff>165100</xdr:rowOff>
    </xdr:to>
    <xdr:graphicFrame macro="">
      <xdr:nvGraphicFramePr>
        <xdr:cNvPr id="2" name="Chart 1">
          <a:extLst>
            <a:ext uri="{FF2B5EF4-FFF2-40B4-BE49-F238E27FC236}">
              <a16:creationId xmlns:a16="http://schemas.microsoft.com/office/drawing/2014/main" id="{DA1C190C-EA69-AA8D-F1A8-003F260A2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124.613013888891" createdVersion="8" refreshedVersion="8" minRefreshableVersion="3" recordCount="41" xr:uid="{BCF3D53D-2D4F-8F44-A747-81453D94FF66}">
  <cacheSource type="worksheet">
    <worksheetSource ref="A1:AS1048576" sheet="csv_for_dragging"/>
  </cacheSource>
  <cacheFields count="45">
    <cacheField name="session_start" numFmtId="0">
      <sharedItems containsBlank="1"/>
    </cacheField>
    <cacheField name="month" numFmtId="0">
      <sharedItems containsNonDate="0" containsDate="1" containsString="0" containsBlank="1" minDate="2025-04-01T00:00:00" maxDate="2026-04-02T00:00:00"/>
    </cacheField>
    <cacheField name="day_of_week" numFmtId="0">
      <sharedItems containsBlank="1"/>
    </cacheField>
    <cacheField name="duration" numFmtId="0">
      <sharedItems containsNonDate="0" containsDate="1" containsString="0" containsBlank="1" minDate="1899-12-30T00:05:51" maxDate="1899-12-30T00:37:49"/>
    </cacheField>
    <cacheField name="level" numFmtId="0">
      <sharedItems containsString="0" containsBlank="1" containsNumber="1" containsInteger="1" minValue="3" maxValue="32"/>
    </cacheField>
    <cacheField name="name" numFmtId="0">
      <sharedItems containsBlank="1"/>
    </cacheField>
    <cacheField name="player" numFmtId="0">
      <sharedItems containsBlank="1" count="6">
        <s v="seth.lohr"/>
        <s v="leigh.burton"/>
        <s v="joe.muller"/>
        <s v="kevan.benson"/>
        <s v="alyssa.afaese"/>
        <m/>
      </sharedItems>
    </cacheField>
    <cacheField name="completion_status" numFmtId="0">
      <sharedItems containsBlank="1"/>
    </cacheField>
    <cacheField name="identify_scope" numFmtId="0">
      <sharedItems containsBlank="1" containsMixedTypes="1" containsNumber="1" containsInteger="1" minValue="0" maxValue="0"/>
    </cacheField>
    <cacheField name="incident_mechanics" numFmtId="0">
      <sharedItems containsBlank="1" containsMixedTypes="1" containsNumber="1" containsInteger="1" minValue="0" maxValue="0"/>
    </cacheField>
    <cacheField name="external_comms" numFmtId="0">
      <sharedItems containsBlank="1" containsMixedTypes="1" containsNumber="1" containsInteger="1" minValue="0" maxValue="0"/>
    </cacheField>
    <cacheField name="internal_comms" numFmtId="0">
      <sharedItems containsBlank="1"/>
    </cacheField>
    <cacheField name="commanding_the_incident" numFmtId="0">
      <sharedItems containsBlank="1" containsMixedTypes="1" containsNumber="1" containsInteger="1" minValue="0" maxValue="0"/>
    </cacheField>
    <cacheField name="Complexity: Ambiguous cues (multiple alternatives)" numFmtId="0">
      <sharedItems containsString="0" containsBlank="1" containsNumber="1" containsInteger="1" minValue="0" maxValue="1"/>
    </cacheField>
    <cacheField name="Complexity: Attention Demands" numFmtId="0">
      <sharedItems containsString="0" containsBlank="1" containsNumber="1" containsInteger="1" minValue="0" maxValue="1"/>
    </cacheField>
    <cacheField name="Complexity: Conflicting Advice" numFmtId="0">
      <sharedItems containsString="0" containsBlank="1" containsNumber="1" containsInteger="1" minValue="0" maxValue="1"/>
    </cacheField>
    <cacheField name="Complexity: Decreased access to team members" numFmtId="0">
      <sharedItems containsString="0" containsBlank="1" containsNumber="1" containsInteger="1" minValue="0" maxValue="1"/>
    </cacheField>
    <cacheField name="Complexity: Distributed information across individuals/organiza" numFmtId="0">
      <sharedItems containsString="0" containsBlank="1" containsNumber="1" containsInteger="1" minValue="0" maxValue="1"/>
    </cacheField>
    <cacheField name="Complexity: Doublebind situations (dilemmas)" numFmtId="0">
      <sharedItems containsString="0" containsBlank="1" containsNumber="1" containsInteger="1" minValue="0" maxValue="1"/>
    </cacheField>
    <cacheField name="Complexity: False prime explanations (garden path)" numFmtId="0">
      <sharedItems containsString="0" containsBlank="1" containsNumber="1" containsInteger="1" minValue="0" maxValue="1"/>
    </cacheField>
    <cacheField name="Complexity: Hidden coupling (effects at a distance; cascading e" numFmtId="0">
      <sharedItems containsString="0" containsBlank="1" containsNumber="1" containsInteger="1" minValue="0" maxValue="1"/>
    </cacheField>
    <cacheField name="Complexity: Implied relationship (red herring)" numFmtId="0">
      <sharedItems containsString="0" containsBlank="1" containsNumber="1" containsInteger="1" minValue="0" maxValue="1"/>
    </cacheField>
    <cacheField name="Complexity: Interdependencies amongst roles (someone needs some" numFmtId="0">
      <sharedItems containsString="0" containsBlank="1" containsNumber="1" containsInteger="1" minValue="0" maxValue="1"/>
    </cacheField>
    <cacheField name="Complexity: Lack of predefined plan" numFmtId="0">
      <sharedItems containsString="0" containsBlank="1" containsNumber="1" containsInteger="1" minValue="0" maxValue="1"/>
    </cacheField>
    <cacheField name="Complexity: Misleading indicators (low predictive value)" numFmtId="0">
      <sharedItems containsString="0" containsBlank="1" containsNumber="1" containsInteger="1" minValue="0" maxValue="1"/>
    </cacheField>
    <cacheField name="Complexity: Mismatch between prede fined plans or procedures an" numFmtId="0">
      <sharedItems containsString="0" containsBlank="1" containsNumber="1" containsInteger="1" minValue="0" maxValue="1"/>
    </cacheField>
    <cacheField name="Complexity: Missing Information" numFmtId="0">
      <sharedItems containsString="0" containsBlank="1" containsNumber="1" containsInteger="1" minValue="0" maxValue="1"/>
    </cacheField>
    <cacheField name="Complexity: Multi Party Dilema" numFmtId="0">
      <sharedItems containsString="0" containsBlank="1" containsNumber="1" containsInteger="1" minValue="0" maxValue="1"/>
    </cacheField>
    <cacheField name="Complexity: Multiple simultaneous influences (more than one exp" numFmtId="0">
      <sharedItems containsString="0" containsBlank="1" containsNumber="1" containsInteger="1" minValue="0" maxValue="1"/>
    </cacheField>
    <cacheField name="Complexity: Multiple simultaneous influences (multiple explanat" numFmtId="0">
      <sharedItems containsString="0" containsBlank="1" containsNumber="1" containsInteger="1" minValue="0" maxValue="1"/>
    </cacheField>
    <cacheField name="Complexity: Saturation" numFmtId="0">
      <sharedItems containsString="0" containsBlank="1" containsNumber="1" containsInteger="1" minValue="0" maxValue="1"/>
    </cacheField>
    <cacheField name="Complexity: Simultaneous seperate issues" numFmtId="0">
      <sharedItems containsString="0" containsBlank="1" containsNumber="1" containsInteger="1" minValue="0" maxValue="1"/>
    </cacheField>
    <cacheField name="Complexity: Stakeholder Interference" numFmtId="0">
      <sharedItems containsString="0" containsBlank="1" containsNumber="1" containsInteger="1" minValue="0" maxValue="1"/>
    </cacheField>
    <cacheField name="Complexity: Stereotype violations (not the usual suspect)" numFmtId="0">
      <sharedItems containsString="0" containsBlank="1" containsNumber="1" containsInteger="1" minValue="0" maxValue="1"/>
    </cacheField>
    <cacheField name="Complexity: Stress or fatigue" numFmtId="0">
      <sharedItems containsString="0" containsBlank="1" containsNumber="1" containsInteger="1" minValue="0" maxValue="1"/>
    </cacheField>
    <cacheField name="Complexity: Uncertain information (unreliable data)" numFmtId="0">
      <sharedItems containsString="0" containsBlank="1" containsNumber="1" containsInteger="1" minValue="0" maxValue="1"/>
    </cacheField>
    <cacheField name="Complexity: Unintended effects (managing side effects)" numFmtId="0">
      <sharedItems containsString="0" containsBlank="1" containsNumber="1" containsInteger="1" minValue="0" maxValue="1"/>
    </cacheField>
    <cacheField name="Complexity: Absence of strong signals (no alarms, no threshold" numFmtId="0">
      <sharedItems containsString="0" containsBlank="1" containsNumber="1" containsInteger="1" minValue="0" maxValue="0"/>
    </cacheField>
    <cacheField name="max" numFmtId="0">
      <sharedItems containsBlank="1"/>
    </cacheField>
    <cacheField name="Category: Detecting" numFmtId="0">
      <sharedItems containsString="0" containsBlank="1" containsNumber="1" containsInteger="1" minValue="0" maxValue="1"/>
    </cacheField>
    <cacheField name="Category: Sensemaking" numFmtId="0">
      <sharedItems containsString="0" containsBlank="1" containsNumber="1" containsInteger="1" minValue="0" maxValue="4"/>
    </cacheField>
    <cacheField name="Category: Planning" numFmtId="0">
      <sharedItems containsString="0" containsBlank="1" containsNumber="1" containsInteger="1" minValue="0" maxValue="2"/>
    </cacheField>
    <cacheField name="Category: Deciding" numFmtId="0">
      <sharedItems containsString="0" containsBlank="1" containsNumber="1" containsInteger="1" minValue="0" maxValue="2"/>
    </cacheField>
    <cacheField name="Category: Coordination" numFmtId="0">
      <sharedItems containsString="0" containsBlank="1" containsNumber="1" containsInteger="1" minValue="0" maxValue="3"/>
    </cacheField>
    <cacheField name="Category: Executin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125.607625578705" createdVersion="8" refreshedVersion="8" minRefreshableVersion="3" recordCount="13" xr:uid="{75D96F3C-7BA5-C742-B353-40109E174C1F}">
  <cacheSource type="worksheet">
    <worksheetSource ref="A1:V1048576" sheet="GUOT"/>
  </cacheSource>
  <cacheFields count="22">
    <cacheField name="Date" numFmtId="0">
      <sharedItems containsNonDate="0" containsDate="1" containsString="0" containsBlank="1" minDate="2026-01-26T00:00:00" maxDate="2026-04-03T00:00:00"/>
    </cacheField>
    <cacheField name="month" numFmtId="0">
      <sharedItems containsNonDate="0" containsDate="1" containsString="0" containsBlank="1" minDate="2026-01-01T00:00:00" maxDate="2026-04-02T00:00:00" count="5">
        <d v="2026-01-01T00:00:00"/>
        <d v="2026-02-01T00:00:00"/>
        <d v="2026-03-01T00:00:00"/>
        <d v="2026-04-01T00:00:00"/>
        <m/>
      </sharedItems>
    </cacheField>
    <cacheField name="Time" numFmtId="0">
      <sharedItems containsNonDate="0" containsDate="1" containsString="0" containsBlank="1" minDate="1899-12-30T13:00:00" maxDate="1899-12-30T17:00:00"/>
    </cacheField>
    <cacheField name="Name" numFmtId="0">
      <sharedItems containsBlank="1"/>
    </cacheField>
    <cacheField name="Company" numFmtId="0">
      <sharedItems containsBlank="1"/>
    </cacheField>
    <cacheField name="Sessions Done" numFmtId="0">
      <sharedItems containsString="0" containsBlank="1" containsNumber="1" containsInteger="1" minValue="2" maxValue="14"/>
    </cacheField>
    <cacheField name="Session Plan" numFmtId="0">
      <sharedItems containsBlank="1"/>
    </cacheField>
    <cacheField name="AI" numFmtId="0">
      <sharedItems containsBlank="1"/>
    </cacheField>
    <cacheField name="Lead" numFmtId="0">
      <sharedItems containsBlank="1"/>
    </cacheField>
    <cacheField name="Star Guru" numFmtId="0">
      <sharedItems containsNonDate="0" containsString="0" containsBlank="1"/>
    </cacheField>
    <cacheField name="Session Notes" numFmtId="0">
      <sharedItems containsBlank="1"/>
    </cacheField>
    <cacheField name="GUOT" numFmtId="0">
      <sharedItems containsBlank="1" containsMixedTypes="1" containsNumber="1" containsInteger="1" minValue="7" maxValue="10"/>
    </cacheField>
    <cacheField name="Score Notes" numFmtId="0">
      <sharedItems containsBlank="1" longText="1"/>
    </cacheField>
    <cacheField name="Session ID" numFmtId="0">
      <sharedItems containsString="0" containsBlank="1" containsNumber="1" containsInteger="1" minValue="7524" maxValue="8299"/>
    </cacheField>
    <cacheField name="Feedback Quality Score" numFmtId="0">
      <sharedItems containsBlank="1"/>
    </cacheField>
    <cacheField name="Feedback Notes" numFmtId="0">
      <sharedItems containsNonDate="0" containsString="0" containsBlank="1"/>
    </cacheField>
    <cacheField name="Attendance" numFmtId="0">
      <sharedItems containsBlank="1"/>
    </cacheField>
    <cacheField name="Attendance Reason" numFmtId="0">
      <sharedItems containsNonDate="0" containsString="0" containsBlank="1"/>
    </cacheField>
    <cacheField name="INC #" numFmtId="0">
      <sharedItems containsNonDate="0" containsString="0" containsBlank="1"/>
    </cacheField>
    <cacheField name="Technical Issues" numFmtId="0">
      <sharedItems containsNonDate="0" containsString="0" containsBlank="1"/>
    </cacheField>
    <cacheField name="Technical Issue Reason" numFmtId="0">
      <sharedItems containsNonDate="0" containsString="0" containsBlank="1"/>
    </cacheField>
    <cacheField name="Notes for Mildred"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2025-04-03 01:00:00.000 +0100"/>
    <d v="2025-04-01T00:00:00"/>
    <s v="Thursday "/>
    <d v="1899-12-30T00:05:51"/>
    <n v="27"/>
    <s v="First day blues"/>
    <x v="0"/>
    <s v="COMPLETED"/>
    <s v="0.11111111111111111111"/>
    <n v="0"/>
    <s v="0.16666666666666666667"/>
    <s v="0.20000000000000000000"/>
    <s v="0.09090909090909090909"/>
    <n v="0"/>
    <n v="0"/>
    <n v="1"/>
    <n v="0"/>
    <n v="0"/>
    <n v="0"/>
    <n v="0"/>
    <n v="0"/>
    <n v="0"/>
    <n v="0"/>
    <n v="0"/>
    <n v="0"/>
    <n v="0"/>
    <n v="0"/>
    <n v="0"/>
    <n v="0"/>
    <n v="0"/>
    <n v="0"/>
    <n v="0"/>
    <n v="0"/>
    <n v="0"/>
    <n v="0"/>
    <n v="0"/>
    <n v="0"/>
    <n v="0"/>
    <s v="-"/>
    <n v="0"/>
    <n v="0"/>
    <n v="1"/>
    <n v="0"/>
    <n v="0"/>
    <n v="0"/>
  </r>
  <r>
    <s v="2025-07-03 01:00:00.000 +0100"/>
    <d v="2025-07-01T00:00:00"/>
    <s v="Thursday "/>
    <d v="1899-12-30T00:15:52"/>
    <n v="3"/>
    <s v="Too Good To Be True"/>
    <x v="1"/>
    <s v="COMPLETED"/>
    <s v="0.44444444444444444444"/>
    <s v="1.00000000000000000000"/>
    <s v="0.66666666666666666667"/>
    <s v="0.46666666666666666667"/>
    <s v="0.27272727272727272727"/>
    <n v="0"/>
    <n v="0"/>
    <n v="1"/>
    <n v="0"/>
    <n v="0"/>
    <n v="0"/>
    <n v="0"/>
    <n v="0"/>
    <n v="0"/>
    <n v="0"/>
    <n v="0"/>
    <n v="0"/>
    <n v="0"/>
    <n v="0"/>
    <n v="0"/>
    <n v="0"/>
    <n v="0"/>
    <n v="0"/>
    <n v="0"/>
    <n v="0"/>
    <n v="0"/>
    <n v="0"/>
    <n v="1"/>
    <n v="0"/>
    <n v="0"/>
    <s v="-"/>
    <n v="0"/>
    <n v="1"/>
    <n v="2"/>
    <n v="0"/>
    <n v="0"/>
    <n v="0"/>
  </r>
  <r>
    <s v="2025-07-03 01:00:00.000 +0100"/>
    <d v="2025-07-01T00:00:00"/>
    <s v="Thursday "/>
    <d v="1899-12-30T00:16:02"/>
    <n v="3"/>
    <s v="Too Good To Be True"/>
    <x v="2"/>
    <s v="COMPLETED"/>
    <s v="0.55555555555555555556"/>
    <s v="1.00000000000000000000"/>
    <s v="0.66666666666666666667"/>
    <s v="0.33333333333333333333"/>
    <s v="0.27272727272727272727"/>
    <n v="0"/>
    <n v="0"/>
    <n v="1"/>
    <n v="0"/>
    <n v="0"/>
    <n v="0"/>
    <n v="0"/>
    <n v="0"/>
    <n v="0"/>
    <n v="0"/>
    <n v="0"/>
    <n v="0"/>
    <n v="0"/>
    <n v="0"/>
    <n v="0"/>
    <n v="0"/>
    <n v="0"/>
    <n v="0"/>
    <n v="0"/>
    <n v="0"/>
    <n v="0"/>
    <n v="0"/>
    <n v="1"/>
    <n v="0"/>
    <n v="0"/>
    <s v="-"/>
    <n v="0"/>
    <n v="1"/>
    <n v="2"/>
    <n v="0"/>
    <n v="0"/>
    <n v="0"/>
  </r>
  <r>
    <s v="2025-07-07 01:00:00.000 +0100"/>
    <d v="2025-07-01T00:00:00"/>
    <s v="Monday   "/>
    <d v="1899-12-30T00:20:02"/>
    <n v="6"/>
    <s v="The Big Investor"/>
    <x v="1"/>
    <s v="OUT_OF_TIME"/>
    <s v="0.55555555555555555556"/>
    <s v="1.00000000000000000000"/>
    <s v="0.50000000000000000000"/>
    <s v="0.40000000000000000000"/>
    <s v="0.27272727272727272727"/>
    <n v="0"/>
    <n v="0"/>
    <n v="0"/>
    <n v="0"/>
    <n v="0"/>
    <n v="0"/>
    <n v="0"/>
    <n v="0"/>
    <n v="1"/>
    <n v="0"/>
    <n v="0"/>
    <n v="0"/>
    <n v="0"/>
    <n v="0"/>
    <n v="0"/>
    <n v="0"/>
    <n v="0"/>
    <n v="0"/>
    <n v="0"/>
    <n v="1"/>
    <n v="1"/>
    <n v="1"/>
    <n v="0"/>
    <n v="0"/>
    <n v="0"/>
    <s v="-"/>
    <n v="0"/>
    <n v="2"/>
    <n v="0"/>
    <n v="2"/>
    <n v="0"/>
    <n v="0"/>
  </r>
  <r>
    <s v="2025-07-10 01:00:00.000 +0100"/>
    <d v="2025-07-01T00:00:00"/>
    <s v="Thursday "/>
    <d v="1899-12-30T00:19:46"/>
    <n v="26"/>
    <s v="Discount Disaster"/>
    <x v="1"/>
    <s v="COMPLETED"/>
    <s v="0.66666666666666666667"/>
    <s v="1.00000000000000000000"/>
    <s v="0.50000000000000000000"/>
    <s v="0.40000000000000000000"/>
    <s v="0.36363636363636363636"/>
    <n v="0"/>
    <n v="0"/>
    <n v="0"/>
    <n v="0"/>
    <n v="0"/>
    <n v="0"/>
    <n v="1"/>
    <n v="0"/>
    <n v="0"/>
    <n v="0"/>
    <n v="0"/>
    <n v="1"/>
    <n v="0"/>
    <n v="0"/>
    <n v="0"/>
    <n v="1"/>
    <n v="0"/>
    <n v="0"/>
    <n v="0"/>
    <n v="0"/>
    <n v="0"/>
    <n v="0"/>
    <n v="0"/>
    <n v="0"/>
    <n v="0"/>
    <s v="-"/>
    <n v="0"/>
    <n v="2"/>
    <n v="0"/>
    <n v="0"/>
    <n v="0"/>
    <n v="0"/>
  </r>
  <r>
    <s v="2025-07-10 01:00:00.000 +0100"/>
    <d v="2025-07-01T00:00:00"/>
    <s v="Thursday "/>
    <d v="1899-12-30T00:20:24"/>
    <n v="6"/>
    <s v="The Big Investor"/>
    <x v="3"/>
    <s v="COMPLETED"/>
    <s v="0.44444444444444444444"/>
    <s v="0.50000000000000000000"/>
    <s v="0.50000000000000000000"/>
    <s v="0.53333333333333333333"/>
    <s v="0.45454545454545454545"/>
    <n v="0"/>
    <n v="0"/>
    <n v="0"/>
    <n v="0"/>
    <n v="0"/>
    <n v="0"/>
    <n v="0"/>
    <n v="0"/>
    <n v="1"/>
    <n v="0"/>
    <n v="0"/>
    <n v="0"/>
    <n v="0"/>
    <n v="0"/>
    <n v="0"/>
    <n v="0"/>
    <n v="0"/>
    <n v="0"/>
    <n v="0"/>
    <n v="1"/>
    <n v="1"/>
    <n v="1"/>
    <n v="0"/>
    <n v="0"/>
    <n v="0"/>
    <s v="-"/>
    <n v="0"/>
    <n v="2"/>
    <n v="0"/>
    <n v="2"/>
    <n v="0"/>
    <n v="0"/>
  </r>
  <r>
    <s v="2025-07-15 01:00:00.000 +0100"/>
    <d v="2025-07-01T00:00:00"/>
    <s v="Tuesday  "/>
    <d v="1899-12-30T00:20:01"/>
    <n v="6"/>
    <s v="The Big Investor"/>
    <x v="2"/>
    <s v="OUT_OF_TIME"/>
    <s v="0.66666666666666666667"/>
    <s v="1.00000000000000000000"/>
    <s v="0.66666666666666666667"/>
    <s v="0.66666666666666666667"/>
    <s v="0.45454545454545454545"/>
    <n v="0"/>
    <n v="0"/>
    <n v="0"/>
    <n v="0"/>
    <n v="0"/>
    <n v="0"/>
    <n v="0"/>
    <n v="0"/>
    <n v="1"/>
    <n v="0"/>
    <n v="0"/>
    <n v="0"/>
    <n v="0"/>
    <n v="0"/>
    <n v="0"/>
    <n v="0"/>
    <n v="0"/>
    <n v="0"/>
    <n v="0"/>
    <n v="1"/>
    <n v="1"/>
    <n v="1"/>
    <n v="0"/>
    <n v="0"/>
    <n v="0"/>
    <s v="-"/>
    <n v="0"/>
    <n v="2"/>
    <n v="0"/>
    <n v="2"/>
    <n v="0"/>
    <n v="0"/>
  </r>
  <r>
    <s v="2025-07-16 01:00:00.000 +0100"/>
    <d v="2025-07-01T00:00:00"/>
    <s v="Wednesday"/>
    <d v="1899-12-30T00:22:10"/>
    <n v="26"/>
    <s v="Discount Disaster"/>
    <x v="2"/>
    <s v="COMPLETED"/>
    <s v="0.44444444444444444444"/>
    <s v="0.50000000000000000000"/>
    <s v="0.66666666666666666667"/>
    <s v="0.26666666666666666667"/>
    <s v="0.09090909090909090909"/>
    <n v="0"/>
    <n v="0"/>
    <n v="0"/>
    <n v="0"/>
    <n v="0"/>
    <n v="0"/>
    <n v="1"/>
    <n v="0"/>
    <n v="0"/>
    <n v="0"/>
    <n v="0"/>
    <n v="1"/>
    <n v="0"/>
    <n v="0"/>
    <n v="0"/>
    <n v="1"/>
    <n v="0"/>
    <n v="0"/>
    <n v="0"/>
    <n v="0"/>
    <n v="0"/>
    <n v="0"/>
    <n v="0"/>
    <n v="0"/>
    <n v="0"/>
    <s v="-"/>
    <n v="0"/>
    <n v="2"/>
    <n v="0"/>
    <n v="0"/>
    <n v="0"/>
    <n v="0"/>
  </r>
  <r>
    <s v="2025-07-17 01:00:00.000 +0100"/>
    <d v="2025-07-01T00:00:00"/>
    <s v="Thursday "/>
    <d v="1899-12-30T00:25:49"/>
    <n v="20"/>
    <s v="The Disappearing Act"/>
    <x v="1"/>
    <s v="COMPLETED"/>
    <s v="0.55555555555555555556"/>
    <s v="0.50000000000000000000"/>
    <s v="0.83333333333333333333"/>
    <s v="0.40000000000000000000"/>
    <s v="0.36363636363636363636"/>
    <n v="0"/>
    <n v="0"/>
    <n v="0"/>
    <n v="1"/>
    <n v="1"/>
    <n v="0"/>
    <n v="0"/>
    <n v="1"/>
    <n v="0"/>
    <n v="0"/>
    <n v="0"/>
    <n v="0"/>
    <n v="0"/>
    <n v="0"/>
    <n v="1"/>
    <n v="0"/>
    <n v="0"/>
    <n v="0"/>
    <n v="0"/>
    <n v="0"/>
    <n v="0"/>
    <n v="0"/>
    <n v="0"/>
    <n v="0"/>
    <n v="0"/>
    <s v="-"/>
    <n v="1"/>
    <n v="2"/>
    <n v="1"/>
    <n v="1"/>
    <n v="3"/>
    <n v="1"/>
  </r>
  <r>
    <s v="2025-09-15 01:00:00.000 +0100"/>
    <d v="2025-09-01T00:00:00"/>
    <s v="Monday   "/>
    <d v="1899-12-30T00:09:48"/>
    <n v="29"/>
    <s v="Too Good To Be True V2"/>
    <x v="0"/>
    <s v="COMPLETED"/>
    <n v="0"/>
    <n v="0"/>
    <n v="0"/>
    <s v="0.26666666666666666667"/>
    <s v="0.18181818181818181818"/>
    <n v="0"/>
    <n v="0"/>
    <n v="1"/>
    <n v="0"/>
    <n v="0"/>
    <n v="0"/>
    <n v="0"/>
    <n v="0"/>
    <n v="0"/>
    <n v="0"/>
    <n v="0"/>
    <n v="0"/>
    <n v="0"/>
    <n v="0"/>
    <n v="0"/>
    <n v="0"/>
    <n v="0"/>
    <n v="0"/>
    <n v="0"/>
    <n v="0"/>
    <n v="0"/>
    <n v="0"/>
    <n v="1"/>
    <n v="0"/>
    <n v="0"/>
    <s v="-"/>
    <n v="0"/>
    <n v="1"/>
    <n v="2"/>
    <n v="0"/>
    <n v="0"/>
    <n v="0"/>
  </r>
  <r>
    <s v="2025-09-17 01:00:00.000 +0100"/>
    <d v="2025-09-01T00:00:00"/>
    <s v="Wednesday"/>
    <d v="1899-12-30T00:14:15"/>
    <n v="31"/>
    <s v="Bezs Beatles Day! V2"/>
    <x v="1"/>
    <s v="COMPLETED"/>
    <s v="0.44444444444444444444"/>
    <s v="1.00000000000000000000"/>
    <s v="0.66666666666666666667"/>
    <s v="0.33333333333333333333"/>
    <s v="0.09090909090909090909"/>
    <n v="0"/>
    <n v="0"/>
    <n v="1"/>
    <n v="0"/>
    <n v="0"/>
    <n v="0"/>
    <n v="0"/>
    <n v="0"/>
    <n v="0"/>
    <n v="0"/>
    <n v="0"/>
    <n v="1"/>
    <n v="0"/>
    <n v="0"/>
    <n v="0"/>
    <n v="0"/>
    <n v="0"/>
    <n v="0"/>
    <n v="0"/>
    <n v="0"/>
    <n v="0"/>
    <n v="0"/>
    <n v="0"/>
    <n v="0"/>
    <n v="0"/>
    <s v="-"/>
    <n v="0"/>
    <n v="1"/>
    <n v="1"/>
    <n v="0"/>
    <n v="0"/>
    <n v="0"/>
  </r>
  <r>
    <s v="2025-09-22 01:00:00.000 +0100"/>
    <d v="2025-09-01T00:00:00"/>
    <s v="Monday   "/>
    <d v="1899-12-30T00:19:49"/>
    <n v="6"/>
    <s v="The Big Investor"/>
    <x v="0"/>
    <s v="COMPLETED"/>
    <s v="0.22222222222222222222"/>
    <s v="1.00000000000000000000"/>
    <s v="0.50000000000000000000"/>
    <s v="0.33333333333333333333"/>
    <s v="0.18181818181818181818"/>
    <n v="0"/>
    <n v="0"/>
    <n v="0"/>
    <n v="0"/>
    <n v="0"/>
    <n v="0"/>
    <n v="0"/>
    <n v="0"/>
    <n v="1"/>
    <n v="0"/>
    <n v="0"/>
    <n v="0"/>
    <n v="0"/>
    <n v="0"/>
    <n v="0"/>
    <n v="0"/>
    <n v="0"/>
    <n v="0"/>
    <n v="0"/>
    <n v="1"/>
    <n v="1"/>
    <n v="1"/>
    <n v="0"/>
    <n v="0"/>
    <n v="0"/>
    <s v="-"/>
    <n v="0"/>
    <n v="2"/>
    <n v="0"/>
    <n v="2"/>
    <n v="0"/>
    <n v="0"/>
  </r>
  <r>
    <s v="2025-09-23 01:00:00.000 +0100"/>
    <d v="2025-09-01T00:00:00"/>
    <s v="Tuesday  "/>
    <d v="1899-12-30T00:16:22"/>
    <n v="31"/>
    <s v="Bezs Beatles Day! V2"/>
    <x v="2"/>
    <s v="COMPLETED"/>
    <s v="0.22222222222222222222"/>
    <s v="1.00000000000000000000"/>
    <s v="0.66666666666666666667"/>
    <s v="0.60000000000000000000"/>
    <s v="0.36363636363636363636"/>
    <n v="0"/>
    <n v="0"/>
    <n v="1"/>
    <n v="0"/>
    <n v="0"/>
    <n v="0"/>
    <n v="0"/>
    <n v="0"/>
    <n v="0"/>
    <n v="0"/>
    <n v="0"/>
    <n v="1"/>
    <n v="0"/>
    <n v="0"/>
    <n v="0"/>
    <n v="0"/>
    <n v="0"/>
    <n v="0"/>
    <n v="0"/>
    <n v="0"/>
    <n v="0"/>
    <n v="0"/>
    <n v="0"/>
    <n v="0"/>
    <n v="0"/>
    <s v="-"/>
    <n v="0"/>
    <n v="1"/>
    <n v="1"/>
    <n v="0"/>
    <n v="0"/>
    <n v="0"/>
  </r>
  <r>
    <s v="2025-09-24 01:00:00.000 +0100"/>
    <d v="2025-09-01T00:00:00"/>
    <s v="Wednesday"/>
    <d v="1899-12-30T00:17:04"/>
    <n v="7"/>
    <s v="Rumours"/>
    <x v="1"/>
    <s v="COMPLETED"/>
    <s v="0.55555555555555555556"/>
    <s v="1.00000000000000000000"/>
    <s v="0.33333333333333333333"/>
    <s v="0.26666666666666666667"/>
    <s v="0.18181818181818181818"/>
    <n v="0"/>
    <n v="0"/>
    <n v="0"/>
    <n v="0"/>
    <n v="0"/>
    <n v="0"/>
    <n v="1"/>
    <n v="0"/>
    <n v="1"/>
    <n v="0"/>
    <n v="0"/>
    <n v="0"/>
    <n v="0"/>
    <n v="0"/>
    <n v="0"/>
    <n v="0"/>
    <n v="0"/>
    <n v="0"/>
    <n v="0"/>
    <n v="0"/>
    <n v="0"/>
    <n v="1"/>
    <n v="0"/>
    <n v="0"/>
    <n v="0"/>
    <s v="-"/>
    <n v="0"/>
    <n v="2"/>
    <n v="0"/>
    <n v="1"/>
    <n v="0"/>
    <n v="0"/>
  </r>
  <r>
    <s v="2025-09-29 01:00:00.000 +0100"/>
    <d v="2025-09-01T00:00:00"/>
    <s v="Monday   "/>
    <d v="1899-12-30T00:18:45"/>
    <n v="31"/>
    <s v="Bezs Beatles Day! V2"/>
    <x v="0"/>
    <s v="COMPLETED"/>
    <s v="1.00000000000000000000"/>
    <s v="1.00000000000000000000"/>
    <s v="0.66666666666666666667"/>
    <s v="0.80000000000000000000"/>
    <s v="0.63636363636363636364"/>
    <n v="0"/>
    <n v="0"/>
    <n v="1"/>
    <n v="0"/>
    <n v="0"/>
    <n v="0"/>
    <n v="0"/>
    <n v="0"/>
    <n v="0"/>
    <n v="0"/>
    <n v="0"/>
    <n v="1"/>
    <n v="0"/>
    <n v="0"/>
    <n v="0"/>
    <n v="0"/>
    <n v="0"/>
    <n v="0"/>
    <n v="0"/>
    <n v="0"/>
    <n v="0"/>
    <n v="0"/>
    <n v="0"/>
    <n v="0"/>
    <n v="0"/>
    <s v="-"/>
    <n v="0"/>
    <n v="1"/>
    <n v="1"/>
    <n v="0"/>
    <n v="0"/>
    <n v="0"/>
  </r>
  <r>
    <s v="2025-09-30 01:00:00.000 +0100"/>
    <d v="2025-09-01T00:00:00"/>
    <s v="Tuesday  "/>
    <d v="1899-12-30T00:19:49"/>
    <n v="7"/>
    <s v="Rumours"/>
    <x v="2"/>
    <s v="COMPLETED"/>
    <s v="0.55555555555555555556"/>
    <s v="0.50000000000000000000"/>
    <s v="0.33333333333333333333"/>
    <s v="0.13333333333333333333"/>
    <s v="0.09090909090909090909"/>
    <n v="0"/>
    <n v="0"/>
    <n v="0"/>
    <n v="0"/>
    <n v="0"/>
    <n v="0"/>
    <n v="1"/>
    <n v="0"/>
    <n v="1"/>
    <n v="0"/>
    <n v="0"/>
    <n v="0"/>
    <n v="0"/>
    <n v="0"/>
    <n v="0"/>
    <n v="0"/>
    <n v="0"/>
    <n v="0"/>
    <n v="0"/>
    <n v="0"/>
    <n v="0"/>
    <n v="1"/>
    <n v="0"/>
    <n v="0"/>
    <n v="0"/>
    <s v="-"/>
    <n v="0"/>
    <n v="2"/>
    <n v="0"/>
    <n v="1"/>
    <n v="0"/>
    <n v="0"/>
  </r>
  <r>
    <s v="2025-10-07 01:00:00.000 +0100"/>
    <d v="2025-10-01T00:00:00"/>
    <s v="Tuesday  "/>
    <d v="1899-12-30T00:19:13"/>
    <n v="32"/>
    <s v="The Big Investor V2"/>
    <x v="2"/>
    <s v="COMPLETED"/>
    <s v="0.66666666666666666667"/>
    <s v="1.00000000000000000000"/>
    <s v="0.66666666666666666667"/>
    <s v="0.60000000000000000000"/>
    <s v="0.54545454545454545455"/>
    <n v="0"/>
    <n v="0"/>
    <n v="0"/>
    <n v="0"/>
    <n v="0"/>
    <n v="0"/>
    <n v="1"/>
    <n v="1"/>
    <n v="0"/>
    <n v="0"/>
    <n v="0"/>
    <n v="0"/>
    <n v="0"/>
    <n v="0"/>
    <n v="0"/>
    <n v="0"/>
    <n v="0"/>
    <n v="0"/>
    <n v="0"/>
    <n v="0"/>
    <n v="0"/>
    <n v="0"/>
    <n v="0"/>
    <n v="0"/>
    <n v="0"/>
    <s v="-"/>
    <n v="0"/>
    <n v="2"/>
    <n v="0"/>
    <n v="0"/>
    <n v="0"/>
    <n v="0"/>
  </r>
  <r>
    <s v="2025-10-13 01:00:00.000 +0100"/>
    <d v="2025-10-01T00:00:00"/>
    <s v="Monday   "/>
    <d v="1899-12-30T00:15:09"/>
    <n v="7"/>
    <s v="Rumours"/>
    <x v="0"/>
    <s v="COMPLETED"/>
    <s v="0.55555555555555555556"/>
    <s v="1.00000000000000000000"/>
    <s v="0.33333333333333333333"/>
    <s v="0.40000000000000000000"/>
    <s v="0.27272727272727272727"/>
    <n v="0"/>
    <n v="0"/>
    <n v="0"/>
    <n v="0"/>
    <n v="0"/>
    <n v="0"/>
    <n v="1"/>
    <n v="0"/>
    <n v="1"/>
    <n v="0"/>
    <n v="0"/>
    <n v="0"/>
    <n v="0"/>
    <n v="0"/>
    <n v="0"/>
    <n v="0"/>
    <n v="0"/>
    <n v="0"/>
    <n v="0"/>
    <n v="0"/>
    <n v="0"/>
    <n v="1"/>
    <n v="0"/>
    <n v="0"/>
    <n v="0"/>
    <s v="-"/>
    <n v="0"/>
    <n v="2"/>
    <n v="0"/>
    <n v="1"/>
    <n v="0"/>
    <n v="0"/>
  </r>
  <r>
    <s v="2025-10-14 01:00:00.000 +0100"/>
    <d v="2025-10-01T00:00:00"/>
    <s v="Tuesday  "/>
    <d v="1899-12-30T00:22:41"/>
    <n v="14"/>
    <s v="Missing Delivery"/>
    <x v="2"/>
    <s v="COMPLETED"/>
    <s v="0.44444444444444444444"/>
    <s v="1.00000000000000000000"/>
    <s v="0.66666666666666666667"/>
    <s v="0.46666666666666666667"/>
    <s v="0.27272727272727272727"/>
    <n v="0"/>
    <n v="0"/>
    <n v="0"/>
    <n v="0"/>
    <n v="0"/>
    <n v="0"/>
    <n v="0"/>
    <n v="0"/>
    <n v="1"/>
    <n v="1"/>
    <n v="0"/>
    <n v="0"/>
    <n v="0"/>
    <n v="0"/>
    <n v="1"/>
    <n v="0"/>
    <n v="0"/>
    <n v="0"/>
    <n v="0"/>
    <n v="0"/>
    <n v="0"/>
    <n v="0"/>
    <n v="0"/>
    <n v="0"/>
    <n v="0"/>
    <s v="-"/>
    <n v="1"/>
    <n v="2"/>
    <n v="1"/>
    <n v="1"/>
    <n v="2"/>
    <n v="1"/>
  </r>
  <r>
    <s v="2025-10-20 01:00:00.000 +0100"/>
    <d v="2025-10-01T00:00:00"/>
    <s v="Monday   "/>
    <d v="1899-12-30T00:23:31"/>
    <n v="14"/>
    <s v="Missing Delivery"/>
    <x v="0"/>
    <s v="COMPLETED"/>
    <s v="0.88888888888888888889"/>
    <s v="1.00000000000000000000"/>
    <s v="0.66666666666666666667"/>
    <s v="0.80000000000000000000"/>
    <s v="0.72727272727272727273"/>
    <n v="0"/>
    <n v="0"/>
    <n v="0"/>
    <n v="0"/>
    <n v="0"/>
    <n v="0"/>
    <n v="0"/>
    <n v="0"/>
    <n v="1"/>
    <n v="1"/>
    <n v="0"/>
    <n v="0"/>
    <n v="0"/>
    <n v="0"/>
    <n v="1"/>
    <n v="0"/>
    <n v="0"/>
    <n v="0"/>
    <n v="0"/>
    <n v="0"/>
    <n v="0"/>
    <n v="0"/>
    <n v="0"/>
    <n v="0"/>
    <n v="0"/>
    <s v="-"/>
    <n v="1"/>
    <n v="2"/>
    <n v="1"/>
    <n v="1"/>
    <n v="2"/>
    <n v="1"/>
  </r>
  <r>
    <s v="2025-10-20 01:00:00.000 +0100"/>
    <d v="2025-10-01T00:00:00"/>
    <s v="Monday   "/>
    <d v="1899-12-30T00:22:30"/>
    <n v="14"/>
    <s v="Missing Delivery"/>
    <x v="1"/>
    <s v="COMPLETED"/>
    <s v="0.44444444444444444444"/>
    <s v="0.50000000000000000000"/>
    <s v="0.33333333333333333333"/>
    <s v="0.46666666666666666667"/>
    <s v="0.27272727272727272727"/>
    <n v="0"/>
    <n v="0"/>
    <n v="0"/>
    <n v="0"/>
    <n v="0"/>
    <n v="0"/>
    <n v="0"/>
    <n v="0"/>
    <n v="1"/>
    <n v="1"/>
    <n v="0"/>
    <n v="0"/>
    <n v="0"/>
    <n v="0"/>
    <n v="1"/>
    <n v="0"/>
    <n v="0"/>
    <n v="0"/>
    <n v="0"/>
    <n v="0"/>
    <n v="0"/>
    <n v="0"/>
    <n v="0"/>
    <n v="0"/>
    <n v="0"/>
    <s v="-"/>
    <n v="1"/>
    <n v="2"/>
    <n v="1"/>
    <n v="1"/>
    <n v="2"/>
    <n v="1"/>
  </r>
  <r>
    <s v="2025-10-22 01:00:00.000 +0100"/>
    <d v="2025-10-01T00:00:00"/>
    <s v="Wednesday"/>
    <d v="1899-12-30T00:33:58"/>
    <n v="30"/>
    <s v="DEFCON 1"/>
    <x v="1"/>
    <s v="COMPLETED"/>
    <s v="0.44444444444444444444"/>
    <s v="1.00000000000000000000"/>
    <s v="0.50000000000000000000"/>
    <s v="0.60000000000000000000"/>
    <s v="0.63636363636363636364"/>
    <n v="0"/>
    <n v="1"/>
    <n v="0"/>
    <n v="0"/>
    <n v="0"/>
    <n v="1"/>
    <n v="0"/>
    <n v="0"/>
    <n v="0"/>
    <n v="0"/>
    <n v="1"/>
    <n v="0"/>
    <n v="0"/>
    <n v="0"/>
    <n v="0"/>
    <n v="0"/>
    <n v="0"/>
    <n v="1"/>
    <n v="0"/>
    <n v="0"/>
    <n v="0"/>
    <n v="0"/>
    <n v="0"/>
    <n v="0"/>
    <n v="0"/>
    <s v="-"/>
    <n v="1"/>
    <n v="2"/>
    <n v="2"/>
    <n v="2"/>
    <n v="2"/>
    <n v="0"/>
  </r>
  <r>
    <s v="2025-10-23 01:00:00.000 +0100"/>
    <d v="2025-10-01T00:00:00"/>
    <s v="Thursday "/>
    <d v="1899-12-30T00:37:49"/>
    <n v="30"/>
    <s v="DEFCON 1"/>
    <x v="2"/>
    <s v="COMPLETED"/>
    <s v="0.77777777777777777778"/>
    <s v="1.00000000000000000000"/>
    <s v="0.50000000000000000000"/>
    <s v="0.33333333333333333333"/>
    <s v="0.45454545454545454545"/>
    <n v="0"/>
    <n v="1"/>
    <n v="0"/>
    <n v="0"/>
    <n v="0"/>
    <n v="1"/>
    <n v="0"/>
    <n v="0"/>
    <n v="0"/>
    <n v="0"/>
    <n v="1"/>
    <n v="0"/>
    <n v="0"/>
    <n v="0"/>
    <n v="0"/>
    <n v="0"/>
    <n v="0"/>
    <n v="1"/>
    <n v="0"/>
    <n v="0"/>
    <n v="0"/>
    <n v="0"/>
    <n v="0"/>
    <n v="0"/>
    <n v="0"/>
    <s v="-"/>
    <n v="1"/>
    <n v="2"/>
    <n v="2"/>
    <n v="2"/>
    <n v="2"/>
    <n v="0"/>
  </r>
  <r>
    <s v="2025-10-27 00:00:00.000 +0000"/>
    <d v="2025-10-01T00:00:00"/>
    <s v="Monday   "/>
    <d v="1899-12-30T00:31:23"/>
    <n v="30"/>
    <s v="DEFCON 1"/>
    <x v="0"/>
    <s v="COMPLETED"/>
    <s v="0.44444444444444444444"/>
    <s v="0.50000000000000000000"/>
    <s v="0.66666666666666666667"/>
    <s v="0.53333333333333333333"/>
    <s v="0.45454545454545454545"/>
    <n v="0"/>
    <n v="1"/>
    <n v="0"/>
    <n v="0"/>
    <n v="0"/>
    <n v="1"/>
    <n v="0"/>
    <n v="0"/>
    <n v="0"/>
    <n v="0"/>
    <n v="1"/>
    <n v="0"/>
    <n v="0"/>
    <n v="0"/>
    <n v="0"/>
    <n v="0"/>
    <n v="0"/>
    <n v="1"/>
    <n v="0"/>
    <n v="0"/>
    <n v="0"/>
    <n v="0"/>
    <n v="0"/>
    <n v="0"/>
    <n v="0"/>
    <s v="-"/>
    <n v="1"/>
    <n v="2"/>
    <n v="2"/>
    <n v="2"/>
    <n v="2"/>
    <n v="0"/>
  </r>
  <r>
    <s v="2025-11-04 00:00:00.000 +0000"/>
    <d v="2025-11-01T00:00:00"/>
    <s v="Tuesday  "/>
    <d v="1899-12-30T00:19:07"/>
    <n v="16"/>
    <s v="Radio Silence"/>
    <x v="2"/>
    <s v="COMPLETED"/>
    <s v="0.77777777777777777778"/>
    <s v="1.00000000000000000000"/>
    <s v="0.83333333333333333333"/>
    <s v="0.66666666666666666667"/>
    <s v="0.54545454545454545455"/>
    <n v="0"/>
    <n v="0"/>
    <n v="0"/>
    <n v="1"/>
    <n v="0"/>
    <n v="0"/>
    <n v="0"/>
    <n v="0"/>
    <n v="0"/>
    <n v="0"/>
    <n v="0"/>
    <n v="0"/>
    <n v="0"/>
    <n v="1"/>
    <n v="0"/>
    <n v="0"/>
    <n v="0"/>
    <n v="0"/>
    <n v="0"/>
    <n v="0"/>
    <n v="0"/>
    <n v="0"/>
    <n v="0"/>
    <n v="0"/>
    <n v="0"/>
    <s v="-"/>
    <n v="0"/>
    <n v="1"/>
    <n v="0"/>
    <n v="0"/>
    <n v="1"/>
    <n v="0"/>
  </r>
  <r>
    <s v="2025-11-05 00:00:00.000 +0000"/>
    <d v="2025-11-01T00:00:00"/>
    <s v="Wednesday"/>
    <d v="1899-12-30T00:18:05"/>
    <n v="4"/>
    <s v="Roblox"/>
    <x v="1"/>
    <s v="COMPLETED"/>
    <s v="0.44444444444444444444"/>
    <s v="1.00000000000000000000"/>
    <s v="0.66666666666666666667"/>
    <s v="0.46666666666666666667"/>
    <s v="0.36363636363636363636"/>
    <n v="1"/>
    <n v="0"/>
    <n v="0"/>
    <n v="0"/>
    <n v="0"/>
    <n v="0"/>
    <n v="0"/>
    <n v="0"/>
    <n v="0"/>
    <n v="0"/>
    <n v="0"/>
    <n v="0"/>
    <n v="0"/>
    <n v="0"/>
    <n v="1"/>
    <n v="0"/>
    <n v="1"/>
    <n v="0"/>
    <n v="1"/>
    <n v="0"/>
    <n v="0"/>
    <n v="0"/>
    <n v="0"/>
    <n v="0"/>
    <n v="0"/>
    <s v="-"/>
    <n v="1"/>
    <n v="4"/>
    <n v="1"/>
    <n v="1"/>
    <n v="1"/>
    <n v="1"/>
  </r>
  <r>
    <s v="2025-11-18 00:00:00.000 +0000"/>
    <d v="2025-11-01T00:00:00"/>
    <s v="Tuesday  "/>
    <d v="1899-12-30T00:22:13"/>
    <n v="20"/>
    <s v="The Disappearing Act"/>
    <x v="2"/>
    <s v="COMPLETED"/>
    <s v="0.55555555555555555556"/>
    <s v="1.00000000000000000000"/>
    <s v="0.66666666666666666667"/>
    <s v="0.40000000000000000000"/>
    <s v="0.18181818181818181818"/>
    <n v="0"/>
    <n v="0"/>
    <n v="0"/>
    <n v="1"/>
    <n v="1"/>
    <n v="0"/>
    <n v="0"/>
    <n v="1"/>
    <n v="0"/>
    <n v="0"/>
    <n v="0"/>
    <n v="0"/>
    <n v="0"/>
    <n v="0"/>
    <n v="1"/>
    <n v="0"/>
    <n v="0"/>
    <n v="0"/>
    <n v="0"/>
    <n v="0"/>
    <n v="0"/>
    <n v="0"/>
    <n v="0"/>
    <n v="0"/>
    <n v="0"/>
    <s v="-"/>
    <n v="1"/>
    <n v="2"/>
    <n v="1"/>
    <n v="1"/>
    <n v="3"/>
    <n v="1"/>
  </r>
  <r>
    <s v="2025-11-19 00:00:00.000 +0000"/>
    <d v="2025-11-01T00:00:00"/>
    <s v="Wednesday"/>
    <d v="1899-12-30T00:21:01"/>
    <n v="20"/>
    <s v="The Disappearing Act"/>
    <x v="0"/>
    <s v="COMPLETED"/>
    <s v="0.33333333333333333333"/>
    <s v="1.00000000000000000000"/>
    <s v="0.66666666666666666667"/>
    <s v="0.26666666666666666667"/>
    <s v="0.09090909090909090909"/>
    <n v="0"/>
    <n v="0"/>
    <n v="0"/>
    <n v="1"/>
    <n v="1"/>
    <n v="0"/>
    <n v="0"/>
    <n v="1"/>
    <n v="0"/>
    <n v="0"/>
    <n v="0"/>
    <n v="0"/>
    <n v="0"/>
    <n v="0"/>
    <n v="1"/>
    <n v="0"/>
    <n v="0"/>
    <n v="0"/>
    <n v="0"/>
    <n v="0"/>
    <n v="0"/>
    <n v="0"/>
    <n v="0"/>
    <n v="0"/>
    <n v="0"/>
    <s v="-"/>
    <n v="1"/>
    <n v="2"/>
    <n v="1"/>
    <n v="1"/>
    <n v="3"/>
    <n v="1"/>
  </r>
  <r>
    <s v="2025-12-01 00:00:00.000 +0000"/>
    <d v="2025-12-01T00:00:00"/>
    <s v="Monday   "/>
    <d v="1899-12-30T00:20:02"/>
    <n v="16"/>
    <s v="Radio Silence"/>
    <x v="0"/>
    <s v="OUT_OF_TIME"/>
    <s v="0.77777777777777777778"/>
    <s v="0.50000000000000000000"/>
    <s v="0.66666666666666666667"/>
    <s v="0.66666666666666666667"/>
    <s v="0.63636363636363636364"/>
    <n v="0"/>
    <n v="0"/>
    <n v="0"/>
    <n v="1"/>
    <n v="0"/>
    <n v="0"/>
    <n v="0"/>
    <n v="0"/>
    <n v="0"/>
    <n v="0"/>
    <n v="0"/>
    <n v="0"/>
    <n v="0"/>
    <n v="1"/>
    <n v="0"/>
    <n v="0"/>
    <n v="0"/>
    <n v="0"/>
    <n v="0"/>
    <n v="0"/>
    <n v="0"/>
    <n v="0"/>
    <n v="0"/>
    <n v="0"/>
    <n v="0"/>
    <s v="-"/>
    <n v="0"/>
    <n v="1"/>
    <n v="0"/>
    <n v="0"/>
    <n v="1"/>
    <n v="0"/>
  </r>
  <r>
    <s v="2025-12-02 00:00:00.000 +0000"/>
    <d v="2025-12-01T00:00:00"/>
    <s v="Tuesday  "/>
    <d v="1899-12-30T00:14:53"/>
    <n v="4"/>
    <s v="Roblox"/>
    <x v="2"/>
    <s v="COMPLETED"/>
    <s v="0.55555555555555555556"/>
    <s v="1.00000000000000000000"/>
    <s v="0.83333333333333333333"/>
    <s v="0.53333333333333333333"/>
    <s v="0.45454545454545454545"/>
    <n v="1"/>
    <n v="0"/>
    <n v="0"/>
    <n v="0"/>
    <n v="0"/>
    <n v="0"/>
    <n v="0"/>
    <n v="0"/>
    <n v="0"/>
    <n v="0"/>
    <n v="0"/>
    <n v="0"/>
    <n v="0"/>
    <n v="0"/>
    <n v="1"/>
    <n v="0"/>
    <n v="1"/>
    <n v="0"/>
    <n v="1"/>
    <n v="0"/>
    <n v="0"/>
    <n v="0"/>
    <n v="0"/>
    <n v="0"/>
    <n v="0"/>
    <s v="-"/>
    <n v="1"/>
    <n v="4"/>
    <n v="1"/>
    <n v="1"/>
    <n v="1"/>
    <n v="1"/>
  </r>
  <r>
    <s v="2025-12-16 00:00:00.000 +0000"/>
    <d v="2025-12-01T00:00:00"/>
    <s v="Tuesday  "/>
    <d v="1899-12-30T00:20:01"/>
    <n v="4"/>
    <s v="Roblox"/>
    <x v="0"/>
    <s v="OUT_OF_TIME"/>
    <s v="0.77777777777777777778"/>
    <s v="0.50000000000000000000"/>
    <s v="0.66666666666666666667"/>
    <s v="0.66666666666666666667"/>
    <s v="0.63636363636363636364"/>
    <n v="1"/>
    <n v="0"/>
    <n v="0"/>
    <n v="0"/>
    <n v="0"/>
    <n v="0"/>
    <n v="0"/>
    <n v="0"/>
    <n v="0"/>
    <n v="0"/>
    <n v="0"/>
    <n v="0"/>
    <n v="0"/>
    <n v="0"/>
    <n v="1"/>
    <n v="0"/>
    <n v="1"/>
    <n v="0"/>
    <n v="1"/>
    <n v="0"/>
    <n v="0"/>
    <n v="0"/>
    <n v="0"/>
    <n v="0"/>
    <n v="0"/>
    <s v="-"/>
    <n v="1"/>
    <n v="4"/>
    <n v="1"/>
    <n v="1"/>
    <n v="1"/>
    <n v="1"/>
  </r>
  <r>
    <s v="2025-12-17 00:00:00.000 +0000"/>
    <d v="2025-12-01T00:00:00"/>
    <s v="Wednesday"/>
    <d v="1899-12-30T00:20:02"/>
    <n v="16"/>
    <s v="Radio Silence"/>
    <x v="1"/>
    <s v="OUT_OF_TIME"/>
    <s v="0.66666666666666666667"/>
    <s v="0.50000000000000000000"/>
    <s v="0.50000000000000000000"/>
    <s v="0.33333333333333333333"/>
    <s v="0.18181818181818181818"/>
    <n v="0"/>
    <n v="0"/>
    <n v="0"/>
    <n v="1"/>
    <n v="0"/>
    <n v="0"/>
    <n v="0"/>
    <n v="0"/>
    <n v="0"/>
    <n v="0"/>
    <n v="0"/>
    <n v="0"/>
    <n v="0"/>
    <n v="1"/>
    <n v="0"/>
    <n v="0"/>
    <n v="0"/>
    <n v="0"/>
    <n v="0"/>
    <n v="0"/>
    <n v="0"/>
    <n v="0"/>
    <n v="0"/>
    <n v="0"/>
    <n v="0"/>
    <s v="-"/>
    <n v="0"/>
    <n v="1"/>
    <n v="0"/>
    <n v="0"/>
    <n v="1"/>
    <n v="0"/>
  </r>
  <r>
    <s v="2026-01-26 00:00:00.000 +0000"/>
    <d v="2026-01-01T00:00:00"/>
    <s v="Monday   "/>
    <d v="1899-12-30T00:18:57"/>
    <n v="8"/>
    <s v="The Chain"/>
    <x v="0"/>
    <s v="COMPLETED"/>
    <s v="0.66666666666666666667"/>
    <s v="1.00000000000000000000"/>
    <s v="0.66666666666666666667"/>
    <s v="0.33333333333333333333"/>
    <s v="0.36363636363636363636"/>
    <n v="0"/>
    <n v="0"/>
    <n v="0"/>
    <n v="0"/>
    <n v="0"/>
    <n v="0"/>
    <n v="0"/>
    <n v="1"/>
    <n v="0"/>
    <n v="0"/>
    <n v="0"/>
    <n v="0"/>
    <n v="1"/>
    <n v="0"/>
    <n v="0"/>
    <n v="0"/>
    <n v="0"/>
    <n v="0"/>
    <n v="0"/>
    <n v="0"/>
    <n v="0"/>
    <n v="0"/>
    <n v="0"/>
    <n v="1"/>
    <n v="0"/>
    <s v="-"/>
    <n v="0"/>
    <n v="1"/>
    <n v="2"/>
    <n v="0"/>
    <n v="0"/>
    <n v="1"/>
  </r>
  <r>
    <s v="2026-02-10 00:00:00.000 +0000"/>
    <d v="2026-02-01T00:00:00"/>
    <s v="Tuesday  "/>
    <d v="1899-12-30T00:25:02"/>
    <n v="8"/>
    <s v="The Chain"/>
    <x v="2"/>
    <s v="OUT_OF_TIME"/>
    <s v="0.44444444444444444444"/>
    <s v="0.50000000000000000000"/>
    <s v="0.50000000000000000000"/>
    <s v="0.53333333333333333333"/>
    <s v="0.36363636363636363636"/>
    <n v="0"/>
    <n v="0"/>
    <n v="0"/>
    <n v="0"/>
    <n v="0"/>
    <n v="0"/>
    <n v="0"/>
    <n v="1"/>
    <n v="0"/>
    <n v="0"/>
    <n v="0"/>
    <n v="0"/>
    <n v="1"/>
    <n v="0"/>
    <n v="0"/>
    <n v="0"/>
    <n v="0"/>
    <n v="0"/>
    <n v="0"/>
    <n v="0"/>
    <n v="0"/>
    <n v="0"/>
    <n v="0"/>
    <n v="1"/>
    <n v="0"/>
    <s v="-"/>
    <n v="0"/>
    <n v="1"/>
    <n v="2"/>
    <n v="0"/>
    <n v="0"/>
    <n v="1"/>
  </r>
  <r>
    <s v="2026-02-13 00:00:00.000 +0000"/>
    <d v="2026-02-01T00:00:00"/>
    <s v="Friday   "/>
    <d v="1899-12-30T00:24:13"/>
    <n v="8"/>
    <s v="The Chain"/>
    <x v="1"/>
    <s v="COMPLETED"/>
    <s v="0.55555555555555555556"/>
    <s v="1.00000000000000000000"/>
    <s v="0.50000000000000000000"/>
    <s v="0.60000000000000000000"/>
    <s v="0.36363636363636363636"/>
    <n v="0"/>
    <n v="0"/>
    <n v="0"/>
    <n v="0"/>
    <n v="0"/>
    <n v="0"/>
    <n v="0"/>
    <n v="1"/>
    <n v="0"/>
    <n v="0"/>
    <n v="0"/>
    <n v="0"/>
    <n v="1"/>
    <n v="0"/>
    <n v="0"/>
    <n v="0"/>
    <n v="0"/>
    <n v="0"/>
    <n v="0"/>
    <n v="0"/>
    <n v="0"/>
    <n v="0"/>
    <n v="0"/>
    <n v="1"/>
    <n v="0"/>
    <s v="-"/>
    <n v="0"/>
    <n v="1"/>
    <n v="2"/>
    <n v="0"/>
    <n v="0"/>
    <n v="1"/>
  </r>
  <r>
    <s v="2026-02-23 00:00:00.000 +0000"/>
    <d v="2026-02-01T00:00:00"/>
    <s v="Monday   "/>
    <d v="1899-12-30T00:25:04"/>
    <n v="18"/>
    <s v="The Switch"/>
    <x v="0"/>
    <s v="COMPLETED"/>
    <s v="0.77777777777777777778"/>
    <s v="1.00000000000000000000"/>
    <s v="0.66666666666666666667"/>
    <s v="0.53333333333333333333"/>
    <s v="0.36363636363636363636"/>
    <n v="0"/>
    <n v="0"/>
    <n v="0"/>
    <n v="0"/>
    <n v="1"/>
    <n v="0"/>
    <n v="1"/>
    <n v="1"/>
    <n v="0"/>
    <n v="0"/>
    <n v="0"/>
    <n v="1"/>
    <n v="0"/>
    <n v="0"/>
    <n v="0"/>
    <n v="0"/>
    <n v="0"/>
    <n v="0"/>
    <n v="0"/>
    <n v="0"/>
    <n v="0"/>
    <n v="0"/>
    <n v="0"/>
    <n v="1"/>
    <n v="0"/>
    <s v="-"/>
    <n v="0"/>
    <n v="3"/>
    <n v="1"/>
    <n v="0"/>
    <n v="1"/>
    <n v="1"/>
  </r>
  <r>
    <s v="2026-03-18 00:00:00.000 +0000"/>
    <d v="2026-03-01T00:00:00"/>
    <s v="Wednesday"/>
    <d v="1899-12-30T00:18:52"/>
    <n v="18"/>
    <s v="The Switch"/>
    <x v="1"/>
    <s v="COMPLETED"/>
    <s v="0.44444444444444444444"/>
    <s v="0.50000000000000000000"/>
    <s v="0.66666666666666666667"/>
    <s v="0.40000000000000000000"/>
    <s v="0.36363636363636363636"/>
    <n v="0"/>
    <n v="0"/>
    <n v="0"/>
    <n v="0"/>
    <n v="1"/>
    <n v="0"/>
    <n v="1"/>
    <n v="1"/>
    <n v="0"/>
    <n v="0"/>
    <n v="0"/>
    <n v="1"/>
    <n v="0"/>
    <n v="0"/>
    <n v="0"/>
    <n v="0"/>
    <n v="0"/>
    <n v="0"/>
    <n v="0"/>
    <n v="0"/>
    <n v="0"/>
    <n v="0"/>
    <n v="0"/>
    <n v="1"/>
    <n v="0"/>
    <s v="-"/>
    <n v="0"/>
    <n v="3"/>
    <n v="1"/>
    <n v="0"/>
    <n v="1"/>
    <n v="1"/>
  </r>
  <r>
    <s v="2026-03-19 00:00:00.000 +0000"/>
    <d v="2026-03-01T00:00:00"/>
    <s v="Thursday "/>
    <d v="1899-12-30T00:22:46"/>
    <n v="18"/>
    <s v="The Switch"/>
    <x v="2"/>
    <s v="COMPLETED"/>
    <s v="0.55555555555555555556"/>
    <s v="1.00000000000000000000"/>
    <s v="0.66666666666666666667"/>
    <s v="0.60000000000000000000"/>
    <s v="0.45454545454545454545"/>
    <n v="0"/>
    <n v="0"/>
    <n v="0"/>
    <n v="0"/>
    <n v="1"/>
    <n v="0"/>
    <n v="1"/>
    <n v="1"/>
    <n v="0"/>
    <n v="0"/>
    <n v="0"/>
    <n v="1"/>
    <n v="0"/>
    <n v="0"/>
    <n v="0"/>
    <n v="0"/>
    <n v="0"/>
    <n v="0"/>
    <n v="0"/>
    <n v="0"/>
    <n v="0"/>
    <n v="0"/>
    <n v="0"/>
    <n v="1"/>
    <n v="0"/>
    <s v="-"/>
    <n v="0"/>
    <n v="3"/>
    <n v="1"/>
    <n v="0"/>
    <n v="1"/>
    <n v="1"/>
  </r>
  <r>
    <s v="2026-04-02 01:00:00.000 +0100"/>
    <d v="2026-04-01T00:00:00"/>
    <s v="Thursday "/>
    <d v="1899-12-30T00:20:02"/>
    <n v="3"/>
    <s v="Too Good To Be True"/>
    <x v="4"/>
    <s v="OUT_OF_TIME"/>
    <s v="0.44444444444444444444"/>
    <s v="0.50000000000000000000"/>
    <s v="0.16666666666666666667"/>
    <s v="0.26666666666666666667"/>
    <n v="0"/>
    <n v="0"/>
    <n v="0"/>
    <n v="1"/>
    <n v="0"/>
    <n v="0"/>
    <n v="0"/>
    <n v="0"/>
    <n v="0"/>
    <n v="0"/>
    <n v="0"/>
    <n v="0"/>
    <n v="0"/>
    <n v="0"/>
    <n v="0"/>
    <n v="0"/>
    <n v="0"/>
    <n v="0"/>
    <n v="0"/>
    <n v="0"/>
    <n v="0"/>
    <n v="0"/>
    <n v="0"/>
    <n v="1"/>
    <n v="0"/>
    <n v="0"/>
    <s v="-"/>
    <n v="0"/>
    <n v="1"/>
    <n v="2"/>
    <n v="0"/>
    <n v="0"/>
    <n v="0"/>
  </r>
  <r>
    <s v="2026-04-09 01:00:00.000 +0100"/>
    <d v="2026-04-01T00:00:00"/>
    <s v="Thursday "/>
    <d v="1899-12-30T00:19:50"/>
    <n v="5"/>
    <s v="Bezs Beatles Day!"/>
    <x v="4"/>
    <s v="COMPLETED"/>
    <s v="0.55555555555555555556"/>
    <s v="0.50000000000000000000"/>
    <s v="0.33333333333333333333"/>
    <s v="0.46666666666666666667"/>
    <s v="0.18181818181818181818"/>
    <n v="0"/>
    <n v="0"/>
    <n v="1"/>
    <n v="0"/>
    <n v="0"/>
    <n v="0"/>
    <n v="0"/>
    <n v="0"/>
    <n v="0"/>
    <n v="0"/>
    <n v="0"/>
    <n v="1"/>
    <n v="0"/>
    <n v="0"/>
    <n v="0"/>
    <n v="0"/>
    <n v="0"/>
    <n v="0"/>
    <n v="0"/>
    <n v="0"/>
    <n v="0"/>
    <n v="0"/>
    <n v="0"/>
    <n v="0"/>
    <n v="0"/>
    <s v="-"/>
    <n v="0"/>
    <n v="1"/>
    <n v="1"/>
    <n v="0"/>
    <n v="0"/>
    <n v="0"/>
  </r>
  <r>
    <m/>
    <m/>
    <m/>
    <m/>
    <m/>
    <m/>
    <x v="5"/>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d v="2026-01-26T00:00:00"/>
    <x v="0"/>
    <d v="1899-12-30T13:00:00"/>
    <s v="Seth"/>
    <s v="Sonic"/>
    <n v="14"/>
    <s v="The Chain,Grounding Workshop"/>
    <m/>
    <s v="Rishi"/>
    <m/>
    <m/>
    <n v="7"/>
    <s v="Feels good to steal ideas from uptimelabs session to improve in sonic. Their team lags in incident comms. So learning CAN - to do grounding definitely makes difference. _x000a__x000a_Also, the grafana dashboard looks cool here but yet to have something like this in sonic. _x000a__x000a_What it'd take to get 10 ? _x000a_Narrative was too generic not something new. Felt like same rollback and Daniel always making mistakes with deployments. So as per him, this experience was not upto mark. Mentioned that he loves these sessions to learn new things. "/>
    <n v="7524"/>
    <m/>
    <m/>
    <s v="Attended"/>
    <m/>
    <m/>
    <m/>
    <m/>
    <m/>
  </r>
  <r>
    <d v="2026-02-09T00:00:00"/>
    <x v="1"/>
    <d v="1899-12-30T13:00:00"/>
    <s v="Seth"/>
    <s v="Sonic"/>
    <n v="14"/>
    <s v="PIR on Chain"/>
    <m/>
    <s v="Rishi"/>
    <m/>
    <s v="Karan is this ready? G2?"/>
    <n v="10"/>
    <s v="Very insightful. The PIR provided by UL looks much fancier than what I filled out. People at sonic are more reactive than proactive . He's proposing this to his team on the learnings what he has got from discussions with UL"/>
    <m/>
    <m/>
    <m/>
    <s v="Attended"/>
    <m/>
    <m/>
    <m/>
    <m/>
    <m/>
  </r>
  <r>
    <d v="2026-02-10T00:00:00"/>
    <x v="1"/>
    <d v="1899-12-30T16:00:00"/>
    <s v="Joe"/>
    <s v="Sonic"/>
    <n v="14"/>
    <s v="The Chain,Grounding Workshop"/>
    <m/>
    <s v="Rishi"/>
    <m/>
    <s v="PIR on chain next session "/>
    <n v="8"/>
    <s v="Enjoyed it. Learnt - Don't be afraid to rollback if a new feature doesn't work. It's better to have a working product than a partially broken one._x000a_What it would take to get 10 ? _x000a_Probably could be sort of push from bots when player feels stuck or needs suggestion"/>
    <n v="7688"/>
    <m/>
    <m/>
    <s v="Attended"/>
    <m/>
    <m/>
    <m/>
    <m/>
    <m/>
  </r>
  <r>
    <d v="2026-02-13T00:00:00"/>
    <x v="1"/>
    <d v="1899-12-30T16:00:00"/>
    <s v="Leigh"/>
    <s v="Sonic"/>
    <n v="12"/>
    <s v="The Chain,Grounding Workshop"/>
    <m/>
    <s v="Matthew"/>
    <m/>
    <m/>
    <n v="9"/>
    <s v="Really liked the drill, found it to be challenging (in a good way)"/>
    <n v="7726"/>
    <m/>
    <m/>
    <s v="Attended"/>
    <m/>
    <m/>
    <m/>
    <m/>
    <m/>
  </r>
  <r>
    <d v="2026-02-23T00:00:00"/>
    <x v="1"/>
    <d v="1899-12-30T13:00:00"/>
    <s v="Seth"/>
    <s v="Sonic"/>
    <n v="14"/>
    <s v="The Switch"/>
    <m/>
    <s v="Ed"/>
    <m/>
    <s v="Make sure Switch works well"/>
    <n v="8"/>
    <s v="He is looking forward to PIR and pushing for incident response within the sonic"/>
    <n v="7797"/>
    <m/>
    <m/>
    <s v="Attended"/>
    <m/>
    <m/>
    <m/>
    <m/>
    <m/>
  </r>
  <r>
    <d v="2026-02-25T00:00:00"/>
    <x v="1"/>
    <d v="1899-12-30T16:00:00"/>
    <s v="Leigh"/>
    <s v="Sonic"/>
    <n v="12"/>
    <s v="Profile Report"/>
    <m/>
    <s v="Matthew"/>
    <m/>
    <s v="would be good if we could ask we could add his quote to our reference library- from Miranda_x000a_@Matthew Rooney or playing Switch"/>
    <n v="10"/>
    <m/>
    <m/>
    <m/>
    <m/>
    <s v="Attended"/>
    <m/>
    <m/>
    <m/>
    <m/>
    <m/>
  </r>
  <r>
    <d v="2026-03-03T00:00:00"/>
    <x v="2"/>
    <d v="1899-12-30T16:00:00"/>
    <s v="Joe"/>
    <s v="Sonic"/>
    <n v="14"/>
    <s v="Profile Report"/>
    <m/>
    <s v="Karan"/>
    <m/>
    <m/>
    <s v="No Score"/>
    <m/>
    <m/>
    <m/>
    <m/>
    <s v="Attended"/>
    <m/>
    <m/>
    <m/>
    <m/>
    <m/>
  </r>
  <r>
    <d v="2026-03-16T00:00:00"/>
    <x v="2"/>
    <d v="1899-12-30T17:00:00"/>
    <s v="Alyssa"/>
    <s v="Sonic"/>
    <n v="2"/>
    <s v="Intro"/>
    <m/>
    <s v="Ed"/>
    <m/>
    <m/>
    <s v="No Score"/>
    <s v="She is looking forward to try the platform"/>
    <m/>
    <m/>
    <m/>
    <s v="Attended"/>
    <m/>
    <m/>
    <m/>
    <m/>
    <m/>
  </r>
  <r>
    <d v="2026-03-18T00:00:00"/>
    <x v="2"/>
    <d v="1899-12-30T16:00:00"/>
    <s v="Leigh"/>
    <s v="Sonic"/>
    <n v="12"/>
    <s v="The Switch"/>
    <m/>
    <s v="Karan"/>
    <m/>
    <m/>
    <n v="9"/>
    <s v="Great drill to time box and impact analysis._x000a__x000a_One of few drill i am confident on my skills "/>
    <n v="8078"/>
    <m/>
    <m/>
    <s v="Attended"/>
    <m/>
    <m/>
    <m/>
    <m/>
    <m/>
  </r>
  <r>
    <d v="2026-03-19T00:00:00"/>
    <x v="2"/>
    <d v="1899-12-30T16:00:00"/>
    <s v="Joe"/>
    <s v="Sonic"/>
    <n v="14"/>
    <s v="The Switch"/>
    <m/>
    <s v="Ed"/>
    <m/>
    <m/>
    <n v="9"/>
    <s v="Mentioned it was nice introduction to Security drills as he is familiar with this type of incidents "/>
    <n v="8095"/>
    <m/>
    <m/>
    <s v="Attended"/>
    <m/>
    <m/>
    <m/>
    <m/>
    <m/>
  </r>
  <r>
    <d v="2026-03-31T00:00:00"/>
    <x v="2"/>
    <d v="1899-12-30T16:00:00"/>
    <s v="Joe"/>
    <s v="Sonic"/>
    <n v="14"/>
    <s v="PIR on Switch"/>
    <m/>
    <s v="Rishi"/>
    <m/>
    <m/>
    <s v="No Score"/>
    <s v="It was very useful for him. He joined even though he was off for the day. Took a page full of notes. He has built up muscle memory - mentions why he asked Maya to isolate the system - coz of DEFCON1 drill's memory "/>
    <m/>
    <m/>
    <m/>
    <s v="Attended"/>
    <m/>
    <m/>
    <m/>
    <m/>
    <m/>
  </r>
  <r>
    <d v="2026-04-02T00:00:00"/>
    <x v="3"/>
    <d v="1899-12-30T16:00:00"/>
    <s v="Alyssa"/>
    <s v="Sonic"/>
    <n v="2"/>
    <s v="Onboarding,Too Good To Be True V2"/>
    <s v="checked"/>
    <s v="Charlene"/>
    <m/>
    <m/>
    <n v="7"/>
    <s v="She enjoyed the drill and said it was a good use of her time.  she felt the struggle between moving from a hand on technical role vs a commander and is looking forward to playing more sessions"/>
    <n v="8299"/>
    <s v="accurate"/>
    <m/>
    <s v="Attended"/>
    <m/>
    <m/>
    <m/>
    <m/>
    <m/>
  </r>
  <r>
    <m/>
    <x v="4"/>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FFBEA-FBB4-C443-9781-98FE5DFD66E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2">
    <pivotField showAll="0"/>
    <pivotField axis="axisRow" showAll="0">
      <items count="6">
        <item x="0"/>
        <item x="1"/>
        <item x="2"/>
        <item x="3"/>
        <item h="1"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Average of GUOT" fld="1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DD9538-9B06-8B4B-96E8-69B0623ADFF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5">
    <pivotField dataField="1" showAll="0"/>
    <pivotField showAll="0"/>
    <pivotField showAll="0"/>
    <pivotField showAll="0"/>
    <pivotField showAll="0"/>
    <pivotField showAll="0"/>
    <pivotField axis="axisRow" showAll="0" sortType="descending">
      <items count="7">
        <item x="4"/>
        <item x="2"/>
        <item x="3"/>
        <item x="1"/>
        <item x="0"/>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v="1"/>
    </i>
    <i>
      <x v="4"/>
    </i>
    <i>
      <x v="3"/>
    </i>
    <i>
      <x/>
    </i>
    <i>
      <x v="2"/>
    </i>
    <i t="grand">
      <x/>
    </i>
  </rowItems>
  <colItems count="1">
    <i/>
  </colItems>
  <dataFields count="1">
    <dataField name="Count of session_start"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564A-4198-0544-8B34-CCC8B6D731FA}">
  <dimension ref="A3:B8"/>
  <sheetViews>
    <sheetView workbookViewId="0">
      <selection activeCell="M16" sqref="M16"/>
    </sheetView>
  </sheetViews>
  <sheetFormatPr baseColWidth="10" defaultRowHeight="16" x14ac:dyDescent="0.2"/>
  <cols>
    <col min="1" max="1" width="13" bestFit="1" customWidth="1"/>
    <col min="2" max="2" width="14.83203125" bestFit="1" customWidth="1"/>
  </cols>
  <sheetData>
    <row r="3" spans="1:2" x14ac:dyDescent="0.2">
      <c r="A3" s="4" t="s">
        <v>139</v>
      </c>
      <c r="B3" t="s">
        <v>197</v>
      </c>
    </row>
    <row r="4" spans="1:2" x14ac:dyDescent="0.2">
      <c r="A4" s="8">
        <v>46023</v>
      </c>
      <c r="B4" s="9">
        <v>7</v>
      </c>
    </row>
    <row r="5" spans="1:2" x14ac:dyDescent="0.2">
      <c r="A5" s="8">
        <v>46054</v>
      </c>
      <c r="B5" s="9">
        <v>9</v>
      </c>
    </row>
    <row r="6" spans="1:2" x14ac:dyDescent="0.2">
      <c r="A6" s="8">
        <v>46082</v>
      </c>
      <c r="B6" s="9">
        <v>9</v>
      </c>
    </row>
    <row r="7" spans="1:2" x14ac:dyDescent="0.2">
      <c r="A7" s="8">
        <v>46113</v>
      </c>
      <c r="B7" s="9">
        <v>7</v>
      </c>
    </row>
    <row r="8" spans="1:2" x14ac:dyDescent="0.2">
      <c r="A8" s="5" t="s">
        <v>140</v>
      </c>
      <c r="B8" s="9">
        <v>8.5555555555555554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6014-F376-F249-A8DA-299875786B5A}">
  <dimension ref="A1"/>
  <sheetViews>
    <sheetView tabSelected="1" workbookViewId="0">
      <selection activeCell="L23" sqref="L23"/>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5A19-9D58-814F-8D3D-E37B01B3028C}">
  <dimension ref="A1:V13"/>
  <sheetViews>
    <sheetView workbookViewId="0">
      <selection sqref="A1:XFD1048576"/>
    </sheetView>
  </sheetViews>
  <sheetFormatPr baseColWidth="10" defaultRowHeight="16" x14ac:dyDescent="0.2"/>
  <sheetData>
    <row r="1" spans="1:22" x14ac:dyDescent="0.2">
      <c r="A1" t="s">
        <v>196</v>
      </c>
      <c r="B1" t="s">
        <v>138</v>
      </c>
      <c r="C1" t="s">
        <v>195</v>
      </c>
      <c r="D1" t="s">
        <v>194</v>
      </c>
      <c r="E1" t="s">
        <v>193</v>
      </c>
      <c r="F1" t="s">
        <v>192</v>
      </c>
      <c r="G1" t="s">
        <v>191</v>
      </c>
      <c r="H1" t="s">
        <v>190</v>
      </c>
      <c r="I1" t="s">
        <v>189</v>
      </c>
      <c r="J1" t="s">
        <v>188</v>
      </c>
      <c r="K1" t="s">
        <v>187</v>
      </c>
      <c r="L1" t="s">
        <v>186</v>
      </c>
      <c r="M1" t="s">
        <v>185</v>
      </c>
      <c r="N1" t="s">
        <v>184</v>
      </c>
      <c r="O1" t="s">
        <v>183</v>
      </c>
      <c r="P1" t="s">
        <v>182</v>
      </c>
      <c r="Q1" t="s">
        <v>181</v>
      </c>
      <c r="R1" t="s">
        <v>180</v>
      </c>
      <c r="S1" t="s">
        <v>179</v>
      </c>
      <c r="T1" t="s">
        <v>178</v>
      </c>
      <c r="U1" t="s">
        <v>177</v>
      </c>
      <c r="V1" t="s">
        <v>176</v>
      </c>
    </row>
    <row r="2" spans="1:22" ht="409.6" x14ac:dyDescent="0.2">
      <c r="A2" s="3">
        <v>46048</v>
      </c>
      <c r="B2" s="3">
        <f>DATE(YEAR(A2), MONTH(A2), 1)</f>
        <v>46023</v>
      </c>
      <c r="C2" s="6">
        <v>0.54166666666666663</v>
      </c>
      <c r="D2" t="s">
        <v>167</v>
      </c>
      <c r="E2" t="s">
        <v>148</v>
      </c>
      <c r="F2">
        <v>14</v>
      </c>
      <c r="G2" t="s">
        <v>169</v>
      </c>
      <c r="I2" t="s">
        <v>152</v>
      </c>
      <c r="L2">
        <v>7</v>
      </c>
      <c r="M2" s="7" t="s">
        <v>175</v>
      </c>
      <c r="N2">
        <v>7524</v>
      </c>
      <c r="Q2" t="s">
        <v>142</v>
      </c>
    </row>
    <row r="3" spans="1:22" x14ac:dyDescent="0.2">
      <c r="A3" s="3">
        <v>46062</v>
      </c>
      <c r="B3" s="3">
        <f t="shared" ref="B3:B13" si="0">DATE(YEAR(A3), MONTH(A3), 1)</f>
        <v>46054</v>
      </c>
      <c r="C3" s="6">
        <v>0.54166666666666663</v>
      </c>
      <c r="D3" t="s">
        <v>167</v>
      </c>
      <c r="E3" t="s">
        <v>148</v>
      </c>
      <c r="F3">
        <v>14</v>
      </c>
      <c r="G3" t="s">
        <v>174</v>
      </c>
      <c r="I3" t="s">
        <v>152</v>
      </c>
      <c r="K3" t="s">
        <v>173</v>
      </c>
      <c r="L3">
        <v>10</v>
      </c>
      <c r="M3" t="s">
        <v>172</v>
      </c>
      <c r="Q3" t="s">
        <v>142</v>
      </c>
    </row>
    <row r="4" spans="1:22" ht="409.6" x14ac:dyDescent="0.2">
      <c r="A4" s="3">
        <v>46063</v>
      </c>
      <c r="B4" s="3">
        <f t="shared" si="0"/>
        <v>46054</v>
      </c>
      <c r="C4" s="6">
        <v>0.66666666666666663</v>
      </c>
      <c r="D4" t="s">
        <v>154</v>
      </c>
      <c r="E4" t="s">
        <v>148</v>
      </c>
      <c r="F4">
        <v>14</v>
      </c>
      <c r="G4" t="s">
        <v>169</v>
      </c>
      <c r="I4" t="s">
        <v>152</v>
      </c>
      <c r="K4" t="s">
        <v>171</v>
      </c>
      <c r="L4">
        <v>8</v>
      </c>
      <c r="M4" s="7" t="s">
        <v>170</v>
      </c>
      <c r="N4">
        <v>7688</v>
      </c>
      <c r="Q4" t="s">
        <v>142</v>
      </c>
    </row>
    <row r="5" spans="1:22" x14ac:dyDescent="0.2">
      <c r="A5" s="3">
        <v>46066</v>
      </c>
      <c r="B5" s="3">
        <f t="shared" si="0"/>
        <v>46054</v>
      </c>
      <c r="C5" s="6">
        <v>0.66666666666666663</v>
      </c>
      <c r="D5" t="s">
        <v>159</v>
      </c>
      <c r="E5" t="s">
        <v>148</v>
      </c>
      <c r="F5">
        <v>12</v>
      </c>
      <c r="G5" t="s">
        <v>169</v>
      </c>
      <c r="I5" t="s">
        <v>164</v>
      </c>
      <c r="L5">
        <v>9</v>
      </c>
      <c r="M5" t="s">
        <v>168</v>
      </c>
      <c r="N5">
        <v>7726</v>
      </c>
      <c r="Q5" t="s">
        <v>142</v>
      </c>
    </row>
    <row r="6" spans="1:22" x14ac:dyDescent="0.2">
      <c r="A6" s="3">
        <v>46076</v>
      </c>
      <c r="B6" s="3">
        <f t="shared" si="0"/>
        <v>46054</v>
      </c>
      <c r="C6" s="6">
        <v>0.54166666666666663</v>
      </c>
      <c r="D6" t="s">
        <v>167</v>
      </c>
      <c r="E6" t="s">
        <v>148</v>
      </c>
      <c r="F6">
        <v>14</v>
      </c>
      <c r="G6" t="s">
        <v>131</v>
      </c>
      <c r="I6" t="s">
        <v>156</v>
      </c>
      <c r="K6" t="s">
        <v>166</v>
      </c>
      <c r="L6">
        <v>8</v>
      </c>
      <c r="M6" t="s">
        <v>165</v>
      </c>
      <c r="N6">
        <v>7797</v>
      </c>
      <c r="Q6" t="s">
        <v>142</v>
      </c>
    </row>
    <row r="7" spans="1:22" ht="238" x14ac:dyDescent="0.2">
      <c r="A7" s="3">
        <v>46078</v>
      </c>
      <c r="B7" s="3">
        <f t="shared" si="0"/>
        <v>46054</v>
      </c>
      <c r="C7" s="6">
        <v>0.66666666666666663</v>
      </c>
      <c r="D7" t="s">
        <v>159</v>
      </c>
      <c r="E7" t="s">
        <v>148</v>
      </c>
      <c r="F7">
        <v>12</v>
      </c>
      <c r="G7" t="s">
        <v>162</v>
      </c>
      <c r="I7" t="s">
        <v>164</v>
      </c>
      <c r="K7" s="7" t="s">
        <v>163</v>
      </c>
      <c r="L7">
        <v>10</v>
      </c>
      <c r="Q7" t="s">
        <v>142</v>
      </c>
    </row>
    <row r="8" spans="1:22" x14ac:dyDescent="0.2">
      <c r="A8" s="3">
        <v>46084</v>
      </c>
      <c r="B8" s="3">
        <f t="shared" si="0"/>
        <v>46082</v>
      </c>
      <c r="C8" s="6">
        <v>0.66666666666666663</v>
      </c>
      <c r="D8" t="s">
        <v>154</v>
      </c>
      <c r="E8" t="s">
        <v>148</v>
      </c>
      <c r="F8">
        <v>14</v>
      </c>
      <c r="G8" t="s">
        <v>162</v>
      </c>
      <c r="I8" t="s">
        <v>158</v>
      </c>
      <c r="L8" t="s">
        <v>151</v>
      </c>
      <c r="Q8" t="s">
        <v>142</v>
      </c>
    </row>
    <row r="9" spans="1:22" x14ac:dyDescent="0.2">
      <c r="A9" s="3">
        <v>46097</v>
      </c>
      <c r="B9" s="3">
        <f t="shared" si="0"/>
        <v>46082</v>
      </c>
      <c r="C9" s="6">
        <v>0.70833333333333337</v>
      </c>
      <c r="D9" t="s">
        <v>149</v>
      </c>
      <c r="E9" t="s">
        <v>148</v>
      </c>
      <c r="F9">
        <v>2</v>
      </c>
      <c r="G9" t="s">
        <v>161</v>
      </c>
      <c r="I9" t="s">
        <v>156</v>
      </c>
      <c r="L9" t="s">
        <v>151</v>
      </c>
      <c r="M9" t="s">
        <v>160</v>
      </c>
      <c r="Q9" t="s">
        <v>142</v>
      </c>
    </row>
    <row r="10" spans="1:22" ht="153" x14ac:dyDescent="0.2">
      <c r="A10" s="3">
        <v>46099</v>
      </c>
      <c r="B10" s="3">
        <f t="shared" si="0"/>
        <v>46082</v>
      </c>
      <c r="C10" s="6">
        <v>0.66666666666666663</v>
      </c>
      <c r="D10" t="s">
        <v>159</v>
      </c>
      <c r="E10" t="s">
        <v>148</v>
      </c>
      <c r="F10">
        <v>12</v>
      </c>
      <c r="G10" t="s">
        <v>131</v>
      </c>
      <c r="I10" t="s">
        <v>158</v>
      </c>
      <c r="L10">
        <v>9</v>
      </c>
      <c r="M10" s="7" t="s">
        <v>157</v>
      </c>
      <c r="N10">
        <v>8078</v>
      </c>
      <c r="Q10" t="s">
        <v>142</v>
      </c>
    </row>
    <row r="11" spans="1:22" x14ac:dyDescent="0.2">
      <c r="A11" s="3">
        <v>46100</v>
      </c>
      <c r="B11" s="3">
        <f t="shared" si="0"/>
        <v>46082</v>
      </c>
      <c r="C11" s="6">
        <v>0.66666666666666663</v>
      </c>
      <c r="D11" t="s">
        <v>154</v>
      </c>
      <c r="E11" t="s">
        <v>148</v>
      </c>
      <c r="F11">
        <v>14</v>
      </c>
      <c r="G11" t="s">
        <v>131</v>
      </c>
      <c r="I11" t="s">
        <v>156</v>
      </c>
      <c r="L11">
        <v>9</v>
      </c>
      <c r="M11" t="s">
        <v>155</v>
      </c>
      <c r="N11">
        <v>8095</v>
      </c>
      <c r="Q11" t="s">
        <v>142</v>
      </c>
    </row>
    <row r="12" spans="1:22" x14ac:dyDescent="0.2">
      <c r="A12" s="3">
        <v>46112</v>
      </c>
      <c r="B12" s="3">
        <f t="shared" si="0"/>
        <v>46082</v>
      </c>
      <c r="C12" s="6">
        <v>0.66666666666666663</v>
      </c>
      <c r="D12" t="s">
        <v>154</v>
      </c>
      <c r="E12" t="s">
        <v>148</v>
      </c>
      <c r="F12">
        <v>14</v>
      </c>
      <c r="G12" t="s">
        <v>153</v>
      </c>
      <c r="I12" t="s">
        <v>152</v>
      </c>
      <c r="L12" t="s">
        <v>151</v>
      </c>
      <c r="M12" t="s">
        <v>150</v>
      </c>
      <c r="Q12" t="s">
        <v>142</v>
      </c>
    </row>
    <row r="13" spans="1:22" x14ac:dyDescent="0.2">
      <c r="A13" s="3">
        <v>46114</v>
      </c>
      <c r="B13" s="3">
        <f t="shared" si="0"/>
        <v>46113</v>
      </c>
      <c r="C13" s="6">
        <v>0.66666666666666663</v>
      </c>
      <c r="D13" t="s">
        <v>149</v>
      </c>
      <c r="E13" t="s">
        <v>148</v>
      </c>
      <c r="F13">
        <v>2</v>
      </c>
      <c r="G13" t="s">
        <v>147</v>
      </c>
      <c r="H13" t="s">
        <v>146</v>
      </c>
      <c r="I13" t="s">
        <v>145</v>
      </c>
      <c r="L13">
        <v>7</v>
      </c>
      <c r="M13" t="s">
        <v>144</v>
      </c>
      <c r="N13">
        <v>8299</v>
      </c>
      <c r="O13" t="s">
        <v>143</v>
      </c>
      <c r="Q13" t="s">
        <v>142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F635-6BA9-6443-B374-76E28F26752C}">
  <dimension ref="A3:B9"/>
  <sheetViews>
    <sheetView workbookViewId="0">
      <selection activeCell="M16" sqref="M16"/>
    </sheetView>
  </sheetViews>
  <sheetFormatPr baseColWidth="10" defaultRowHeight="16" x14ac:dyDescent="0.2"/>
  <cols>
    <col min="1" max="1" width="13" bestFit="1" customWidth="1"/>
    <col min="2" max="2" width="20" bestFit="1" customWidth="1"/>
  </cols>
  <sheetData>
    <row r="3" spans="1:2" x14ac:dyDescent="0.2">
      <c r="A3" s="4" t="s">
        <v>139</v>
      </c>
      <c r="B3" t="s">
        <v>141</v>
      </c>
    </row>
    <row r="4" spans="1:2" x14ac:dyDescent="0.2">
      <c r="A4" s="5" t="s">
        <v>62</v>
      </c>
      <c r="B4">
        <v>13</v>
      </c>
    </row>
    <row r="5" spans="1:2" x14ac:dyDescent="0.2">
      <c r="A5" s="5" t="s">
        <v>47</v>
      </c>
      <c r="B5">
        <v>12</v>
      </c>
    </row>
    <row r="6" spans="1:2" x14ac:dyDescent="0.2">
      <c r="A6" s="5" t="s">
        <v>56</v>
      </c>
      <c r="B6">
        <v>12</v>
      </c>
    </row>
    <row r="7" spans="1:2" x14ac:dyDescent="0.2">
      <c r="A7" s="5" t="s">
        <v>135</v>
      </c>
      <c r="B7">
        <v>2</v>
      </c>
    </row>
    <row r="8" spans="1:2" x14ac:dyDescent="0.2">
      <c r="A8" s="5" t="s">
        <v>74</v>
      </c>
      <c r="B8">
        <v>1</v>
      </c>
    </row>
    <row r="9" spans="1:2" x14ac:dyDescent="0.2">
      <c r="A9" s="5" t="s">
        <v>140</v>
      </c>
      <c r="B9">
        <v>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EA60-288B-DE46-8101-54E986866D5A}">
  <dimension ref="A1:AS41"/>
  <sheetViews>
    <sheetView workbookViewId="0">
      <selection sqref="A1:XFD1048576"/>
    </sheetView>
  </sheetViews>
  <sheetFormatPr baseColWidth="10" defaultRowHeight="16" x14ac:dyDescent="0.2"/>
  <cols>
    <col min="1" max="1" width="29.5" customWidth="1"/>
  </cols>
  <sheetData>
    <row r="1" spans="1:45" x14ac:dyDescent="0.2">
      <c r="A1" t="s">
        <v>0</v>
      </c>
      <c r="B1" t="s">
        <v>138</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
      <c r="A2" t="s">
        <v>44</v>
      </c>
      <c r="B2" s="3">
        <f>DATE(YEAR(DATEVALUE(LEFT(A2,10))), MONTH(DATEVALUE(LEFT(A2,10))), 1)</f>
        <v>45748</v>
      </c>
      <c r="C2" t="s">
        <v>45</v>
      </c>
      <c r="D2" s="1">
        <v>4.0625000000000001E-3</v>
      </c>
      <c r="E2">
        <v>27</v>
      </c>
      <c r="F2" t="s">
        <v>46</v>
      </c>
      <c r="G2" t="s">
        <v>47</v>
      </c>
      <c r="H2" t="s">
        <v>48</v>
      </c>
      <c r="I2" s="2" t="s">
        <v>49</v>
      </c>
      <c r="J2">
        <v>0</v>
      </c>
      <c r="K2" s="2" t="s">
        <v>50</v>
      </c>
      <c r="L2" s="2" t="s">
        <v>51</v>
      </c>
      <c r="M2" s="2" t="s">
        <v>52</v>
      </c>
      <c r="N2">
        <v>0</v>
      </c>
      <c r="O2">
        <v>0</v>
      </c>
      <c r="P2">
        <v>1</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t="s">
        <v>53</v>
      </c>
      <c r="AN2">
        <v>0</v>
      </c>
      <c r="AO2">
        <v>0</v>
      </c>
      <c r="AP2">
        <v>1</v>
      </c>
      <c r="AQ2">
        <v>0</v>
      </c>
      <c r="AR2">
        <v>0</v>
      </c>
      <c r="AS2">
        <v>0</v>
      </c>
    </row>
    <row r="3" spans="1:45" x14ac:dyDescent="0.2">
      <c r="A3" t="s">
        <v>54</v>
      </c>
      <c r="B3" s="3">
        <f t="shared" ref="B3:B41" si="0">DATE(YEAR(DATEVALUE(LEFT(A3,10))), MONTH(DATEVALUE(LEFT(A3,10))), 1)</f>
        <v>45839</v>
      </c>
      <c r="C3" t="s">
        <v>45</v>
      </c>
      <c r="D3" s="1">
        <v>1.1018518518518518E-2</v>
      </c>
      <c r="E3">
        <v>3</v>
      </c>
      <c r="F3" t="s">
        <v>55</v>
      </c>
      <c r="G3" t="s">
        <v>56</v>
      </c>
      <c r="H3" t="s">
        <v>48</v>
      </c>
      <c r="I3" s="2" t="s">
        <v>57</v>
      </c>
      <c r="J3" s="2" t="s">
        <v>58</v>
      </c>
      <c r="K3" s="2" t="s">
        <v>59</v>
      </c>
      <c r="L3" s="2" t="s">
        <v>60</v>
      </c>
      <c r="M3" s="2" t="s">
        <v>61</v>
      </c>
      <c r="N3">
        <v>0</v>
      </c>
      <c r="O3">
        <v>0</v>
      </c>
      <c r="P3">
        <v>1</v>
      </c>
      <c r="Q3">
        <v>0</v>
      </c>
      <c r="R3">
        <v>0</v>
      </c>
      <c r="S3">
        <v>0</v>
      </c>
      <c r="T3">
        <v>0</v>
      </c>
      <c r="U3">
        <v>0</v>
      </c>
      <c r="V3">
        <v>0</v>
      </c>
      <c r="W3">
        <v>0</v>
      </c>
      <c r="X3">
        <v>0</v>
      </c>
      <c r="Y3">
        <v>0</v>
      </c>
      <c r="Z3">
        <v>0</v>
      </c>
      <c r="AA3">
        <v>0</v>
      </c>
      <c r="AB3">
        <v>0</v>
      </c>
      <c r="AC3">
        <v>0</v>
      </c>
      <c r="AD3">
        <v>0</v>
      </c>
      <c r="AE3">
        <v>0</v>
      </c>
      <c r="AF3">
        <v>0</v>
      </c>
      <c r="AG3">
        <v>0</v>
      </c>
      <c r="AH3">
        <v>0</v>
      </c>
      <c r="AI3">
        <v>0</v>
      </c>
      <c r="AJ3">
        <v>1</v>
      </c>
      <c r="AK3">
        <v>0</v>
      </c>
      <c r="AL3">
        <v>0</v>
      </c>
      <c r="AM3" t="s">
        <v>53</v>
      </c>
      <c r="AN3">
        <v>0</v>
      </c>
      <c r="AO3">
        <v>1</v>
      </c>
      <c r="AP3">
        <v>2</v>
      </c>
      <c r="AQ3">
        <v>0</v>
      </c>
      <c r="AR3">
        <v>0</v>
      </c>
      <c r="AS3">
        <v>0</v>
      </c>
    </row>
    <row r="4" spans="1:45" x14ac:dyDescent="0.2">
      <c r="A4" t="s">
        <v>54</v>
      </c>
      <c r="B4" s="3">
        <f t="shared" si="0"/>
        <v>45839</v>
      </c>
      <c r="C4" t="s">
        <v>45</v>
      </c>
      <c r="D4" s="1">
        <v>1.1134259259259259E-2</v>
      </c>
      <c r="E4">
        <v>3</v>
      </c>
      <c r="F4" t="s">
        <v>55</v>
      </c>
      <c r="G4" t="s">
        <v>62</v>
      </c>
      <c r="H4" t="s">
        <v>48</v>
      </c>
      <c r="I4" s="2" t="s">
        <v>63</v>
      </c>
      <c r="J4" s="2" t="s">
        <v>58</v>
      </c>
      <c r="K4" s="2" t="s">
        <v>59</v>
      </c>
      <c r="L4" s="2" t="s">
        <v>64</v>
      </c>
      <c r="M4" s="2" t="s">
        <v>61</v>
      </c>
      <c r="N4">
        <v>0</v>
      </c>
      <c r="O4">
        <v>0</v>
      </c>
      <c r="P4">
        <v>1</v>
      </c>
      <c r="Q4">
        <v>0</v>
      </c>
      <c r="R4">
        <v>0</v>
      </c>
      <c r="S4">
        <v>0</v>
      </c>
      <c r="T4">
        <v>0</v>
      </c>
      <c r="U4">
        <v>0</v>
      </c>
      <c r="V4">
        <v>0</v>
      </c>
      <c r="W4">
        <v>0</v>
      </c>
      <c r="X4">
        <v>0</v>
      </c>
      <c r="Y4">
        <v>0</v>
      </c>
      <c r="Z4">
        <v>0</v>
      </c>
      <c r="AA4">
        <v>0</v>
      </c>
      <c r="AB4">
        <v>0</v>
      </c>
      <c r="AC4">
        <v>0</v>
      </c>
      <c r="AD4">
        <v>0</v>
      </c>
      <c r="AE4">
        <v>0</v>
      </c>
      <c r="AF4">
        <v>0</v>
      </c>
      <c r="AG4">
        <v>0</v>
      </c>
      <c r="AH4">
        <v>0</v>
      </c>
      <c r="AI4">
        <v>0</v>
      </c>
      <c r="AJ4">
        <v>1</v>
      </c>
      <c r="AK4">
        <v>0</v>
      </c>
      <c r="AL4">
        <v>0</v>
      </c>
      <c r="AM4" t="s">
        <v>53</v>
      </c>
      <c r="AN4">
        <v>0</v>
      </c>
      <c r="AO4">
        <v>1</v>
      </c>
      <c r="AP4">
        <v>2</v>
      </c>
      <c r="AQ4">
        <v>0</v>
      </c>
      <c r="AR4">
        <v>0</v>
      </c>
      <c r="AS4">
        <v>0</v>
      </c>
    </row>
    <row r="5" spans="1:45" x14ac:dyDescent="0.2">
      <c r="A5" t="s">
        <v>65</v>
      </c>
      <c r="B5" s="3">
        <f t="shared" si="0"/>
        <v>45839</v>
      </c>
      <c r="C5" t="s">
        <v>66</v>
      </c>
      <c r="D5" s="1">
        <v>1.3912037037037037E-2</v>
      </c>
      <c r="E5">
        <v>6</v>
      </c>
      <c r="F5" t="s">
        <v>67</v>
      </c>
      <c r="G5" t="s">
        <v>56</v>
      </c>
      <c r="H5" t="s">
        <v>68</v>
      </c>
      <c r="I5" s="2" t="s">
        <v>63</v>
      </c>
      <c r="J5" s="2" t="s">
        <v>58</v>
      </c>
      <c r="K5" s="2" t="s">
        <v>69</v>
      </c>
      <c r="L5" s="2" t="s">
        <v>70</v>
      </c>
      <c r="M5" s="2" t="s">
        <v>61</v>
      </c>
      <c r="N5">
        <v>0</v>
      </c>
      <c r="O5">
        <v>0</v>
      </c>
      <c r="P5">
        <v>0</v>
      </c>
      <c r="Q5">
        <v>0</v>
      </c>
      <c r="R5">
        <v>0</v>
      </c>
      <c r="S5">
        <v>0</v>
      </c>
      <c r="T5">
        <v>0</v>
      </c>
      <c r="U5">
        <v>0</v>
      </c>
      <c r="V5">
        <v>1</v>
      </c>
      <c r="W5">
        <v>0</v>
      </c>
      <c r="X5">
        <v>0</v>
      </c>
      <c r="Y5">
        <v>0</v>
      </c>
      <c r="Z5">
        <v>0</v>
      </c>
      <c r="AA5">
        <v>0</v>
      </c>
      <c r="AB5">
        <v>0</v>
      </c>
      <c r="AC5">
        <v>0</v>
      </c>
      <c r="AD5">
        <v>0</v>
      </c>
      <c r="AE5">
        <v>0</v>
      </c>
      <c r="AF5">
        <v>0</v>
      </c>
      <c r="AG5">
        <v>1</v>
      </c>
      <c r="AH5">
        <v>1</v>
      </c>
      <c r="AI5">
        <v>1</v>
      </c>
      <c r="AJ5">
        <v>0</v>
      </c>
      <c r="AK5">
        <v>0</v>
      </c>
      <c r="AL5">
        <v>0</v>
      </c>
      <c r="AM5" t="s">
        <v>53</v>
      </c>
      <c r="AN5">
        <v>0</v>
      </c>
      <c r="AO5">
        <v>2</v>
      </c>
      <c r="AP5">
        <v>0</v>
      </c>
      <c r="AQ5">
        <v>2</v>
      </c>
      <c r="AR5">
        <v>0</v>
      </c>
      <c r="AS5">
        <v>0</v>
      </c>
    </row>
    <row r="6" spans="1:45" x14ac:dyDescent="0.2">
      <c r="A6" t="s">
        <v>71</v>
      </c>
      <c r="B6" s="3">
        <f t="shared" si="0"/>
        <v>45839</v>
      </c>
      <c r="C6" t="s">
        <v>45</v>
      </c>
      <c r="D6" s="1">
        <v>1.3726851851851851E-2</v>
      </c>
      <c r="E6">
        <v>26</v>
      </c>
      <c r="F6" t="s">
        <v>72</v>
      </c>
      <c r="G6" t="s">
        <v>56</v>
      </c>
      <c r="H6" t="s">
        <v>48</v>
      </c>
      <c r="I6" s="2" t="s">
        <v>59</v>
      </c>
      <c r="J6" s="2" t="s">
        <v>58</v>
      </c>
      <c r="K6" s="2" t="s">
        <v>69</v>
      </c>
      <c r="L6" s="2" t="s">
        <v>70</v>
      </c>
      <c r="M6" s="2" t="s">
        <v>73</v>
      </c>
      <c r="N6">
        <v>0</v>
      </c>
      <c r="O6">
        <v>0</v>
      </c>
      <c r="P6">
        <v>0</v>
      </c>
      <c r="Q6">
        <v>0</v>
      </c>
      <c r="R6">
        <v>0</v>
      </c>
      <c r="S6">
        <v>0</v>
      </c>
      <c r="T6">
        <v>1</v>
      </c>
      <c r="U6">
        <v>0</v>
      </c>
      <c r="V6">
        <v>0</v>
      </c>
      <c r="W6">
        <v>0</v>
      </c>
      <c r="X6">
        <v>0</v>
      </c>
      <c r="Y6">
        <v>1</v>
      </c>
      <c r="Z6">
        <v>0</v>
      </c>
      <c r="AA6">
        <v>0</v>
      </c>
      <c r="AB6">
        <v>0</v>
      </c>
      <c r="AC6">
        <v>1</v>
      </c>
      <c r="AD6">
        <v>0</v>
      </c>
      <c r="AE6">
        <v>0</v>
      </c>
      <c r="AF6">
        <v>0</v>
      </c>
      <c r="AG6">
        <v>0</v>
      </c>
      <c r="AH6">
        <v>0</v>
      </c>
      <c r="AI6">
        <v>0</v>
      </c>
      <c r="AJ6">
        <v>0</v>
      </c>
      <c r="AK6">
        <v>0</v>
      </c>
      <c r="AL6">
        <v>0</v>
      </c>
      <c r="AM6" t="s">
        <v>53</v>
      </c>
      <c r="AN6">
        <v>0</v>
      </c>
      <c r="AO6">
        <v>2</v>
      </c>
      <c r="AP6">
        <v>0</v>
      </c>
      <c r="AQ6">
        <v>0</v>
      </c>
      <c r="AR6">
        <v>0</v>
      </c>
      <c r="AS6">
        <v>0</v>
      </c>
    </row>
    <row r="7" spans="1:45" x14ac:dyDescent="0.2">
      <c r="A7" t="s">
        <v>71</v>
      </c>
      <c r="B7" s="3">
        <f t="shared" si="0"/>
        <v>45839</v>
      </c>
      <c r="C7" t="s">
        <v>45</v>
      </c>
      <c r="D7" s="1">
        <v>1.4166666666666666E-2</v>
      </c>
      <c r="E7">
        <v>6</v>
      </c>
      <c r="F7" t="s">
        <v>67</v>
      </c>
      <c r="G7" t="s">
        <v>74</v>
      </c>
      <c r="H7" t="s">
        <v>48</v>
      </c>
      <c r="I7" s="2" t="s">
        <v>57</v>
      </c>
      <c r="J7" s="2" t="s">
        <v>69</v>
      </c>
      <c r="K7" s="2" t="s">
        <v>69</v>
      </c>
      <c r="L7" s="2" t="s">
        <v>75</v>
      </c>
      <c r="M7" s="2" t="s">
        <v>76</v>
      </c>
      <c r="N7">
        <v>0</v>
      </c>
      <c r="O7">
        <v>0</v>
      </c>
      <c r="P7">
        <v>0</v>
      </c>
      <c r="Q7">
        <v>0</v>
      </c>
      <c r="R7">
        <v>0</v>
      </c>
      <c r="S7">
        <v>0</v>
      </c>
      <c r="T7">
        <v>0</v>
      </c>
      <c r="U7">
        <v>0</v>
      </c>
      <c r="V7">
        <v>1</v>
      </c>
      <c r="W7">
        <v>0</v>
      </c>
      <c r="X7">
        <v>0</v>
      </c>
      <c r="Y7">
        <v>0</v>
      </c>
      <c r="Z7">
        <v>0</v>
      </c>
      <c r="AA7">
        <v>0</v>
      </c>
      <c r="AB7">
        <v>0</v>
      </c>
      <c r="AC7">
        <v>0</v>
      </c>
      <c r="AD7">
        <v>0</v>
      </c>
      <c r="AE7">
        <v>0</v>
      </c>
      <c r="AF7">
        <v>0</v>
      </c>
      <c r="AG7">
        <v>1</v>
      </c>
      <c r="AH7">
        <v>1</v>
      </c>
      <c r="AI7">
        <v>1</v>
      </c>
      <c r="AJ7">
        <v>0</v>
      </c>
      <c r="AK7">
        <v>0</v>
      </c>
      <c r="AL7">
        <v>0</v>
      </c>
      <c r="AM7" t="s">
        <v>53</v>
      </c>
      <c r="AN7">
        <v>0</v>
      </c>
      <c r="AO7">
        <v>2</v>
      </c>
      <c r="AP7">
        <v>0</v>
      </c>
      <c r="AQ7">
        <v>2</v>
      </c>
      <c r="AR7">
        <v>0</v>
      </c>
      <c r="AS7">
        <v>0</v>
      </c>
    </row>
    <row r="8" spans="1:45" x14ac:dyDescent="0.2">
      <c r="A8" t="s">
        <v>77</v>
      </c>
      <c r="B8" s="3">
        <f t="shared" si="0"/>
        <v>45839</v>
      </c>
      <c r="C8" t="s">
        <v>78</v>
      </c>
      <c r="D8" s="1">
        <v>1.3900462962962963E-2</v>
      </c>
      <c r="E8">
        <v>6</v>
      </c>
      <c r="F8" t="s">
        <v>67</v>
      </c>
      <c r="G8" t="s">
        <v>62</v>
      </c>
      <c r="H8" t="s">
        <v>68</v>
      </c>
      <c r="I8" s="2" t="s">
        <v>59</v>
      </c>
      <c r="J8" s="2" t="s">
        <v>58</v>
      </c>
      <c r="K8" s="2" t="s">
        <v>59</v>
      </c>
      <c r="L8" s="2" t="s">
        <v>59</v>
      </c>
      <c r="M8" s="2" t="s">
        <v>76</v>
      </c>
      <c r="N8">
        <v>0</v>
      </c>
      <c r="O8">
        <v>0</v>
      </c>
      <c r="P8">
        <v>0</v>
      </c>
      <c r="Q8">
        <v>0</v>
      </c>
      <c r="R8">
        <v>0</v>
      </c>
      <c r="S8">
        <v>0</v>
      </c>
      <c r="T8">
        <v>0</v>
      </c>
      <c r="U8">
        <v>0</v>
      </c>
      <c r="V8">
        <v>1</v>
      </c>
      <c r="W8">
        <v>0</v>
      </c>
      <c r="X8">
        <v>0</v>
      </c>
      <c r="Y8">
        <v>0</v>
      </c>
      <c r="Z8">
        <v>0</v>
      </c>
      <c r="AA8">
        <v>0</v>
      </c>
      <c r="AB8">
        <v>0</v>
      </c>
      <c r="AC8">
        <v>0</v>
      </c>
      <c r="AD8">
        <v>0</v>
      </c>
      <c r="AE8">
        <v>0</v>
      </c>
      <c r="AF8">
        <v>0</v>
      </c>
      <c r="AG8">
        <v>1</v>
      </c>
      <c r="AH8">
        <v>1</v>
      </c>
      <c r="AI8">
        <v>1</v>
      </c>
      <c r="AJ8">
        <v>0</v>
      </c>
      <c r="AK8">
        <v>0</v>
      </c>
      <c r="AL8">
        <v>0</v>
      </c>
      <c r="AM8" t="s">
        <v>53</v>
      </c>
      <c r="AN8">
        <v>0</v>
      </c>
      <c r="AO8">
        <v>2</v>
      </c>
      <c r="AP8">
        <v>0</v>
      </c>
      <c r="AQ8">
        <v>2</v>
      </c>
      <c r="AR8">
        <v>0</v>
      </c>
      <c r="AS8">
        <v>0</v>
      </c>
    </row>
    <row r="9" spans="1:45" x14ac:dyDescent="0.2">
      <c r="A9" t="s">
        <v>79</v>
      </c>
      <c r="B9" s="3">
        <f t="shared" si="0"/>
        <v>45839</v>
      </c>
      <c r="C9" t="s">
        <v>80</v>
      </c>
      <c r="D9" s="1">
        <v>1.5393518518518518E-2</v>
      </c>
      <c r="E9">
        <v>26</v>
      </c>
      <c r="F9" t="s">
        <v>72</v>
      </c>
      <c r="G9" t="s">
        <v>62</v>
      </c>
      <c r="H9" t="s">
        <v>48</v>
      </c>
      <c r="I9" s="2" t="s">
        <v>57</v>
      </c>
      <c r="J9" s="2" t="s">
        <v>69</v>
      </c>
      <c r="K9" s="2" t="s">
        <v>59</v>
      </c>
      <c r="L9" s="2" t="s">
        <v>81</v>
      </c>
      <c r="M9" s="2" t="s">
        <v>52</v>
      </c>
      <c r="N9">
        <v>0</v>
      </c>
      <c r="O9">
        <v>0</v>
      </c>
      <c r="P9">
        <v>0</v>
      </c>
      <c r="Q9">
        <v>0</v>
      </c>
      <c r="R9">
        <v>0</v>
      </c>
      <c r="S9">
        <v>0</v>
      </c>
      <c r="T9">
        <v>1</v>
      </c>
      <c r="U9">
        <v>0</v>
      </c>
      <c r="V9">
        <v>0</v>
      </c>
      <c r="W9">
        <v>0</v>
      </c>
      <c r="X9">
        <v>0</v>
      </c>
      <c r="Y9">
        <v>1</v>
      </c>
      <c r="Z9">
        <v>0</v>
      </c>
      <c r="AA9">
        <v>0</v>
      </c>
      <c r="AB9">
        <v>0</v>
      </c>
      <c r="AC9">
        <v>1</v>
      </c>
      <c r="AD9">
        <v>0</v>
      </c>
      <c r="AE9">
        <v>0</v>
      </c>
      <c r="AF9">
        <v>0</v>
      </c>
      <c r="AG9">
        <v>0</v>
      </c>
      <c r="AH9">
        <v>0</v>
      </c>
      <c r="AI9">
        <v>0</v>
      </c>
      <c r="AJ9">
        <v>0</v>
      </c>
      <c r="AK9">
        <v>0</v>
      </c>
      <c r="AL9">
        <v>0</v>
      </c>
      <c r="AM9" t="s">
        <v>53</v>
      </c>
      <c r="AN9">
        <v>0</v>
      </c>
      <c r="AO9">
        <v>2</v>
      </c>
      <c r="AP9">
        <v>0</v>
      </c>
      <c r="AQ9">
        <v>0</v>
      </c>
      <c r="AR9">
        <v>0</v>
      </c>
      <c r="AS9">
        <v>0</v>
      </c>
    </row>
    <row r="10" spans="1:45" x14ac:dyDescent="0.2">
      <c r="A10" t="s">
        <v>82</v>
      </c>
      <c r="B10" s="3">
        <f t="shared" si="0"/>
        <v>45839</v>
      </c>
      <c r="C10" t="s">
        <v>45</v>
      </c>
      <c r="D10" s="1">
        <v>1.7928240740740741E-2</v>
      </c>
      <c r="E10">
        <v>20</v>
      </c>
      <c r="F10" t="s">
        <v>83</v>
      </c>
      <c r="G10" t="s">
        <v>56</v>
      </c>
      <c r="H10" t="s">
        <v>48</v>
      </c>
      <c r="I10" s="2" t="s">
        <v>63</v>
      </c>
      <c r="J10" s="2" t="s">
        <v>69</v>
      </c>
      <c r="K10" s="2" t="s">
        <v>84</v>
      </c>
      <c r="L10" s="2" t="s">
        <v>70</v>
      </c>
      <c r="M10" s="2" t="s">
        <v>73</v>
      </c>
      <c r="N10">
        <v>0</v>
      </c>
      <c r="O10">
        <v>0</v>
      </c>
      <c r="P10">
        <v>0</v>
      </c>
      <c r="Q10">
        <v>1</v>
      </c>
      <c r="R10">
        <v>1</v>
      </c>
      <c r="S10">
        <v>0</v>
      </c>
      <c r="T10">
        <v>0</v>
      </c>
      <c r="U10">
        <v>1</v>
      </c>
      <c r="V10">
        <v>0</v>
      </c>
      <c r="W10">
        <v>0</v>
      </c>
      <c r="X10">
        <v>0</v>
      </c>
      <c r="Y10">
        <v>0</v>
      </c>
      <c r="Z10">
        <v>0</v>
      </c>
      <c r="AA10">
        <v>0</v>
      </c>
      <c r="AB10">
        <v>1</v>
      </c>
      <c r="AC10">
        <v>0</v>
      </c>
      <c r="AD10">
        <v>0</v>
      </c>
      <c r="AE10">
        <v>0</v>
      </c>
      <c r="AF10">
        <v>0</v>
      </c>
      <c r="AG10">
        <v>0</v>
      </c>
      <c r="AH10">
        <v>0</v>
      </c>
      <c r="AI10">
        <v>0</v>
      </c>
      <c r="AJ10">
        <v>0</v>
      </c>
      <c r="AK10">
        <v>0</v>
      </c>
      <c r="AL10">
        <v>0</v>
      </c>
      <c r="AM10" t="s">
        <v>53</v>
      </c>
      <c r="AN10">
        <v>1</v>
      </c>
      <c r="AO10">
        <v>2</v>
      </c>
      <c r="AP10">
        <v>1</v>
      </c>
      <c r="AQ10">
        <v>1</v>
      </c>
      <c r="AR10">
        <v>3</v>
      </c>
      <c r="AS10">
        <v>1</v>
      </c>
    </row>
    <row r="11" spans="1:45" x14ac:dyDescent="0.2">
      <c r="A11" t="s">
        <v>85</v>
      </c>
      <c r="B11" s="3">
        <f t="shared" si="0"/>
        <v>45901</v>
      </c>
      <c r="C11" t="s">
        <v>66</v>
      </c>
      <c r="D11" s="1">
        <v>6.8055555555555551E-3</v>
      </c>
      <c r="E11">
        <v>29</v>
      </c>
      <c r="F11" t="s">
        <v>86</v>
      </c>
      <c r="G11" t="s">
        <v>47</v>
      </c>
      <c r="H11" t="s">
        <v>48</v>
      </c>
      <c r="I11">
        <v>0</v>
      </c>
      <c r="J11">
        <v>0</v>
      </c>
      <c r="K11">
        <v>0</v>
      </c>
      <c r="L11" s="2" t="s">
        <v>81</v>
      </c>
      <c r="M11" s="2" t="s">
        <v>87</v>
      </c>
      <c r="N11">
        <v>0</v>
      </c>
      <c r="O11">
        <v>0</v>
      </c>
      <c r="P11">
        <v>1</v>
      </c>
      <c r="Q11">
        <v>0</v>
      </c>
      <c r="R11">
        <v>0</v>
      </c>
      <c r="S11">
        <v>0</v>
      </c>
      <c r="T11">
        <v>0</v>
      </c>
      <c r="U11">
        <v>0</v>
      </c>
      <c r="V11">
        <v>0</v>
      </c>
      <c r="W11">
        <v>0</v>
      </c>
      <c r="X11">
        <v>0</v>
      </c>
      <c r="Y11">
        <v>0</v>
      </c>
      <c r="Z11">
        <v>0</v>
      </c>
      <c r="AA11">
        <v>0</v>
      </c>
      <c r="AB11">
        <v>0</v>
      </c>
      <c r="AC11">
        <v>0</v>
      </c>
      <c r="AD11">
        <v>0</v>
      </c>
      <c r="AE11">
        <v>0</v>
      </c>
      <c r="AF11">
        <v>0</v>
      </c>
      <c r="AG11">
        <v>0</v>
      </c>
      <c r="AH11">
        <v>0</v>
      </c>
      <c r="AI11">
        <v>0</v>
      </c>
      <c r="AJ11">
        <v>1</v>
      </c>
      <c r="AK11">
        <v>0</v>
      </c>
      <c r="AL11">
        <v>0</v>
      </c>
      <c r="AM11" t="s">
        <v>53</v>
      </c>
      <c r="AN11">
        <v>0</v>
      </c>
      <c r="AO11">
        <v>1</v>
      </c>
      <c r="AP11">
        <v>2</v>
      </c>
      <c r="AQ11">
        <v>0</v>
      </c>
      <c r="AR11">
        <v>0</v>
      </c>
      <c r="AS11">
        <v>0</v>
      </c>
    </row>
    <row r="12" spans="1:45" x14ac:dyDescent="0.2">
      <c r="A12" t="s">
        <v>88</v>
      </c>
      <c r="B12" s="3">
        <f t="shared" si="0"/>
        <v>45901</v>
      </c>
      <c r="C12" t="s">
        <v>80</v>
      </c>
      <c r="D12" s="1">
        <v>9.8958333333333329E-3</v>
      </c>
      <c r="E12">
        <v>31</v>
      </c>
      <c r="F12" t="s">
        <v>89</v>
      </c>
      <c r="G12" t="s">
        <v>56</v>
      </c>
      <c r="H12" t="s">
        <v>48</v>
      </c>
      <c r="I12" s="2" t="s">
        <v>57</v>
      </c>
      <c r="J12" s="2" t="s">
        <v>58</v>
      </c>
      <c r="K12" s="2" t="s">
        <v>59</v>
      </c>
      <c r="L12" s="2" t="s">
        <v>64</v>
      </c>
      <c r="M12" s="2" t="s">
        <v>52</v>
      </c>
      <c r="N12">
        <v>0</v>
      </c>
      <c r="O12">
        <v>0</v>
      </c>
      <c r="P12">
        <v>1</v>
      </c>
      <c r="Q12">
        <v>0</v>
      </c>
      <c r="R12">
        <v>0</v>
      </c>
      <c r="S12">
        <v>0</v>
      </c>
      <c r="T12">
        <v>0</v>
      </c>
      <c r="U12">
        <v>0</v>
      </c>
      <c r="V12">
        <v>0</v>
      </c>
      <c r="W12">
        <v>0</v>
      </c>
      <c r="X12">
        <v>0</v>
      </c>
      <c r="Y12">
        <v>1</v>
      </c>
      <c r="Z12">
        <v>0</v>
      </c>
      <c r="AA12">
        <v>0</v>
      </c>
      <c r="AB12">
        <v>0</v>
      </c>
      <c r="AC12">
        <v>0</v>
      </c>
      <c r="AD12">
        <v>0</v>
      </c>
      <c r="AE12">
        <v>0</v>
      </c>
      <c r="AF12">
        <v>0</v>
      </c>
      <c r="AG12">
        <v>0</v>
      </c>
      <c r="AH12">
        <v>0</v>
      </c>
      <c r="AI12">
        <v>0</v>
      </c>
      <c r="AJ12">
        <v>0</v>
      </c>
      <c r="AK12">
        <v>0</v>
      </c>
      <c r="AL12">
        <v>0</v>
      </c>
      <c r="AM12" t="s">
        <v>53</v>
      </c>
      <c r="AN12">
        <v>0</v>
      </c>
      <c r="AO12">
        <v>1</v>
      </c>
      <c r="AP12">
        <v>1</v>
      </c>
      <c r="AQ12">
        <v>0</v>
      </c>
      <c r="AR12">
        <v>0</v>
      </c>
      <c r="AS12">
        <v>0</v>
      </c>
    </row>
    <row r="13" spans="1:45" x14ac:dyDescent="0.2">
      <c r="A13" t="s">
        <v>90</v>
      </c>
      <c r="B13" s="3">
        <f t="shared" si="0"/>
        <v>45901</v>
      </c>
      <c r="C13" t="s">
        <v>66</v>
      </c>
      <c r="D13" s="1">
        <v>1.3761574074074074E-2</v>
      </c>
      <c r="E13">
        <v>6</v>
      </c>
      <c r="F13" t="s">
        <v>67</v>
      </c>
      <c r="G13" t="s">
        <v>47</v>
      </c>
      <c r="H13" t="s">
        <v>48</v>
      </c>
      <c r="I13" s="2" t="s">
        <v>91</v>
      </c>
      <c r="J13" s="2" t="s">
        <v>58</v>
      </c>
      <c r="K13" s="2" t="s">
        <v>69</v>
      </c>
      <c r="L13" s="2" t="s">
        <v>64</v>
      </c>
      <c r="M13" s="2" t="s">
        <v>87</v>
      </c>
      <c r="N13">
        <v>0</v>
      </c>
      <c r="O13">
        <v>0</v>
      </c>
      <c r="P13">
        <v>0</v>
      </c>
      <c r="Q13">
        <v>0</v>
      </c>
      <c r="R13">
        <v>0</v>
      </c>
      <c r="S13">
        <v>0</v>
      </c>
      <c r="T13">
        <v>0</v>
      </c>
      <c r="U13">
        <v>0</v>
      </c>
      <c r="V13">
        <v>1</v>
      </c>
      <c r="W13">
        <v>0</v>
      </c>
      <c r="X13">
        <v>0</v>
      </c>
      <c r="Y13">
        <v>0</v>
      </c>
      <c r="Z13">
        <v>0</v>
      </c>
      <c r="AA13">
        <v>0</v>
      </c>
      <c r="AB13">
        <v>0</v>
      </c>
      <c r="AC13">
        <v>0</v>
      </c>
      <c r="AD13">
        <v>0</v>
      </c>
      <c r="AE13">
        <v>0</v>
      </c>
      <c r="AF13">
        <v>0</v>
      </c>
      <c r="AG13">
        <v>1</v>
      </c>
      <c r="AH13">
        <v>1</v>
      </c>
      <c r="AI13">
        <v>1</v>
      </c>
      <c r="AJ13">
        <v>0</v>
      </c>
      <c r="AK13">
        <v>0</v>
      </c>
      <c r="AL13">
        <v>0</v>
      </c>
      <c r="AM13" t="s">
        <v>53</v>
      </c>
      <c r="AN13">
        <v>0</v>
      </c>
      <c r="AO13">
        <v>2</v>
      </c>
      <c r="AP13">
        <v>0</v>
      </c>
      <c r="AQ13">
        <v>2</v>
      </c>
      <c r="AR13">
        <v>0</v>
      </c>
      <c r="AS13">
        <v>0</v>
      </c>
    </row>
    <row r="14" spans="1:45" x14ac:dyDescent="0.2">
      <c r="A14" t="s">
        <v>92</v>
      </c>
      <c r="B14" s="3">
        <f t="shared" si="0"/>
        <v>45901</v>
      </c>
      <c r="C14" t="s">
        <v>78</v>
      </c>
      <c r="D14" s="1">
        <v>1.136574074074074E-2</v>
      </c>
      <c r="E14">
        <v>31</v>
      </c>
      <c r="F14" t="s">
        <v>89</v>
      </c>
      <c r="G14" t="s">
        <v>62</v>
      </c>
      <c r="H14" t="s">
        <v>48</v>
      </c>
      <c r="I14" s="2" t="s">
        <v>91</v>
      </c>
      <c r="J14" s="2" t="s">
        <v>58</v>
      </c>
      <c r="K14" s="2" t="s">
        <v>59</v>
      </c>
      <c r="L14" s="2" t="s">
        <v>93</v>
      </c>
      <c r="M14" s="2" t="s">
        <v>73</v>
      </c>
      <c r="N14">
        <v>0</v>
      </c>
      <c r="O14">
        <v>0</v>
      </c>
      <c r="P14">
        <v>1</v>
      </c>
      <c r="Q14">
        <v>0</v>
      </c>
      <c r="R14">
        <v>0</v>
      </c>
      <c r="S14">
        <v>0</v>
      </c>
      <c r="T14">
        <v>0</v>
      </c>
      <c r="U14">
        <v>0</v>
      </c>
      <c r="V14">
        <v>0</v>
      </c>
      <c r="W14">
        <v>0</v>
      </c>
      <c r="X14">
        <v>0</v>
      </c>
      <c r="Y14">
        <v>1</v>
      </c>
      <c r="Z14">
        <v>0</v>
      </c>
      <c r="AA14">
        <v>0</v>
      </c>
      <c r="AB14">
        <v>0</v>
      </c>
      <c r="AC14">
        <v>0</v>
      </c>
      <c r="AD14">
        <v>0</v>
      </c>
      <c r="AE14">
        <v>0</v>
      </c>
      <c r="AF14">
        <v>0</v>
      </c>
      <c r="AG14">
        <v>0</v>
      </c>
      <c r="AH14">
        <v>0</v>
      </c>
      <c r="AI14">
        <v>0</v>
      </c>
      <c r="AJ14">
        <v>0</v>
      </c>
      <c r="AK14">
        <v>0</v>
      </c>
      <c r="AL14">
        <v>0</v>
      </c>
      <c r="AM14" t="s">
        <v>53</v>
      </c>
      <c r="AN14">
        <v>0</v>
      </c>
      <c r="AO14">
        <v>1</v>
      </c>
      <c r="AP14">
        <v>1</v>
      </c>
      <c r="AQ14">
        <v>0</v>
      </c>
      <c r="AR14">
        <v>0</v>
      </c>
      <c r="AS14">
        <v>0</v>
      </c>
    </row>
    <row r="15" spans="1:45" x14ac:dyDescent="0.2">
      <c r="A15" t="s">
        <v>94</v>
      </c>
      <c r="B15" s="3">
        <f t="shared" si="0"/>
        <v>45901</v>
      </c>
      <c r="C15" t="s">
        <v>80</v>
      </c>
      <c r="D15" s="1">
        <v>1.1851851851851851E-2</v>
      </c>
      <c r="E15">
        <v>7</v>
      </c>
      <c r="F15" t="s">
        <v>95</v>
      </c>
      <c r="G15" t="s">
        <v>56</v>
      </c>
      <c r="H15" t="s">
        <v>48</v>
      </c>
      <c r="I15" s="2" t="s">
        <v>63</v>
      </c>
      <c r="J15" s="2" t="s">
        <v>58</v>
      </c>
      <c r="K15" s="2" t="s">
        <v>64</v>
      </c>
      <c r="L15" s="2" t="s">
        <v>81</v>
      </c>
      <c r="M15" s="2" t="s">
        <v>87</v>
      </c>
      <c r="N15">
        <v>0</v>
      </c>
      <c r="O15">
        <v>0</v>
      </c>
      <c r="P15">
        <v>0</v>
      </c>
      <c r="Q15">
        <v>0</v>
      </c>
      <c r="R15">
        <v>0</v>
      </c>
      <c r="S15">
        <v>0</v>
      </c>
      <c r="T15">
        <v>1</v>
      </c>
      <c r="U15">
        <v>0</v>
      </c>
      <c r="V15">
        <v>1</v>
      </c>
      <c r="W15">
        <v>0</v>
      </c>
      <c r="X15">
        <v>0</v>
      </c>
      <c r="Y15">
        <v>0</v>
      </c>
      <c r="Z15">
        <v>0</v>
      </c>
      <c r="AA15">
        <v>0</v>
      </c>
      <c r="AB15">
        <v>0</v>
      </c>
      <c r="AC15">
        <v>0</v>
      </c>
      <c r="AD15">
        <v>0</v>
      </c>
      <c r="AE15">
        <v>0</v>
      </c>
      <c r="AF15">
        <v>0</v>
      </c>
      <c r="AG15">
        <v>0</v>
      </c>
      <c r="AH15">
        <v>0</v>
      </c>
      <c r="AI15">
        <v>1</v>
      </c>
      <c r="AJ15">
        <v>0</v>
      </c>
      <c r="AK15">
        <v>0</v>
      </c>
      <c r="AL15">
        <v>0</v>
      </c>
      <c r="AM15" t="s">
        <v>53</v>
      </c>
      <c r="AN15">
        <v>0</v>
      </c>
      <c r="AO15">
        <v>2</v>
      </c>
      <c r="AP15">
        <v>0</v>
      </c>
      <c r="AQ15">
        <v>1</v>
      </c>
      <c r="AR15">
        <v>0</v>
      </c>
      <c r="AS15">
        <v>0</v>
      </c>
    </row>
    <row r="16" spans="1:45" x14ac:dyDescent="0.2">
      <c r="A16" t="s">
        <v>96</v>
      </c>
      <c r="B16" s="3">
        <f t="shared" si="0"/>
        <v>45901</v>
      </c>
      <c r="C16" t="s">
        <v>66</v>
      </c>
      <c r="D16" s="1">
        <v>1.3020833333333334E-2</v>
      </c>
      <c r="E16">
        <v>31</v>
      </c>
      <c r="F16" t="s">
        <v>89</v>
      </c>
      <c r="G16" t="s">
        <v>47</v>
      </c>
      <c r="H16" t="s">
        <v>48</v>
      </c>
      <c r="I16" s="2" t="s">
        <v>58</v>
      </c>
      <c r="J16" s="2" t="s">
        <v>58</v>
      </c>
      <c r="K16" s="2" t="s">
        <v>59</v>
      </c>
      <c r="L16" s="2" t="s">
        <v>97</v>
      </c>
      <c r="M16" s="2" t="s">
        <v>98</v>
      </c>
      <c r="N16">
        <v>0</v>
      </c>
      <c r="O16">
        <v>0</v>
      </c>
      <c r="P16">
        <v>1</v>
      </c>
      <c r="Q16">
        <v>0</v>
      </c>
      <c r="R16">
        <v>0</v>
      </c>
      <c r="S16">
        <v>0</v>
      </c>
      <c r="T16">
        <v>0</v>
      </c>
      <c r="U16">
        <v>0</v>
      </c>
      <c r="V16">
        <v>0</v>
      </c>
      <c r="W16">
        <v>0</v>
      </c>
      <c r="X16">
        <v>0</v>
      </c>
      <c r="Y16">
        <v>1</v>
      </c>
      <c r="Z16">
        <v>0</v>
      </c>
      <c r="AA16">
        <v>0</v>
      </c>
      <c r="AB16">
        <v>0</v>
      </c>
      <c r="AC16">
        <v>0</v>
      </c>
      <c r="AD16">
        <v>0</v>
      </c>
      <c r="AE16">
        <v>0</v>
      </c>
      <c r="AF16">
        <v>0</v>
      </c>
      <c r="AG16">
        <v>0</v>
      </c>
      <c r="AH16">
        <v>0</v>
      </c>
      <c r="AI16">
        <v>0</v>
      </c>
      <c r="AJ16">
        <v>0</v>
      </c>
      <c r="AK16">
        <v>0</v>
      </c>
      <c r="AL16">
        <v>0</v>
      </c>
      <c r="AM16" t="s">
        <v>53</v>
      </c>
      <c r="AN16">
        <v>0</v>
      </c>
      <c r="AO16">
        <v>1</v>
      </c>
      <c r="AP16">
        <v>1</v>
      </c>
      <c r="AQ16">
        <v>0</v>
      </c>
      <c r="AR16">
        <v>0</v>
      </c>
      <c r="AS16">
        <v>0</v>
      </c>
    </row>
    <row r="17" spans="1:45" x14ac:dyDescent="0.2">
      <c r="A17" t="s">
        <v>99</v>
      </c>
      <c r="B17" s="3">
        <f t="shared" si="0"/>
        <v>45901</v>
      </c>
      <c r="C17" t="s">
        <v>78</v>
      </c>
      <c r="D17" s="1">
        <v>1.3761574074074074E-2</v>
      </c>
      <c r="E17">
        <v>7</v>
      </c>
      <c r="F17" t="s">
        <v>95</v>
      </c>
      <c r="G17" t="s">
        <v>62</v>
      </c>
      <c r="H17" t="s">
        <v>48</v>
      </c>
      <c r="I17" s="2" t="s">
        <v>63</v>
      </c>
      <c r="J17" s="2" t="s">
        <v>69</v>
      </c>
      <c r="K17" s="2" t="s">
        <v>64</v>
      </c>
      <c r="L17" s="2" t="s">
        <v>100</v>
      </c>
      <c r="M17" s="2" t="s">
        <v>52</v>
      </c>
      <c r="N17">
        <v>0</v>
      </c>
      <c r="O17">
        <v>0</v>
      </c>
      <c r="P17">
        <v>0</v>
      </c>
      <c r="Q17">
        <v>0</v>
      </c>
      <c r="R17">
        <v>0</v>
      </c>
      <c r="S17">
        <v>0</v>
      </c>
      <c r="T17">
        <v>1</v>
      </c>
      <c r="U17">
        <v>0</v>
      </c>
      <c r="V17">
        <v>1</v>
      </c>
      <c r="W17">
        <v>0</v>
      </c>
      <c r="X17">
        <v>0</v>
      </c>
      <c r="Y17">
        <v>0</v>
      </c>
      <c r="Z17">
        <v>0</v>
      </c>
      <c r="AA17">
        <v>0</v>
      </c>
      <c r="AB17">
        <v>0</v>
      </c>
      <c r="AC17">
        <v>0</v>
      </c>
      <c r="AD17">
        <v>0</v>
      </c>
      <c r="AE17">
        <v>0</v>
      </c>
      <c r="AF17">
        <v>0</v>
      </c>
      <c r="AG17">
        <v>0</v>
      </c>
      <c r="AH17">
        <v>0</v>
      </c>
      <c r="AI17">
        <v>1</v>
      </c>
      <c r="AJ17">
        <v>0</v>
      </c>
      <c r="AK17">
        <v>0</v>
      </c>
      <c r="AL17">
        <v>0</v>
      </c>
      <c r="AM17" t="s">
        <v>53</v>
      </c>
      <c r="AN17">
        <v>0</v>
      </c>
      <c r="AO17">
        <v>2</v>
      </c>
      <c r="AP17">
        <v>0</v>
      </c>
      <c r="AQ17">
        <v>1</v>
      </c>
      <c r="AR17">
        <v>0</v>
      </c>
      <c r="AS17">
        <v>0</v>
      </c>
    </row>
    <row r="18" spans="1:45" x14ac:dyDescent="0.2">
      <c r="A18" t="s">
        <v>101</v>
      </c>
      <c r="B18" s="3">
        <f t="shared" si="0"/>
        <v>45931</v>
      </c>
      <c r="C18" t="s">
        <v>78</v>
      </c>
      <c r="D18" s="1">
        <v>1.3344907407407408E-2</v>
      </c>
      <c r="E18">
        <v>32</v>
      </c>
      <c r="F18" t="s">
        <v>102</v>
      </c>
      <c r="G18" t="s">
        <v>62</v>
      </c>
      <c r="H18" t="s">
        <v>48</v>
      </c>
      <c r="I18" s="2" t="s">
        <v>59</v>
      </c>
      <c r="J18" s="2" t="s">
        <v>58</v>
      </c>
      <c r="K18" s="2" t="s">
        <v>59</v>
      </c>
      <c r="L18" s="2" t="s">
        <v>93</v>
      </c>
      <c r="M18" s="2" t="s">
        <v>103</v>
      </c>
      <c r="N18">
        <v>0</v>
      </c>
      <c r="O18">
        <v>0</v>
      </c>
      <c r="P18">
        <v>0</v>
      </c>
      <c r="Q18">
        <v>0</v>
      </c>
      <c r="R18">
        <v>0</v>
      </c>
      <c r="S18">
        <v>0</v>
      </c>
      <c r="T18">
        <v>1</v>
      </c>
      <c r="U18">
        <v>1</v>
      </c>
      <c r="V18">
        <v>0</v>
      </c>
      <c r="W18">
        <v>0</v>
      </c>
      <c r="X18">
        <v>0</v>
      </c>
      <c r="Y18">
        <v>0</v>
      </c>
      <c r="Z18">
        <v>0</v>
      </c>
      <c r="AA18">
        <v>0</v>
      </c>
      <c r="AB18">
        <v>0</v>
      </c>
      <c r="AC18">
        <v>0</v>
      </c>
      <c r="AD18">
        <v>0</v>
      </c>
      <c r="AE18">
        <v>0</v>
      </c>
      <c r="AF18">
        <v>0</v>
      </c>
      <c r="AG18">
        <v>0</v>
      </c>
      <c r="AH18">
        <v>0</v>
      </c>
      <c r="AI18">
        <v>0</v>
      </c>
      <c r="AJ18">
        <v>0</v>
      </c>
      <c r="AK18">
        <v>0</v>
      </c>
      <c r="AL18">
        <v>0</v>
      </c>
      <c r="AM18" t="s">
        <v>53</v>
      </c>
      <c r="AN18">
        <v>0</v>
      </c>
      <c r="AO18">
        <v>2</v>
      </c>
      <c r="AP18">
        <v>0</v>
      </c>
      <c r="AQ18">
        <v>0</v>
      </c>
      <c r="AR18">
        <v>0</v>
      </c>
      <c r="AS18">
        <v>0</v>
      </c>
    </row>
    <row r="19" spans="1:45" x14ac:dyDescent="0.2">
      <c r="A19" t="s">
        <v>104</v>
      </c>
      <c r="B19" s="3">
        <f t="shared" si="0"/>
        <v>45931</v>
      </c>
      <c r="C19" t="s">
        <v>66</v>
      </c>
      <c r="D19" s="1">
        <v>1.0520833333333333E-2</v>
      </c>
      <c r="E19">
        <v>7</v>
      </c>
      <c r="F19" t="s">
        <v>95</v>
      </c>
      <c r="G19" t="s">
        <v>47</v>
      </c>
      <c r="H19" t="s">
        <v>48</v>
      </c>
      <c r="I19" s="2" t="s">
        <v>63</v>
      </c>
      <c r="J19" s="2" t="s">
        <v>58</v>
      </c>
      <c r="K19" s="2" t="s">
        <v>64</v>
      </c>
      <c r="L19" s="2" t="s">
        <v>70</v>
      </c>
      <c r="M19" s="2" t="s">
        <v>61</v>
      </c>
      <c r="N19">
        <v>0</v>
      </c>
      <c r="O19">
        <v>0</v>
      </c>
      <c r="P19">
        <v>0</v>
      </c>
      <c r="Q19">
        <v>0</v>
      </c>
      <c r="R19">
        <v>0</v>
      </c>
      <c r="S19">
        <v>0</v>
      </c>
      <c r="T19">
        <v>1</v>
      </c>
      <c r="U19">
        <v>0</v>
      </c>
      <c r="V19">
        <v>1</v>
      </c>
      <c r="W19">
        <v>0</v>
      </c>
      <c r="X19">
        <v>0</v>
      </c>
      <c r="Y19">
        <v>0</v>
      </c>
      <c r="Z19">
        <v>0</v>
      </c>
      <c r="AA19">
        <v>0</v>
      </c>
      <c r="AB19">
        <v>0</v>
      </c>
      <c r="AC19">
        <v>0</v>
      </c>
      <c r="AD19">
        <v>0</v>
      </c>
      <c r="AE19">
        <v>0</v>
      </c>
      <c r="AF19">
        <v>0</v>
      </c>
      <c r="AG19">
        <v>0</v>
      </c>
      <c r="AH19">
        <v>0</v>
      </c>
      <c r="AI19">
        <v>1</v>
      </c>
      <c r="AJ19">
        <v>0</v>
      </c>
      <c r="AK19">
        <v>0</v>
      </c>
      <c r="AL19">
        <v>0</v>
      </c>
      <c r="AM19" t="s">
        <v>53</v>
      </c>
      <c r="AN19">
        <v>0</v>
      </c>
      <c r="AO19">
        <v>2</v>
      </c>
      <c r="AP19">
        <v>0</v>
      </c>
      <c r="AQ19">
        <v>1</v>
      </c>
      <c r="AR19">
        <v>0</v>
      </c>
      <c r="AS19">
        <v>0</v>
      </c>
    </row>
    <row r="20" spans="1:45" x14ac:dyDescent="0.2">
      <c r="A20" t="s">
        <v>105</v>
      </c>
      <c r="B20" s="3">
        <f t="shared" si="0"/>
        <v>45931</v>
      </c>
      <c r="C20" t="s">
        <v>78</v>
      </c>
      <c r="D20" s="1">
        <v>1.5752314814814816E-2</v>
      </c>
      <c r="E20">
        <v>14</v>
      </c>
      <c r="F20" t="s">
        <v>106</v>
      </c>
      <c r="G20" t="s">
        <v>62</v>
      </c>
      <c r="H20" t="s">
        <v>48</v>
      </c>
      <c r="I20" s="2" t="s">
        <v>57</v>
      </c>
      <c r="J20" s="2" t="s">
        <v>58</v>
      </c>
      <c r="K20" s="2" t="s">
        <v>59</v>
      </c>
      <c r="L20" s="2" t="s">
        <v>60</v>
      </c>
      <c r="M20" s="2" t="s">
        <v>61</v>
      </c>
      <c r="N20">
        <v>0</v>
      </c>
      <c r="O20">
        <v>0</v>
      </c>
      <c r="P20">
        <v>0</v>
      </c>
      <c r="Q20">
        <v>0</v>
      </c>
      <c r="R20">
        <v>0</v>
      </c>
      <c r="S20">
        <v>0</v>
      </c>
      <c r="T20">
        <v>0</v>
      </c>
      <c r="U20">
        <v>0</v>
      </c>
      <c r="V20">
        <v>1</v>
      </c>
      <c r="W20">
        <v>1</v>
      </c>
      <c r="X20">
        <v>0</v>
      </c>
      <c r="Y20">
        <v>0</v>
      </c>
      <c r="Z20">
        <v>0</v>
      </c>
      <c r="AA20">
        <v>0</v>
      </c>
      <c r="AB20">
        <v>1</v>
      </c>
      <c r="AC20">
        <v>0</v>
      </c>
      <c r="AD20">
        <v>0</v>
      </c>
      <c r="AE20">
        <v>0</v>
      </c>
      <c r="AF20">
        <v>0</v>
      </c>
      <c r="AG20">
        <v>0</v>
      </c>
      <c r="AH20">
        <v>0</v>
      </c>
      <c r="AI20">
        <v>0</v>
      </c>
      <c r="AJ20">
        <v>0</v>
      </c>
      <c r="AK20">
        <v>0</v>
      </c>
      <c r="AL20">
        <v>0</v>
      </c>
      <c r="AM20" t="s">
        <v>53</v>
      </c>
      <c r="AN20">
        <v>1</v>
      </c>
      <c r="AO20">
        <v>2</v>
      </c>
      <c r="AP20">
        <v>1</v>
      </c>
      <c r="AQ20">
        <v>1</v>
      </c>
      <c r="AR20">
        <v>2</v>
      </c>
      <c r="AS20">
        <v>1</v>
      </c>
    </row>
    <row r="21" spans="1:45" x14ac:dyDescent="0.2">
      <c r="A21" t="s">
        <v>107</v>
      </c>
      <c r="B21" s="3">
        <f t="shared" si="0"/>
        <v>45931</v>
      </c>
      <c r="C21" t="s">
        <v>66</v>
      </c>
      <c r="D21" s="1">
        <v>1.6331018518518519E-2</v>
      </c>
      <c r="E21">
        <v>14</v>
      </c>
      <c r="F21" t="s">
        <v>106</v>
      </c>
      <c r="G21" t="s">
        <v>47</v>
      </c>
      <c r="H21" t="s">
        <v>48</v>
      </c>
      <c r="I21" s="2" t="s">
        <v>108</v>
      </c>
      <c r="J21" s="2" t="s">
        <v>58</v>
      </c>
      <c r="K21" s="2" t="s">
        <v>59</v>
      </c>
      <c r="L21" s="2" t="s">
        <v>97</v>
      </c>
      <c r="M21" s="2" t="s">
        <v>109</v>
      </c>
      <c r="N21">
        <v>0</v>
      </c>
      <c r="O21">
        <v>0</v>
      </c>
      <c r="P21">
        <v>0</v>
      </c>
      <c r="Q21">
        <v>0</v>
      </c>
      <c r="R21">
        <v>0</v>
      </c>
      <c r="S21">
        <v>0</v>
      </c>
      <c r="T21">
        <v>0</v>
      </c>
      <c r="U21">
        <v>0</v>
      </c>
      <c r="V21">
        <v>1</v>
      </c>
      <c r="W21">
        <v>1</v>
      </c>
      <c r="X21">
        <v>0</v>
      </c>
      <c r="Y21">
        <v>0</v>
      </c>
      <c r="Z21">
        <v>0</v>
      </c>
      <c r="AA21">
        <v>0</v>
      </c>
      <c r="AB21">
        <v>1</v>
      </c>
      <c r="AC21">
        <v>0</v>
      </c>
      <c r="AD21">
        <v>0</v>
      </c>
      <c r="AE21">
        <v>0</v>
      </c>
      <c r="AF21">
        <v>0</v>
      </c>
      <c r="AG21">
        <v>0</v>
      </c>
      <c r="AH21">
        <v>0</v>
      </c>
      <c r="AI21">
        <v>0</v>
      </c>
      <c r="AJ21">
        <v>0</v>
      </c>
      <c r="AK21">
        <v>0</v>
      </c>
      <c r="AL21">
        <v>0</v>
      </c>
      <c r="AM21" t="s">
        <v>53</v>
      </c>
      <c r="AN21">
        <v>1</v>
      </c>
      <c r="AO21">
        <v>2</v>
      </c>
      <c r="AP21">
        <v>1</v>
      </c>
      <c r="AQ21">
        <v>1</v>
      </c>
      <c r="AR21">
        <v>2</v>
      </c>
      <c r="AS21">
        <v>1</v>
      </c>
    </row>
    <row r="22" spans="1:45" x14ac:dyDescent="0.2">
      <c r="A22" t="s">
        <v>107</v>
      </c>
      <c r="B22" s="3">
        <f t="shared" si="0"/>
        <v>45931</v>
      </c>
      <c r="C22" t="s">
        <v>66</v>
      </c>
      <c r="D22" s="1">
        <v>1.5625E-2</v>
      </c>
      <c r="E22">
        <v>14</v>
      </c>
      <c r="F22" t="s">
        <v>106</v>
      </c>
      <c r="G22" t="s">
        <v>56</v>
      </c>
      <c r="H22" t="s">
        <v>48</v>
      </c>
      <c r="I22" s="2" t="s">
        <v>57</v>
      </c>
      <c r="J22" s="2" t="s">
        <v>69</v>
      </c>
      <c r="K22" s="2" t="s">
        <v>64</v>
      </c>
      <c r="L22" s="2" t="s">
        <v>60</v>
      </c>
      <c r="M22" s="2" t="s">
        <v>61</v>
      </c>
      <c r="N22">
        <v>0</v>
      </c>
      <c r="O22">
        <v>0</v>
      </c>
      <c r="P22">
        <v>0</v>
      </c>
      <c r="Q22">
        <v>0</v>
      </c>
      <c r="R22">
        <v>0</v>
      </c>
      <c r="S22">
        <v>0</v>
      </c>
      <c r="T22">
        <v>0</v>
      </c>
      <c r="U22">
        <v>0</v>
      </c>
      <c r="V22">
        <v>1</v>
      </c>
      <c r="W22">
        <v>1</v>
      </c>
      <c r="X22">
        <v>0</v>
      </c>
      <c r="Y22">
        <v>0</v>
      </c>
      <c r="Z22">
        <v>0</v>
      </c>
      <c r="AA22">
        <v>0</v>
      </c>
      <c r="AB22">
        <v>1</v>
      </c>
      <c r="AC22">
        <v>0</v>
      </c>
      <c r="AD22">
        <v>0</v>
      </c>
      <c r="AE22">
        <v>0</v>
      </c>
      <c r="AF22">
        <v>0</v>
      </c>
      <c r="AG22">
        <v>0</v>
      </c>
      <c r="AH22">
        <v>0</v>
      </c>
      <c r="AI22">
        <v>0</v>
      </c>
      <c r="AJ22">
        <v>0</v>
      </c>
      <c r="AK22">
        <v>0</v>
      </c>
      <c r="AL22">
        <v>0</v>
      </c>
      <c r="AM22" t="s">
        <v>53</v>
      </c>
      <c r="AN22">
        <v>1</v>
      </c>
      <c r="AO22">
        <v>2</v>
      </c>
      <c r="AP22">
        <v>1</v>
      </c>
      <c r="AQ22">
        <v>1</v>
      </c>
      <c r="AR22">
        <v>2</v>
      </c>
      <c r="AS22">
        <v>1</v>
      </c>
    </row>
    <row r="23" spans="1:45" x14ac:dyDescent="0.2">
      <c r="A23" t="s">
        <v>110</v>
      </c>
      <c r="B23" s="3">
        <f t="shared" si="0"/>
        <v>45931</v>
      </c>
      <c r="C23" t="s">
        <v>80</v>
      </c>
      <c r="D23" s="1">
        <v>2.3587962962962963E-2</v>
      </c>
      <c r="E23">
        <v>30</v>
      </c>
      <c r="F23" t="s">
        <v>111</v>
      </c>
      <c r="G23" t="s">
        <v>56</v>
      </c>
      <c r="H23" t="s">
        <v>48</v>
      </c>
      <c r="I23" s="2" t="s">
        <v>57</v>
      </c>
      <c r="J23" s="2" t="s">
        <v>58</v>
      </c>
      <c r="K23" s="2" t="s">
        <v>69</v>
      </c>
      <c r="L23" s="2" t="s">
        <v>93</v>
      </c>
      <c r="M23" s="2" t="s">
        <v>98</v>
      </c>
      <c r="N23">
        <v>0</v>
      </c>
      <c r="O23">
        <v>1</v>
      </c>
      <c r="P23">
        <v>0</v>
      </c>
      <c r="Q23">
        <v>0</v>
      </c>
      <c r="R23">
        <v>0</v>
      </c>
      <c r="S23">
        <v>1</v>
      </c>
      <c r="T23">
        <v>0</v>
      </c>
      <c r="U23">
        <v>0</v>
      </c>
      <c r="V23">
        <v>0</v>
      </c>
      <c r="W23">
        <v>0</v>
      </c>
      <c r="X23">
        <v>1</v>
      </c>
      <c r="Y23">
        <v>0</v>
      </c>
      <c r="Z23">
        <v>0</v>
      </c>
      <c r="AA23">
        <v>0</v>
      </c>
      <c r="AB23">
        <v>0</v>
      </c>
      <c r="AC23">
        <v>0</v>
      </c>
      <c r="AD23">
        <v>0</v>
      </c>
      <c r="AE23">
        <v>1</v>
      </c>
      <c r="AF23">
        <v>0</v>
      </c>
      <c r="AG23">
        <v>0</v>
      </c>
      <c r="AH23">
        <v>0</v>
      </c>
      <c r="AI23">
        <v>0</v>
      </c>
      <c r="AJ23">
        <v>0</v>
      </c>
      <c r="AK23">
        <v>0</v>
      </c>
      <c r="AL23">
        <v>0</v>
      </c>
      <c r="AM23" t="s">
        <v>53</v>
      </c>
      <c r="AN23">
        <v>1</v>
      </c>
      <c r="AO23">
        <v>2</v>
      </c>
      <c r="AP23">
        <v>2</v>
      </c>
      <c r="AQ23">
        <v>2</v>
      </c>
      <c r="AR23">
        <v>2</v>
      </c>
      <c r="AS23">
        <v>0</v>
      </c>
    </row>
    <row r="24" spans="1:45" x14ac:dyDescent="0.2">
      <c r="A24" t="s">
        <v>112</v>
      </c>
      <c r="B24" s="3">
        <f t="shared" si="0"/>
        <v>45931</v>
      </c>
      <c r="C24" t="s">
        <v>45</v>
      </c>
      <c r="D24" s="1">
        <v>2.6261574074074073E-2</v>
      </c>
      <c r="E24">
        <v>30</v>
      </c>
      <c r="F24" t="s">
        <v>111</v>
      </c>
      <c r="G24" t="s">
        <v>62</v>
      </c>
      <c r="H24" t="s">
        <v>48</v>
      </c>
      <c r="I24" s="2" t="s">
        <v>113</v>
      </c>
      <c r="J24" s="2" t="s">
        <v>58</v>
      </c>
      <c r="K24" s="2" t="s">
        <v>69</v>
      </c>
      <c r="L24" s="2" t="s">
        <v>64</v>
      </c>
      <c r="M24" s="2" t="s">
        <v>76</v>
      </c>
      <c r="N24">
        <v>0</v>
      </c>
      <c r="O24">
        <v>1</v>
      </c>
      <c r="P24">
        <v>0</v>
      </c>
      <c r="Q24">
        <v>0</v>
      </c>
      <c r="R24">
        <v>0</v>
      </c>
      <c r="S24">
        <v>1</v>
      </c>
      <c r="T24">
        <v>0</v>
      </c>
      <c r="U24">
        <v>0</v>
      </c>
      <c r="V24">
        <v>0</v>
      </c>
      <c r="W24">
        <v>0</v>
      </c>
      <c r="X24">
        <v>1</v>
      </c>
      <c r="Y24">
        <v>0</v>
      </c>
      <c r="Z24">
        <v>0</v>
      </c>
      <c r="AA24">
        <v>0</v>
      </c>
      <c r="AB24">
        <v>0</v>
      </c>
      <c r="AC24">
        <v>0</v>
      </c>
      <c r="AD24">
        <v>0</v>
      </c>
      <c r="AE24">
        <v>1</v>
      </c>
      <c r="AF24">
        <v>0</v>
      </c>
      <c r="AG24">
        <v>0</v>
      </c>
      <c r="AH24">
        <v>0</v>
      </c>
      <c r="AI24">
        <v>0</v>
      </c>
      <c r="AJ24">
        <v>0</v>
      </c>
      <c r="AK24">
        <v>0</v>
      </c>
      <c r="AL24">
        <v>0</v>
      </c>
      <c r="AM24" t="s">
        <v>53</v>
      </c>
      <c r="AN24">
        <v>1</v>
      </c>
      <c r="AO24">
        <v>2</v>
      </c>
      <c r="AP24">
        <v>2</v>
      </c>
      <c r="AQ24">
        <v>2</v>
      </c>
      <c r="AR24">
        <v>2</v>
      </c>
      <c r="AS24">
        <v>0</v>
      </c>
    </row>
    <row r="25" spans="1:45" x14ac:dyDescent="0.2">
      <c r="A25" t="s">
        <v>114</v>
      </c>
      <c r="B25" s="3">
        <f t="shared" si="0"/>
        <v>45931</v>
      </c>
      <c r="C25" t="s">
        <v>66</v>
      </c>
      <c r="D25" s="1">
        <v>2.179398148148148E-2</v>
      </c>
      <c r="E25">
        <v>30</v>
      </c>
      <c r="F25" t="s">
        <v>111</v>
      </c>
      <c r="G25" t="s">
        <v>47</v>
      </c>
      <c r="H25" t="s">
        <v>48</v>
      </c>
      <c r="I25" s="2" t="s">
        <v>57</v>
      </c>
      <c r="J25" s="2" t="s">
        <v>69</v>
      </c>
      <c r="K25" s="2" t="s">
        <v>59</v>
      </c>
      <c r="L25" s="2" t="s">
        <v>75</v>
      </c>
      <c r="M25" s="2" t="s">
        <v>76</v>
      </c>
      <c r="N25">
        <v>0</v>
      </c>
      <c r="O25">
        <v>1</v>
      </c>
      <c r="P25">
        <v>0</v>
      </c>
      <c r="Q25">
        <v>0</v>
      </c>
      <c r="R25">
        <v>0</v>
      </c>
      <c r="S25">
        <v>1</v>
      </c>
      <c r="T25">
        <v>0</v>
      </c>
      <c r="U25">
        <v>0</v>
      </c>
      <c r="V25">
        <v>0</v>
      </c>
      <c r="W25">
        <v>0</v>
      </c>
      <c r="X25">
        <v>1</v>
      </c>
      <c r="Y25">
        <v>0</v>
      </c>
      <c r="Z25">
        <v>0</v>
      </c>
      <c r="AA25">
        <v>0</v>
      </c>
      <c r="AB25">
        <v>0</v>
      </c>
      <c r="AC25">
        <v>0</v>
      </c>
      <c r="AD25">
        <v>0</v>
      </c>
      <c r="AE25">
        <v>1</v>
      </c>
      <c r="AF25">
        <v>0</v>
      </c>
      <c r="AG25">
        <v>0</v>
      </c>
      <c r="AH25">
        <v>0</v>
      </c>
      <c r="AI25">
        <v>0</v>
      </c>
      <c r="AJ25">
        <v>0</v>
      </c>
      <c r="AK25">
        <v>0</v>
      </c>
      <c r="AL25">
        <v>0</v>
      </c>
      <c r="AM25" t="s">
        <v>53</v>
      </c>
      <c r="AN25">
        <v>1</v>
      </c>
      <c r="AO25">
        <v>2</v>
      </c>
      <c r="AP25">
        <v>2</v>
      </c>
      <c r="AQ25">
        <v>2</v>
      </c>
      <c r="AR25">
        <v>2</v>
      </c>
      <c r="AS25">
        <v>0</v>
      </c>
    </row>
    <row r="26" spans="1:45" x14ac:dyDescent="0.2">
      <c r="A26" t="s">
        <v>115</v>
      </c>
      <c r="B26" s="3">
        <f t="shared" si="0"/>
        <v>45962</v>
      </c>
      <c r="C26" t="s">
        <v>78</v>
      </c>
      <c r="D26" s="1">
        <v>1.3275462962962963E-2</v>
      </c>
      <c r="E26">
        <v>16</v>
      </c>
      <c r="F26" t="s">
        <v>116</v>
      </c>
      <c r="G26" t="s">
        <v>62</v>
      </c>
      <c r="H26" t="s">
        <v>48</v>
      </c>
      <c r="I26" s="2" t="s">
        <v>113</v>
      </c>
      <c r="J26" s="2" t="s">
        <v>58</v>
      </c>
      <c r="K26" s="2" t="s">
        <v>84</v>
      </c>
      <c r="L26" s="2" t="s">
        <v>59</v>
      </c>
      <c r="M26" s="2" t="s">
        <v>103</v>
      </c>
      <c r="N26">
        <v>0</v>
      </c>
      <c r="O26">
        <v>0</v>
      </c>
      <c r="P26">
        <v>0</v>
      </c>
      <c r="Q26">
        <v>1</v>
      </c>
      <c r="R26">
        <v>0</v>
      </c>
      <c r="S26">
        <v>0</v>
      </c>
      <c r="T26">
        <v>0</v>
      </c>
      <c r="U26">
        <v>0</v>
      </c>
      <c r="V26">
        <v>0</v>
      </c>
      <c r="W26">
        <v>0</v>
      </c>
      <c r="X26">
        <v>0</v>
      </c>
      <c r="Y26">
        <v>0</v>
      </c>
      <c r="Z26">
        <v>0</v>
      </c>
      <c r="AA26">
        <v>1</v>
      </c>
      <c r="AB26">
        <v>0</v>
      </c>
      <c r="AC26">
        <v>0</v>
      </c>
      <c r="AD26">
        <v>0</v>
      </c>
      <c r="AE26">
        <v>0</v>
      </c>
      <c r="AF26">
        <v>0</v>
      </c>
      <c r="AG26">
        <v>0</v>
      </c>
      <c r="AH26">
        <v>0</v>
      </c>
      <c r="AI26">
        <v>0</v>
      </c>
      <c r="AJ26">
        <v>0</v>
      </c>
      <c r="AK26">
        <v>0</v>
      </c>
      <c r="AL26">
        <v>0</v>
      </c>
      <c r="AM26" t="s">
        <v>53</v>
      </c>
      <c r="AN26">
        <v>0</v>
      </c>
      <c r="AO26">
        <v>1</v>
      </c>
      <c r="AP26">
        <v>0</v>
      </c>
      <c r="AQ26">
        <v>0</v>
      </c>
      <c r="AR26">
        <v>1</v>
      </c>
      <c r="AS26">
        <v>0</v>
      </c>
    </row>
    <row r="27" spans="1:45" x14ac:dyDescent="0.2">
      <c r="A27" t="s">
        <v>117</v>
      </c>
      <c r="B27" s="3">
        <f t="shared" si="0"/>
        <v>45962</v>
      </c>
      <c r="C27" t="s">
        <v>80</v>
      </c>
      <c r="D27" s="1">
        <v>1.255787037037037E-2</v>
      </c>
      <c r="E27">
        <v>4</v>
      </c>
      <c r="F27" t="s">
        <v>118</v>
      </c>
      <c r="G27" t="s">
        <v>56</v>
      </c>
      <c r="H27" t="s">
        <v>48</v>
      </c>
      <c r="I27" s="2" t="s">
        <v>57</v>
      </c>
      <c r="J27" s="2" t="s">
        <v>58</v>
      </c>
      <c r="K27" s="2" t="s">
        <v>59</v>
      </c>
      <c r="L27" s="2" t="s">
        <v>60</v>
      </c>
      <c r="M27" s="2" t="s">
        <v>73</v>
      </c>
      <c r="N27">
        <v>1</v>
      </c>
      <c r="O27">
        <v>0</v>
      </c>
      <c r="P27">
        <v>0</v>
      </c>
      <c r="Q27">
        <v>0</v>
      </c>
      <c r="R27">
        <v>0</v>
      </c>
      <c r="S27">
        <v>0</v>
      </c>
      <c r="T27">
        <v>0</v>
      </c>
      <c r="U27">
        <v>0</v>
      </c>
      <c r="V27">
        <v>0</v>
      </c>
      <c r="W27">
        <v>0</v>
      </c>
      <c r="X27">
        <v>0</v>
      </c>
      <c r="Y27">
        <v>0</v>
      </c>
      <c r="Z27">
        <v>0</v>
      </c>
      <c r="AA27">
        <v>0</v>
      </c>
      <c r="AB27">
        <v>1</v>
      </c>
      <c r="AC27">
        <v>0</v>
      </c>
      <c r="AD27">
        <v>1</v>
      </c>
      <c r="AE27">
        <v>0</v>
      </c>
      <c r="AF27">
        <v>1</v>
      </c>
      <c r="AG27">
        <v>0</v>
      </c>
      <c r="AH27">
        <v>0</v>
      </c>
      <c r="AI27">
        <v>0</v>
      </c>
      <c r="AJ27">
        <v>0</v>
      </c>
      <c r="AK27">
        <v>0</v>
      </c>
      <c r="AL27">
        <v>0</v>
      </c>
      <c r="AM27" t="s">
        <v>53</v>
      </c>
      <c r="AN27">
        <v>1</v>
      </c>
      <c r="AO27">
        <v>4</v>
      </c>
      <c r="AP27">
        <v>1</v>
      </c>
      <c r="AQ27">
        <v>1</v>
      </c>
      <c r="AR27">
        <v>1</v>
      </c>
      <c r="AS27">
        <v>1</v>
      </c>
    </row>
    <row r="28" spans="1:45" x14ac:dyDescent="0.2">
      <c r="A28" t="s">
        <v>119</v>
      </c>
      <c r="B28" s="3">
        <f t="shared" si="0"/>
        <v>45962</v>
      </c>
      <c r="C28" t="s">
        <v>78</v>
      </c>
      <c r="D28" s="1">
        <v>1.5428240740740741E-2</v>
      </c>
      <c r="E28">
        <v>20</v>
      </c>
      <c r="F28" t="s">
        <v>83</v>
      </c>
      <c r="G28" t="s">
        <v>62</v>
      </c>
      <c r="H28" t="s">
        <v>48</v>
      </c>
      <c r="I28" s="2" t="s">
        <v>63</v>
      </c>
      <c r="J28" s="2" t="s">
        <v>58</v>
      </c>
      <c r="K28" s="2" t="s">
        <v>59</v>
      </c>
      <c r="L28" s="2" t="s">
        <v>70</v>
      </c>
      <c r="M28" s="2" t="s">
        <v>87</v>
      </c>
      <c r="N28">
        <v>0</v>
      </c>
      <c r="O28">
        <v>0</v>
      </c>
      <c r="P28">
        <v>0</v>
      </c>
      <c r="Q28">
        <v>1</v>
      </c>
      <c r="R28">
        <v>1</v>
      </c>
      <c r="S28">
        <v>0</v>
      </c>
      <c r="T28">
        <v>0</v>
      </c>
      <c r="U28">
        <v>1</v>
      </c>
      <c r="V28">
        <v>0</v>
      </c>
      <c r="W28">
        <v>0</v>
      </c>
      <c r="X28">
        <v>0</v>
      </c>
      <c r="Y28">
        <v>0</v>
      </c>
      <c r="Z28">
        <v>0</v>
      </c>
      <c r="AA28">
        <v>0</v>
      </c>
      <c r="AB28">
        <v>1</v>
      </c>
      <c r="AC28">
        <v>0</v>
      </c>
      <c r="AD28">
        <v>0</v>
      </c>
      <c r="AE28">
        <v>0</v>
      </c>
      <c r="AF28">
        <v>0</v>
      </c>
      <c r="AG28">
        <v>0</v>
      </c>
      <c r="AH28">
        <v>0</v>
      </c>
      <c r="AI28">
        <v>0</v>
      </c>
      <c r="AJ28">
        <v>0</v>
      </c>
      <c r="AK28">
        <v>0</v>
      </c>
      <c r="AL28">
        <v>0</v>
      </c>
      <c r="AM28" t="s">
        <v>53</v>
      </c>
      <c r="AN28">
        <v>1</v>
      </c>
      <c r="AO28">
        <v>2</v>
      </c>
      <c r="AP28">
        <v>1</v>
      </c>
      <c r="AQ28">
        <v>1</v>
      </c>
      <c r="AR28">
        <v>3</v>
      </c>
      <c r="AS28">
        <v>1</v>
      </c>
    </row>
    <row r="29" spans="1:45" x14ac:dyDescent="0.2">
      <c r="A29" t="s">
        <v>120</v>
      </c>
      <c r="B29" s="3">
        <f t="shared" si="0"/>
        <v>45962</v>
      </c>
      <c r="C29" t="s">
        <v>80</v>
      </c>
      <c r="D29" s="1">
        <v>1.4594907407407407E-2</v>
      </c>
      <c r="E29">
        <v>20</v>
      </c>
      <c r="F29" t="s">
        <v>83</v>
      </c>
      <c r="G29" t="s">
        <v>47</v>
      </c>
      <c r="H29" t="s">
        <v>48</v>
      </c>
      <c r="I29" s="2" t="s">
        <v>64</v>
      </c>
      <c r="J29" s="2" t="s">
        <v>58</v>
      </c>
      <c r="K29" s="2" t="s">
        <v>59</v>
      </c>
      <c r="L29" s="2" t="s">
        <v>81</v>
      </c>
      <c r="M29" s="2" t="s">
        <v>52</v>
      </c>
      <c r="N29">
        <v>0</v>
      </c>
      <c r="O29">
        <v>0</v>
      </c>
      <c r="P29">
        <v>0</v>
      </c>
      <c r="Q29">
        <v>1</v>
      </c>
      <c r="R29">
        <v>1</v>
      </c>
      <c r="S29">
        <v>0</v>
      </c>
      <c r="T29">
        <v>0</v>
      </c>
      <c r="U29">
        <v>1</v>
      </c>
      <c r="V29">
        <v>0</v>
      </c>
      <c r="W29">
        <v>0</v>
      </c>
      <c r="X29">
        <v>0</v>
      </c>
      <c r="Y29">
        <v>0</v>
      </c>
      <c r="Z29">
        <v>0</v>
      </c>
      <c r="AA29">
        <v>0</v>
      </c>
      <c r="AB29">
        <v>1</v>
      </c>
      <c r="AC29">
        <v>0</v>
      </c>
      <c r="AD29">
        <v>0</v>
      </c>
      <c r="AE29">
        <v>0</v>
      </c>
      <c r="AF29">
        <v>0</v>
      </c>
      <c r="AG29">
        <v>0</v>
      </c>
      <c r="AH29">
        <v>0</v>
      </c>
      <c r="AI29">
        <v>0</v>
      </c>
      <c r="AJ29">
        <v>0</v>
      </c>
      <c r="AK29">
        <v>0</v>
      </c>
      <c r="AL29">
        <v>0</v>
      </c>
      <c r="AM29" t="s">
        <v>53</v>
      </c>
      <c r="AN29">
        <v>1</v>
      </c>
      <c r="AO29">
        <v>2</v>
      </c>
      <c r="AP29">
        <v>1</v>
      </c>
      <c r="AQ29">
        <v>1</v>
      </c>
      <c r="AR29">
        <v>3</v>
      </c>
      <c r="AS29">
        <v>1</v>
      </c>
    </row>
    <row r="30" spans="1:45" x14ac:dyDescent="0.2">
      <c r="A30" t="s">
        <v>121</v>
      </c>
      <c r="B30" s="3">
        <f t="shared" si="0"/>
        <v>45992</v>
      </c>
      <c r="C30" t="s">
        <v>66</v>
      </c>
      <c r="D30" s="1">
        <v>1.3912037037037037E-2</v>
      </c>
      <c r="E30">
        <v>16</v>
      </c>
      <c r="F30" t="s">
        <v>116</v>
      </c>
      <c r="G30" t="s">
        <v>47</v>
      </c>
      <c r="H30" t="s">
        <v>68</v>
      </c>
      <c r="I30" s="2" t="s">
        <v>113</v>
      </c>
      <c r="J30" s="2" t="s">
        <v>69</v>
      </c>
      <c r="K30" s="2" t="s">
        <v>59</v>
      </c>
      <c r="L30" s="2" t="s">
        <v>59</v>
      </c>
      <c r="M30" s="2" t="s">
        <v>98</v>
      </c>
      <c r="N30">
        <v>0</v>
      </c>
      <c r="O30">
        <v>0</v>
      </c>
      <c r="P30">
        <v>0</v>
      </c>
      <c r="Q30">
        <v>1</v>
      </c>
      <c r="R30">
        <v>0</v>
      </c>
      <c r="S30">
        <v>0</v>
      </c>
      <c r="T30">
        <v>0</v>
      </c>
      <c r="U30">
        <v>0</v>
      </c>
      <c r="V30">
        <v>0</v>
      </c>
      <c r="W30">
        <v>0</v>
      </c>
      <c r="X30">
        <v>0</v>
      </c>
      <c r="Y30">
        <v>0</v>
      </c>
      <c r="Z30">
        <v>0</v>
      </c>
      <c r="AA30">
        <v>1</v>
      </c>
      <c r="AB30">
        <v>0</v>
      </c>
      <c r="AC30">
        <v>0</v>
      </c>
      <c r="AD30">
        <v>0</v>
      </c>
      <c r="AE30">
        <v>0</v>
      </c>
      <c r="AF30">
        <v>0</v>
      </c>
      <c r="AG30">
        <v>0</v>
      </c>
      <c r="AH30">
        <v>0</v>
      </c>
      <c r="AI30">
        <v>0</v>
      </c>
      <c r="AJ30">
        <v>0</v>
      </c>
      <c r="AK30">
        <v>0</v>
      </c>
      <c r="AL30">
        <v>0</v>
      </c>
      <c r="AM30" t="s">
        <v>53</v>
      </c>
      <c r="AN30">
        <v>0</v>
      </c>
      <c r="AO30">
        <v>1</v>
      </c>
      <c r="AP30">
        <v>0</v>
      </c>
      <c r="AQ30">
        <v>0</v>
      </c>
      <c r="AR30">
        <v>1</v>
      </c>
      <c r="AS30">
        <v>0</v>
      </c>
    </row>
    <row r="31" spans="1:45" x14ac:dyDescent="0.2">
      <c r="A31" t="s">
        <v>122</v>
      </c>
      <c r="B31" s="3">
        <f t="shared" si="0"/>
        <v>45992</v>
      </c>
      <c r="C31" t="s">
        <v>78</v>
      </c>
      <c r="D31" s="1">
        <v>1.0335648148148148E-2</v>
      </c>
      <c r="E31">
        <v>4</v>
      </c>
      <c r="F31" t="s">
        <v>118</v>
      </c>
      <c r="G31" t="s">
        <v>62</v>
      </c>
      <c r="H31" t="s">
        <v>48</v>
      </c>
      <c r="I31" s="2" t="s">
        <v>63</v>
      </c>
      <c r="J31" s="2" t="s">
        <v>58</v>
      </c>
      <c r="K31" s="2" t="s">
        <v>84</v>
      </c>
      <c r="L31" s="2" t="s">
        <v>75</v>
      </c>
      <c r="M31" s="2" t="s">
        <v>76</v>
      </c>
      <c r="N31">
        <v>1</v>
      </c>
      <c r="O31">
        <v>0</v>
      </c>
      <c r="P31">
        <v>0</v>
      </c>
      <c r="Q31">
        <v>0</v>
      </c>
      <c r="R31">
        <v>0</v>
      </c>
      <c r="S31">
        <v>0</v>
      </c>
      <c r="T31">
        <v>0</v>
      </c>
      <c r="U31">
        <v>0</v>
      </c>
      <c r="V31">
        <v>0</v>
      </c>
      <c r="W31">
        <v>0</v>
      </c>
      <c r="X31">
        <v>0</v>
      </c>
      <c r="Y31">
        <v>0</v>
      </c>
      <c r="Z31">
        <v>0</v>
      </c>
      <c r="AA31">
        <v>0</v>
      </c>
      <c r="AB31">
        <v>1</v>
      </c>
      <c r="AC31">
        <v>0</v>
      </c>
      <c r="AD31">
        <v>1</v>
      </c>
      <c r="AE31">
        <v>0</v>
      </c>
      <c r="AF31">
        <v>1</v>
      </c>
      <c r="AG31">
        <v>0</v>
      </c>
      <c r="AH31">
        <v>0</v>
      </c>
      <c r="AI31">
        <v>0</v>
      </c>
      <c r="AJ31">
        <v>0</v>
      </c>
      <c r="AK31">
        <v>0</v>
      </c>
      <c r="AL31">
        <v>0</v>
      </c>
      <c r="AM31" t="s">
        <v>53</v>
      </c>
      <c r="AN31">
        <v>1</v>
      </c>
      <c r="AO31">
        <v>4</v>
      </c>
      <c r="AP31">
        <v>1</v>
      </c>
      <c r="AQ31">
        <v>1</v>
      </c>
      <c r="AR31">
        <v>1</v>
      </c>
      <c r="AS31">
        <v>1</v>
      </c>
    </row>
    <row r="32" spans="1:45" x14ac:dyDescent="0.2">
      <c r="A32" t="s">
        <v>123</v>
      </c>
      <c r="B32" s="3">
        <f t="shared" si="0"/>
        <v>45992</v>
      </c>
      <c r="C32" t="s">
        <v>78</v>
      </c>
      <c r="D32" s="1">
        <v>1.3900462962962963E-2</v>
      </c>
      <c r="E32">
        <v>4</v>
      </c>
      <c r="F32" t="s">
        <v>118</v>
      </c>
      <c r="G32" t="s">
        <v>47</v>
      </c>
      <c r="H32" t="s">
        <v>68</v>
      </c>
      <c r="I32" s="2" t="s">
        <v>113</v>
      </c>
      <c r="J32" s="2" t="s">
        <v>69</v>
      </c>
      <c r="K32" s="2" t="s">
        <v>59</v>
      </c>
      <c r="L32" s="2" t="s">
        <v>59</v>
      </c>
      <c r="M32" s="2" t="s">
        <v>98</v>
      </c>
      <c r="N32">
        <v>1</v>
      </c>
      <c r="O32">
        <v>0</v>
      </c>
      <c r="P32">
        <v>0</v>
      </c>
      <c r="Q32">
        <v>0</v>
      </c>
      <c r="R32">
        <v>0</v>
      </c>
      <c r="S32">
        <v>0</v>
      </c>
      <c r="T32">
        <v>0</v>
      </c>
      <c r="U32">
        <v>0</v>
      </c>
      <c r="V32">
        <v>0</v>
      </c>
      <c r="W32">
        <v>0</v>
      </c>
      <c r="X32">
        <v>0</v>
      </c>
      <c r="Y32">
        <v>0</v>
      </c>
      <c r="Z32">
        <v>0</v>
      </c>
      <c r="AA32">
        <v>0</v>
      </c>
      <c r="AB32">
        <v>1</v>
      </c>
      <c r="AC32">
        <v>0</v>
      </c>
      <c r="AD32">
        <v>1</v>
      </c>
      <c r="AE32">
        <v>0</v>
      </c>
      <c r="AF32">
        <v>1</v>
      </c>
      <c r="AG32">
        <v>0</v>
      </c>
      <c r="AH32">
        <v>0</v>
      </c>
      <c r="AI32">
        <v>0</v>
      </c>
      <c r="AJ32">
        <v>0</v>
      </c>
      <c r="AK32">
        <v>0</v>
      </c>
      <c r="AL32">
        <v>0</v>
      </c>
      <c r="AM32" t="s">
        <v>53</v>
      </c>
      <c r="AN32">
        <v>1</v>
      </c>
      <c r="AO32">
        <v>4</v>
      </c>
      <c r="AP32">
        <v>1</v>
      </c>
      <c r="AQ32">
        <v>1</v>
      </c>
      <c r="AR32">
        <v>1</v>
      </c>
      <c r="AS32">
        <v>1</v>
      </c>
    </row>
    <row r="33" spans="1:45" x14ac:dyDescent="0.2">
      <c r="A33" t="s">
        <v>124</v>
      </c>
      <c r="B33" s="3">
        <f t="shared" si="0"/>
        <v>45992</v>
      </c>
      <c r="C33" t="s">
        <v>80</v>
      </c>
      <c r="D33" s="1">
        <v>1.3912037037037037E-2</v>
      </c>
      <c r="E33">
        <v>16</v>
      </c>
      <c r="F33" t="s">
        <v>116</v>
      </c>
      <c r="G33" t="s">
        <v>56</v>
      </c>
      <c r="H33" t="s">
        <v>68</v>
      </c>
      <c r="I33" s="2" t="s">
        <v>59</v>
      </c>
      <c r="J33" s="2" t="s">
        <v>69</v>
      </c>
      <c r="K33" s="2" t="s">
        <v>69</v>
      </c>
      <c r="L33" s="2" t="s">
        <v>64</v>
      </c>
      <c r="M33" s="2" t="s">
        <v>87</v>
      </c>
      <c r="N33">
        <v>0</v>
      </c>
      <c r="O33">
        <v>0</v>
      </c>
      <c r="P33">
        <v>0</v>
      </c>
      <c r="Q33">
        <v>1</v>
      </c>
      <c r="R33">
        <v>0</v>
      </c>
      <c r="S33">
        <v>0</v>
      </c>
      <c r="T33">
        <v>0</v>
      </c>
      <c r="U33">
        <v>0</v>
      </c>
      <c r="V33">
        <v>0</v>
      </c>
      <c r="W33">
        <v>0</v>
      </c>
      <c r="X33">
        <v>0</v>
      </c>
      <c r="Y33">
        <v>0</v>
      </c>
      <c r="Z33">
        <v>0</v>
      </c>
      <c r="AA33">
        <v>1</v>
      </c>
      <c r="AB33">
        <v>0</v>
      </c>
      <c r="AC33">
        <v>0</v>
      </c>
      <c r="AD33">
        <v>0</v>
      </c>
      <c r="AE33">
        <v>0</v>
      </c>
      <c r="AF33">
        <v>0</v>
      </c>
      <c r="AG33">
        <v>0</v>
      </c>
      <c r="AH33">
        <v>0</v>
      </c>
      <c r="AI33">
        <v>0</v>
      </c>
      <c r="AJ33">
        <v>0</v>
      </c>
      <c r="AK33">
        <v>0</v>
      </c>
      <c r="AL33">
        <v>0</v>
      </c>
      <c r="AM33" t="s">
        <v>53</v>
      </c>
      <c r="AN33">
        <v>0</v>
      </c>
      <c r="AO33">
        <v>1</v>
      </c>
      <c r="AP33">
        <v>0</v>
      </c>
      <c r="AQ33">
        <v>0</v>
      </c>
      <c r="AR33">
        <v>1</v>
      </c>
      <c r="AS33">
        <v>0</v>
      </c>
    </row>
    <row r="34" spans="1:45" x14ac:dyDescent="0.2">
      <c r="A34" t="s">
        <v>125</v>
      </c>
      <c r="B34" s="3">
        <f t="shared" si="0"/>
        <v>46023</v>
      </c>
      <c r="C34" t="s">
        <v>66</v>
      </c>
      <c r="D34" s="1">
        <v>1.3159722222222222E-2</v>
      </c>
      <c r="E34">
        <v>8</v>
      </c>
      <c r="F34" t="s">
        <v>126</v>
      </c>
      <c r="G34" t="s">
        <v>47</v>
      </c>
      <c r="H34" t="s">
        <v>48</v>
      </c>
      <c r="I34" s="2" t="s">
        <v>59</v>
      </c>
      <c r="J34" s="2" t="s">
        <v>58</v>
      </c>
      <c r="K34" s="2" t="s">
        <v>59</v>
      </c>
      <c r="L34" s="2" t="s">
        <v>64</v>
      </c>
      <c r="M34" s="2" t="s">
        <v>73</v>
      </c>
      <c r="N34">
        <v>0</v>
      </c>
      <c r="O34">
        <v>0</v>
      </c>
      <c r="P34">
        <v>0</v>
      </c>
      <c r="Q34">
        <v>0</v>
      </c>
      <c r="R34">
        <v>0</v>
      </c>
      <c r="S34">
        <v>0</v>
      </c>
      <c r="T34">
        <v>0</v>
      </c>
      <c r="U34">
        <v>1</v>
      </c>
      <c r="V34">
        <v>0</v>
      </c>
      <c r="W34">
        <v>0</v>
      </c>
      <c r="X34">
        <v>0</v>
      </c>
      <c r="Y34">
        <v>0</v>
      </c>
      <c r="Z34">
        <v>1</v>
      </c>
      <c r="AA34">
        <v>0</v>
      </c>
      <c r="AB34">
        <v>0</v>
      </c>
      <c r="AC34">
        <v>0</v>
      </c>
      <c r="AD34">
        <v>0</v>
      </c>
      <c r="AE34">
        <v>0</v>
      </c>
      <c r="AF34">
        <v>0</v>
      </c>
      <c r="AG34">
        <v>0</v>
      </c>
      <c r="AH34">
        <v>0</v>
      </c>
      <c r="AI34">
        <v>0</v>
      </c>
      <c r="AJ34">
        <v>0</v>
      </c>
      <c r="AK34">
        <v>1</v>
      </c>
      <c r="AL34">
        <v>0</v>
      </c>
      <c r="AM34" t="s">
        <v>53</v>
      </c>
      <c r="AN34">
        <v>0</v>
      </c>
      <c r="AO34">
        <v>1</v>
      </c>
      <c r="AP34">
        <v>2</v>
      </c>
      <c r="AQ34">
        <v>0</v>
      </c>
      <c r="AR34">
        <v>0</v>
      </c>
      <c r="AS34">
        <v>1</v>
      </c>
    </row>
    <row r="35" spans="1:45" x14ac:dyDescent="0.2">
      <c r="A35" t="s">
        <v>127</v>
      </c>
      <c r="B35" s="3">
        <f t="shared" si="0"/>
        <v>46054</v>
      </c>
      <c r="C35" t="s">
        <v>78</v>
      </c>
      <c r="D35" s="1">
        <v>1.7384259259259259E-2</v>
      </c>
      <c r="E35">
        <v>8</v>
      </c>
      <c r="F35" t="s">
        <v>126</v>
      </c>
      <c r="G35" t="s">
        <v>62</v>
      </c>
      <c r="H35" t="s">
        <v>68</v>
      </c>
      <c r="I35" s="2" t="s">
        <v>57</v>
      </c>
      <c r="J35" s="2" t="s">
        <v>69</v>
      </c>
      <c r="K35" s="2" t="s">
        <v>69</v>
      </c>
      <c r="L35" s="2" t="s">
        <v>75</v>
      </c>
      <c r="M35" s="2" t="s">
        <v>73</v>
      </c>
      <c r="N35">
        <v>0</v>
      </c>
      <c r="O35">
        <v>0</v>
      </c>
      <c r="P35">
        <v>0</v>
      </c>
      <c r="Q35">
        <v>0</v>
      </c>
      <c r="R35">
        <v>0</v>
      </c>
      <c r="S35">
        <v>0</v>
      </c>
      <c r="T35">
        <v>0</v>
      </c>
      <c r="U35">
        <v>1</v>
      </c>
      <c r="V35">
        <v>0</v>
      </c>
      <c r="W35">
        <v>0</v>
      </c>
      <c r="X35">
        <v>0</v>
      </c>
      <c r="Y35">
        <v>0</v>
      </c>
      <c r="Z35">
        <v>1</v>
      </c>
      <c r="AA35">
        <v>0</v>
      </c>
      <c r="AB35">
        <v>0</v>
      </c>
      <c r="AC35">
        <v>0</v>
      </c>
      <c r="AD35">
        <v>0</v>
      </c>
      <c r="AE35">
        <v>0</v>
      </c>
      <c r="AF35">
        <v>0</v>
      </c>
      <c r="AG35">
        <v>0</v>
      </c>
      <c r="AH35">
        <v>0</v>
      </c>
      <c r="AI35">
        <v>0</v>
      </c>
      <c r="AJ35">
        <v>0</v>
      </c>
      <c r="AK35">
        <v>1</v>
      </c>
      <c r="AL35">
        <v>0</v>
      </c>
      <c r="AM35" t="s">
        <v>53</v>
      </c>
      <c r="AN35">
        <v>0</v>
      </c>
      <c r="AO35">
        <v>1</v>
      </c>
      <c r="AP35">
        <v>2</v>
      </c>
      <c r="AQ35">
        <v>0</v>
      </c>
      <c r="AR35">
        <v>0</v>
      </c>
      <c r="AS35">
        <v>1</v>
      </c>
    </row>
    <row r="36" spans="1:45" x14ac:dyDescent="0.2">
      <c r="A36" t="s">
        <v>128</v>
      </c>
      <c r="B36" s="3">
        <f t="shared" si="0"/>
        <v>46054</v>
      </c>
      <c r="C36" t="s">
        <v>129</v>
      </c>
      <c r="D36" s="1">
        <v>1.681712962962963E-2</v>
      </c>
      <c r="E36">
        <v>8</v>
      </c>
      <c r="F36" t="s">
        <v>126</v>
      </c>
      <c r="G36" t="s">
        <v>56</v>
      </c>
      <c r="H36" t="s">
        <v>48</v>
      </c>
      <c r="I36" s="2" t="s">
        <v>63</v>
      </c>
      <c r="J36" s="2" t="s">
        <v>58</v>
      </c>
      <c r="K36" s="2" t="s">
        <v>69</v>
      </c>
      <c r="L36" s="2" t="s">
        <v>93</v>
      </c>
      <c r="M36" s="2" t="s">
        <v>73</v>
      </c>
      <c r="N36">
        <v>0</v>
      </c>
      <c r="O36">
        <v>0</v>
      </c>
      <c r="P36">
        <v>0</v>
      </c>
      <c r="Q36">
        <v>0</v>
      </c>
      <c r="R36">
        <v>0</v>
      </c>
      <c r="S36">
        <v>0</v>
      </c>
      <c r="T36">
        <v>0</v>
      </c>
      <c r="U36">
        <v>1</v>
      </c>
      <c r="V36">
        <v>0</v>
      </c>
      <c r="W36">
        <v>0</v>
      </c>
      <c r="X36">
        <v>0</v>
      </c>
      <c r="Y36">
        <v>0</v>
      </c>
      <c r="Z36">
        <v>1</v>
      </c>
      <c r="AA36">
        <v>0</v>
      </c>
      <c r="AB36">
        <v>0</v>
      </c>
      <c r="AC36">
        <v>0</v>
      </c>
      <c r="AD36">
        <v>0</v>
      </c>
      <c r="AE36">
        <v>0</v>
      </c>
      <c r="AF36">
        <v>0</v>
      </c>
      <c r="AG36">
        <v>0</v>
      </c>
      <c r="AH36">
        <v>0</v>
      </c>
      <c r="AI36">
        <v>0</v>
      </c>
      <c r="AJ36">
        <v>0</v>
      </c>
      <c r="AK36">
        <v>1</v>
      </c>
      <c r="AL36">
        <v>0</v>
      </c>
      <c r="AM36" t="s">
        <v>53</v>
      </c>
      <c r="AN36">
        <v>0</v>
      </c>
      <c r="AO36">
        <v>1</v>
      </c>
      <c r="AP36">
        <v>2</v>
      </c>
      <c r="AQ36">
        <v>0</v>
      </c>
      <c r="AR36">
        <v>0</v>
      </c>
      <c r="AS36">
        <v>1</v>
      </c>
    </row>
    <row r="37" spans="1:45" x14ac:dyDescent="0.2">
      <c r="A37" t="s">
        <v>130</v>
      </c>
      <c r="B37" s="3">
        <f t="shared" si="0"/>
        <v>46054</v>
      </c>
      <c r="C37" t="s">
        <v>66</v>
      </c>
      <c r="D37" s="1">
        <v>1.7407407407407406E-2</v>
      </c>
      <c r="E37">
        <v>18</v>
      </c>
      <c r="F37" t="s">
        <v>131</v>
      </c>
      <c r="G37" t="s">
        <v>47</v>
      </c>
      <c r="H37" t="s">
        <v>48</v>
      </c>
      <c r="I37" s="2" t="s">
        <v>113</v>
      </c>
      <c r="J37" s="2" t="s">
        <v>58</v>
      </c>
      <c r="K37" s="2" t="s">
        <v>59</v>
      </c>
      <c r="L37" s="2" t="s">
        <v>75</v>
      </c>
      <c r="M37" s="2" t="s">
        <v>73</v>
      </c>
      <c r="N37">
        <v>0</v>
      </c>
      <c r="O37">
        <v>0</v>
      </c>
      <c r="P37">
        <v>0</v>
      </c>
      <c r="Q37">
        <v>0</v>
      </c>
      <c r="R37">
        <v>1</v>
      </c>
      <c r="S37">
        <v>0</v>
      </c>
      <c r="T37">
        <v>1</v>
      </c>
      <c r="U37">
        <v>1</v>
      </c>
      <c r="V37">
        <v>0</v>
      </c>
      <c r="W37">
        <v>0</v>
      </c>
      <c r="X37">
        <v>0</v>
      </c>
      <c r="Y37">
        <v>1</v>
      </c>
      <c r="Z37">
        <v>0</v>
      </c>
      <c r="AA37">
        <v>0</v>
      </c>
      <c r="AB37">
        <v>0</v>
      </c>
      <c r="AC37">
        <v>0</v>
      </c>
      <c r="AD37">
        <v>0</v>
      </c>
      <c r="AE37">
        <v>0</v>
      </c>
      <c r="AF37">
        <v>0</v>
      </c>
      <c r="AG37">
        <v>0</v>
      </c>
      <c r="AH37">
        <v>0</v>
      </c>
      <c r="AI37">
        <v>0</v>
      </c>
      <c r="AJ37">
        <v>0</v>
      </c>
      <c r="AK37">
        <v>1</v>
      </c>
      <c r="AL37">
        <v>0</v>
      </c>
      <c r="AM37" t="s">
        <v>53</v>
      </c>
      <c r="AN37">
        <v>0</v>
      </c>
      <c r="AO37">
        <v>3</v>
      </c>
      <c r="AP37">
        <v>1</v>
      </c>
      <c r="AQ37">
        <v>0</v>
      </c>
      <c r="AR37">
        <v>1</v>
      </c>
      <c r="AS37">
        <v>1</v>
      </c>
    </row>
    <row r="38" spans="1:45" x14ac:dyDescent="0.2">
      <c r="A38" t="s">
        <v>132</v>
      </c>
      <c r="B38" s="3">
        <f t="shared" si="0"/>
        <v>46082</v>
      </c>
      <c r="C38" t="s">
        <v>80</v>
      </c>
      <c r="D38" s="1">
        <v>1.3101851851851852E-2</v>
      </c>
      <c r="E38">
        <v>18</v>
      </c>
      <c r="F38" t="s">
        <v>131</v>
      </c>
      <c r="G38" t="s">
        <v>56</v>
      </c>
      <c r="H38" t="s">
        <v>48</v>
      </c>
      <c r="I38" s="2" t="s">
        <v>57</v>
      </c>
      <c r="J38" s="2" t="s">
        <v>69</v>
      </c>
      <c r="K38" s="2" t="s">
        <v>59</v>
      </c>
      <c r="L38" s="2" t="s">
        <v>70</v>
      </c>
      <c r="M38" s="2" t="s">
        <v>73</v>
      </c>
      <c r="N38">
        <v>0</v>
      </c>
      <c r="O38">
        <v>0</v>
      </c>
      <c r="P38">
        <v>0</v>
      </c>
      <c r="Q38">
        <v>0</v>
      </c>
      <c r="R38">
        <v>1</v>
      </c>
      <c r="S38">
        <v>0</v>
      </c>
      <c r="T38">
        <v>1</v>
      </c>
      <c r="U38">
        <v>1</v>
      </c>
      <c r="V38">
        <v>0</v>
      </c>
      <c r="W38">
        <v>0</v>
      </c>
      <c r="X38">
        <v>0</v>
      </c>
      <c r="Y38">
        <v>1</v>
      </c>
      <c r="Z38">
        <v>0</v>
      </c>
      <c r="AA38">
        <v>0</v>
      </c>
      <c r="AB38">
        <v>0</v>
      </c>
      <c r="AC38">
        <v>0</v>
      </c>
      <c r="AD38">
        <v>0</v>
      </c>
      <c r="AE38">
        <v>0</v>
      </c>
      <c r="AF38">
        <v>0</v>
      </c>
      <c r="AG38">
        <v>0</v>
      </c>
      <c r="AH38">
        <v>0</v>
      </c>
      <c r="AI38">
        <v>0</v>
      </c>
      <c r="AJ38">
        <v>0</v>
      </c>
      <c r="AK38">
        <v>1</v>
      </c>
      <c r="AL38">
        <v>0</v>
      </c>
      <c r="AM38" t="s">
        <v>53</v>
      </c>
      <c r="AN38">
        <v>0</v>
      </c>
      <c r="AO38">
        <v>3</v>
      </c>
      <c r="AP38">
        <v>1</v>
      </c>
      <c r="AQ38">
        <v>0</v>
      </c>
      <c r="AR38">
        <v>1</v>
      </c>
      <c r="AS38">
        <v>1</v>
      </c>
    </row>
    <row r="39" spans="1:45" x14ac:dyDescent="0.2">
      <c r="A39" t="s">
        <v>133</v>
      </c>
      <c r="B39" s="3">
        <f t="shared" si="0"/>
        <v>46082</v>
      </c>
      <c r="C39" t="s">
        <v>45</v>
      </c>
      <c r="D39" s="1">
        <v>1.5810185185185184E-2</v>
      </c>
      <c r="E39">
        <v>18</v>
      </c>
      <c r="F39" t="s">
        <v>131</v>
      </c>
      <c r="G39" t="s">
        <v>62</v>
      </c>
      <c r="H39" t="s">
        <v>48</v>
      </c>
      <c r="I39" s="2" t="s">
        <v>63</v>
      </c>
      <c r="J39" s="2" t="s">
        <v>58</v>
      </c>
      <c r="K39" s="2" t="s">
        <v>59</v>
      </c>
      <c r="L39" s="2" t="s">
        <v>93</v>
      </c>
      <c r="M39" s="2" t="s">
        <v>76</v>
      </c>
      <c r="N39">
        <v>0</v>
      </c>
      <c r="O39">
        <v>0</v>
      </c>
      <c r="P39">
        <v>0</v>
      </c>
      <c r="Q39">
        <v>0</v>
      </c>
      <c r="R39">
        <v>1</v>
      </c>
      <c r="S39">
        <v>0</v>
      </c>
      <c r="T39">
        <v>1</v>
      </c>
      <c r="U39">
        <v>1</v>
      </c>
      <c r="V39">
        <v>0</v>
      </c>
      <c r="W39">
        <v>0</v>
      </c>
      <c r="X39">
        <v>0</v>
      </c>
      <c r="Y39">
        <v>1</v>
      </c>
      <c r="Z39">
        <v>0</v>
      </c>
      <c r="AA39">
        <v>0</v>
      </c>
      <c r="AB39">
        <v>0</v>
      </c>
      <c r="AC39">
        <v>0</v>
      </c>
      <c r="AD39">
        <v>0</v>
      </c>
      <c r="AE39">
        <v>0</v>
      </c>
      <c r="AF39">
        <v>0</v>
      </c>
      <c r="AG39">
        <v>0</v>
      </c>
      <c r="AH39">
        <v>0</v>
      </c>
      <c r="AI39">
        <v>0</v>
      </c>
      <c r="AJ39">
        <v>0</v>
      </c>
      <c r="AK39">
        <v>1</v>
      </c>
      <c r="AL39">
        <v>0</v>
      </c>
      <c r="AM39" t="s">
        <v>53</v>
      </c>
      <c r="AN39">
        <v>0</v>
      </c>
      <c r="AO39">
        <v>3</v>
      </c>
      <c r="AP39">
        <v>1</v>
      </c>
      <c r="AQ39">
        <v>0</v>
      </c>
      <c r="AR39">
        <v>1</v>
      </c>
      <c r="AS39">
        <v>1</v>
      </c>
    </row>
    <row r="40" spans="1:45" x14ac:dyDescent="0.2">
      <c r="A40" t="s">
        <v>134</v>
      </c>
      <c r="B40" s="3">
        <f t="shared" si="0"/>
        <v>46113</v>
      </c>
      <c r="C40" t="s">
        <v>45</v>
      </c>
      <c r="D40" s="1">
        <v>1.3912037037037037E-2</v>
      </c>
      <c r="E40">
        <v>3</v>
      </c>
      <c r="F40" t="s">
        <v>55</v>
      </c>
      <c r="G40" t="s">
        <v>135</v>
      </c>
      <c r="H40" t="s">
        <v>68</v>
      </c>
      <c r="I40" s="2" t="s">
        <v>57</v>
      </c>
      <c r="J40" s="2" t="s">
        <v>69</v>
      </c>
      <c r="K40" s="2" t="s">
        <v>50</v>
      </c>
      <c r="L40" s="2" t="s">
        <v>81</v>
      </c>
      <c r="M40">
        <v>0</v>
      </c>
      <c r="N40">
        <v>0</v>
      </c>
      <c r="O40">
        <v>0</v>
      </c>
      <c r="P40">
        <v>1</v>
      </c>
      <c r="Q40">
        <v>0</v>
      </c>
      <c r="R40">
        <v>0</v>
      </c>
      <c r="S40">
        <v>0</v>
      </c>
      <c r="T40">
        <v>0</v>
      </c>
      <c r="U40">
        <v>0</v>
      </c>
      <c r="V40">
        <v>0</v>
      </c>
      <c r="W40">
        <v>0</v>
      </c>
      <c r="X40">
        <v>0</v>
      </c>
      <c r="Y40">
        <v>0</v>
      </c>
      <c r="Z40">
        <v>0</v>
      </c>
      <c r="AA40">
        <v>0</v>
      </c>
      <c r="AB40">
        <v>0</v>
      </c>
      <c r="AC40">
        <v>0</v>
      </c>
      <c r="AD40">
        <v>0</v>
      </c>
      <c r="AE40">
        <v>0</v>
      </c>
      <c r="AF40">
        <v>0</v>
      </c>
      <c r="AG40">
        <v>0</v>
      </c>
      <c r="AH40">
        <v>0</v>
      </c>
      <c r="AI40">
        <v>0</v>
      </c>
      <c r="AJ40">
        <v>1</v>
      </c>
      <c r="AK40">
        <v>0</v>
      </c>
      <c r="AL40">
        <v>0</v>
      </c>
      <c r="AM40" t="s">
        <v>53</v>
      </c>
      <c r="AN40">
        <v>0</v>
      </c>
      <c r="AO40">
        <v>1</v>
      </c>
      <c r="AP40">
        <v>2</v>
      </c>
      <c r="AQ40">
        <v>0</v>
      </c>
      <c r="AR40">
        <v>0</v>
      </c>
      <c r="AS40">
        <v>0</v>
      </c>
    </row>
    <row r="41" spans="1:45" x14ac:dyDescent="0.2">
      <c r="A41" t="s">
        <v>136</v>
      </c>
      <c r="B41" s="3">
        <f t="shared" si="0"/>
        <v>46113</v>
      </c>
      <c r="C41" t="s">
        <v>45</v>
      </c>
      <c r="D41" s="1">
        <v>1.3773148148148149E-2</v>
      </c>
      <c r="E41">
        <v>5</v>
      </c>
      <c r="F41" t="s">
        <v>137</v>
      </c>
      <c r="G41" t="s">
        <v>135</v>
      </c>
      <c r="H41" t="s">
        <v>48</v>
      </c>
      <c r="I41" s="2" t="s">
        <v>63</v>
      </c>
      <c r="J41" s="2" t="s">
        <v>69</v>
      </c>
      <c r="K41" s="2" t="s">
        <v>64</v>
      </c>
      <c r="L41" s="2" t="s">
        <v>60</v>
      </c>
      <c r="M41" s="2" t="s">
        <v>87</v>
      </c>
      <c r="N41">
        <v>0</v>
      </c>
      <c r="O41">
        <v>0</v>
      </c>
      <c r="P41">
        <v>1</v>
      </c>
      <c r="Q41">
        <v>0</v>
      </c>
      <c r="R41">
        <v>0</v>
      </c>
      <c r="S41">
        <v>0</v>
      </c>
      <c r="T41">
        <v>0</v>
      </c>
      <c r="U41">
        <v>0</v>
      </c>
      <c r="V41">
        <v>0</v>
      </c>
      <c r="W41">
        <v>0</v>
      </c>
      <c r="X41">
        <v>0</v>
      </c>
      <c r="Y41">
        <v>1</v>
      </c>
      <c r="Z41">
        <v>0</v>
      </c>
      <c r="AA41">
        <v>0</v>
      </c>
      <c r="AB41">
        <v>0</v>
      </c>
      <c r="AC41">
        <v>0</v>
      </c>
      <c r="AD41">
        <v>0</v>
      </c>
      <c r="AE41">
        <v>0</v>
      </c>
      <c r="AF41">
        <v>0</v>
      </c>
      <c r="AG41">
        <v>0</v>
      </c>
      <c r="AH41">
        <v>0</v>
      </c>
      <c r="AI41">
        <v>0</v>
      </c>
      <c r="AJ41">
        <v>0</v>
      </c>
      <c r="AK41">
        <v>0</v>
      </c>
      <c r="AL41">
        <v>0</v>
      </c>
      <c r="AM41" t="s">
        <v>53</v>
      </c>
      <c r="AN41">
        <v>0</v>
      </c>
      <c r="AO41">
        <v>1</v>
      </c>
      <c r="AP41">
        <v>1</v>
      </c>
      <c r="AQ41">
        <v>0</v>
      </c>
      <c r="AR41">
        <v>0</v>
      </c>
      <c r="AS4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GUOT Pivot</vt:lpstr>
      <vt:lpstr>Charts</vt:lpstr>
      <vt:lpstr>GUOT</vt:lpstr>
      <vt:lpstr>usage</vt:lpstr>
      <vt:lpstr>csv_for_dragging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2026-04-12T13:43:54Z</dcterms:created>
  <dcterms:modified xsi:type="dcterms:W3CDTF">2026-04-13T13:36:51Z</dcterms:modified>
</cp:coreProperties>
</file>