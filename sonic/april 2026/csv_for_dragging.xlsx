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sonic/april 2026/"/>
    </mc:Choice>
  </mc:AlternateContent>
  <xr:revisionPtr revIDLastSave="0" documentId="8_{55F31246-5830-254B-AEA7-84A7CB8955F7}" xr6:coauthVersionLast="47" xr6:coauthVersionMax="47" xr10:uidLastSave="{00000000-0000-0000-0000-000000000000}"/>
  <bookViews>
    <workbookView xWindow="3080" yWindow="2200" windowWidth="28040" windowHeight="17180" xr2:uid="{ADBC70A6-D803-6F47-96C1-A22483F89999}"/>
  </bookViews>
  <sheets>
    <sheet name="Sheet1" sheetId="2" r:id="rId1"/>
    <sheet name="csv_for_dragging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</calcChain>
</file>

<file path=xl/sharedStrings.xml><?xml version="1.0" encoding="utf-8"?>
<sst xmlns="http://schemas.openxmlformats.org/spreadsheetml/2006/main" count="488" uniqueCount="142">
  <si>
    <t>session_start</t>
  </si>
  <si>
    <t>day_of_week</t>
  </si>
  <si>
    <t>duration</t>
  </si>
  <si>
    <t>level</t>
  </si>
  <si>
    <t>name</t>
  </si>
  <si>
    <t>player</t>
  </si>
  <si>
    <t>completion_status</t>
  </si>
  <si>
    <t>identify_scope</t>
  </si>
  <si>
    <t>incident_mechanics</t>
  </si>
  <si>
    <t>external_comms</t>
  </si>
  <si>
    <t>internal_comms</t>
  </si>
  <si>
    <t>commanding_the_incident</t>
  </si>
  <si>
    <t>Complexity: Ambiguous cues (multiple alternatives)</t>
  </si>
  <si>
    <t>Complexity: Attention Demands</t>
  </si>
  <si>
    <t>Complexity: Conflicting Advice</t>
  </si>
  <si>
    <t>Complexity: Decreased access to team members</t>
  </si>
  <si>
    <t>Complexity: Distributed information across individuals/organiza</t>
  </si>
  <si>
    <t>Complexity: Doublebind situations (dilemmas)</t>
  </si>
  <si>
    <t>Complexity: False prime explanations (garden path)</t>
  </si>
  <si>
    <t>Complexity: Hidden coupling (effects at a distance; cascading e</t>
  </si>
  <si>
    <t>Complexity: Implied relationship (red herring)</t>
  </si>
  <si>
    <t>Complexity: Interdependencies amongst roles (someone needs some</t>
  </si>
  <si>
    <t>Complexity: Lack of predefined plan</t>
  </si>
  <si>
    <t>Complexity: Misleading indicators (low predictive value)</t>
  </si>
  <si>
    <t>Complexity: Mismatch between prede fined plans or procedures an</t>
  </si>
  <si>
    <t>Complexity: Missing Information</t>
  </si>
  <si>
    <t>Complexity: Multi Party Dilema</t>
  </si>
  <si>
    <t>Complexity: Multiple simultaneous influences (more than one exp</t>
  </si>
  <si>
    <t>Complexity: Multiple simultaneous influences (multiple explanat</t>
  </si>
  <si>
    <t>Complexity: Saturation</t>
  </si>
  <si>
    <t>Complexity: Simultaneous seperate issues</t>
  </si>
  <si>
    <t>Complexity: Stakeholder Interference</t>
  </si>
  <si>
    <t>Complexity: Stereotype violations (not the usual suspect)</t>
  </si>
  <si>
    <t>Complexity: Stress or fatigue</t>
  </si>
  <si>
    <t>Complexity: Uncertain information (unreliable data)</t>
  </si>
  <si>
    <t>Complexity: Unintended effects (managing side effects)</t>
  </si>
  <si>
    <t>Complexity: Absence of strong signals (no alarms, no threshold</t>
  </si>
  <si>
    <t>max</t>
  </si>
  <si>
    <t>Category: Detecting</t>
  </si>
  <si>
    <t>Category: Sensemaking</t>
  </si>
  <si>
    <t>Category: Planning</t>
  </si>
  <si>
    <t>Category: Deciding</t>
  </si>
  <si>
    <t>Category: Coordination</t>
  </si>
  <si>
    <t>Category: Executing</t>
  </si>
  <si>
    <t>2025-04-03 01:00:00.000 +0100</t>
  </si>
  <si>
    <t xml:space="preserve">Thursday </t>
  </si>
  <si>
    <t>First day blues</t>
  </si>
  <si>
    <t>seth.lohr</t>
  </si>
  <si>
    <t>COMPLETED</t>
  </si>
  <si>
    <t>0.11111111111111111111</t>
  </si>
  <si>
    <t>0.16666666666666666667</t>
  </si>
  <si>
    <t>0.20000000000000000000</t>
  </si>
  <si>
    <t>0.09090909090909090909</t>
  </si>
  <si>
    <t>-</t>
  </si>
  <si>
    <t>2025-07-03 01:00:00.000 +0100</t>
  </si>
  <si>
    <t>Too Good To Be True</t>
  </si>
  <si>
    <t>leigh.burton</t>
  </si>
  <si>
    <t>0.44444444444444444444</t>
  </si>
  <si>
    <t>1.00000000000000000000</t>
  </si>
  <si>
    <t>0.66666666666666666667</t>
  </si>
  <si>
    <t>0.46666666666666666667</t>
  </si>
  <si>
    <t>0.27272727272727272727</t>
  </si>
  <si>
    <t>joe.muller</t>
  </si>
  <si>
    <t>0.55555555555555555556</t>
  </si>
  <si>
    <t>0.33333333333333333333</t>
  </si>
  <si>
    <t>2025-07-07 01:00:00.000 +0100</t>
  </si>
  <si>
    <t xml:space="preserve">Monday   </t>
  </si>
  <si>
    <t>The Big Investor</t>
  </si>
  <si>
    <t>OUT_OF_TIME</t>
  </si>
  <si>
    <t>0.50000000000000000000</t>
  </si>
  <si>
    <t>0.40000000000000000000</t>
  </si>
  <si>
    <t>2025-07-10 01:00:00.000 +0100</t>
  </si>
  <si>
    <t>Discount Disaster</t>
  </si>
  <si>
    <t>0.36363636363636363636</t>
  </si>
  <si>
    <t>kevan.benson</t>
  </si>
  <si>
    <t>0.53333333333333333333</t>
  </si>
  <si>
    <t>0.45454545454545454545</t>
  </si>
  <si>
    <t>2025-07-15 01:00:00.000 +0100</t>
  </si>
  <si>
    <t xml:space="preserve">Tuesday  </t>
  </si>
  <si>
    <t>2025-07-16 01:00:00.000 +0100</t>
  </si>
  <si>
    <t>Wednesday</t>
  </si>
  <si>
    <t>0.26666666666666666667</t>
  </si>
  <si>
    <t>2025-07-17 01:00:00.000 +0100</t>
  </si>
  <si>
    <t>The Disappearing Act</t>
  </si>
  <si>
    <t>0.83333333333333333333</t>
  </si>
  <si>
    <t>2025-09-15 01:00:00.000 +0100</t>
  </si>
  <si>
    <t>Too Good To Be True V2</t>
  </si>
  <si>
    <t>0.18181818181818181818</t>
  </si>
  <si>
    <t>2025-09-17 01:00:00.000 +0100</t>
  </si>
  <si>
    <t>Bezs Beatles Day! V2</t>
  </si>
  <si>
    <t>2025-09-22 01:00:00.000 +0100</t>
  </si>
  <si>
    <t>0.22222222222222222222</t>
  </si>
  <si>
    <t>2025-09-23 01:00:00.000 +0100</t>
  </si>
  <si>
    <t>0.60000000000000000000</t>
  </si>
  <si>
    <t>2025-09-24 01:00:00.000 +0100</t>
  </si>
  <si>
    <t>Rumours</t>
  </si>
  <si>
    <t>2025-09-29 01:00:00.000 +0100</t>
  </si>
  <si>
    <t>0.80000000000000000000</t>
  </si>
  <si>
    <t>0.63636363636363636364</t>
  </si>
  <si>
    <t>2025-09-30 01:00:00.000 +0100</t>
  </si>
  <si>
    <t>0.13333333333333333333</t>
  </si>
  <si>
    <t>2025-10-07 01:00:00.000 +0100</t>
  </si>
  <si>
    <t>The Big Investor V2</t>
  </si>
  <si>
    <t>0.54545454545454545455</t>
  </si>
  <si>
    <t>2025-10-13 01:00:00.000 +0100</t>
  </si>
  <si>
    <t>2025-10-14 01:00:00.000 +0100</t>
  </si>
  <si>
    <t>Missing Delivery</t>
  </si>
  <si>
    <t>2025-10-20 01:00:00.000 +0100</t>
  </si>
  <si>
    <t>0.88888888888888888889</t>
  </si>
  <si>
    <t>0.72727272727272727273</t>
  </si>
  <si>
    <t>2025-10-22 01:00:00.000 +0100</t>
  </si>
  <si>
    <t>DEFCON 1</t>
  </si>
  <si>
    <t>2025-10-23 01:00:00.000 +0100</t>
  </si>
  <si>
    <t>0.77777777777777777778</t>
  </si>
  <si>
    <t>2025-10-27 00:00:00.000 +0000</t>
  </si>
  <si>
    <t>2025-11-04 00:00:00.000 +0000</t>
  </si>
  <si>
    <t>Radio Silence</t>
  </si>
  <si>
    <t>2025-11-05 00:00:00.000 +0000</t>
  </si>
  <si>
    <t>Roblox</t>
  </si>
  <si>
    <t>2025-11-18 00:00:00.000 +0000</t>
  </si>
  <si>
    <t>2025-11-19 00:00:00.000 +0000</t>
  </si>
  <si>
    <t>2025-12-01 00:00:00.000 +0000</t>
  </si>
  <si>
    <t>2025-12-02 00:00:00.000 +0000</t>
  </si>
  <si>
    <t>2025-12-16 00:00:00.000 +0000</t>
  </si>
  <si>
    <t>2025-12-17 00:00:00.000 +0000</t>
  </si>
  <si>
    <t>2026-01-26 00:00:00.000 +0000</t>
  </si>
  <si>
    <t>The Chain</t>
  </si>
  <si>
    <t>2026-02-10 00:00:00.000 +0000</t>
  </si>
  <si>
    <t>2026-02-13 00:00:00.000 +0000</t>
  </si>
  <si>
    <t xml:space="preserve">Friday   </t>
  </si>
  <si>
    <t>2026-02-23 00:00:00.000 +0000</t>
  </si>
  <si>
    <t>The Switch</t>
  </si>
  <si>
    <t>2026-03-18 00:00:00.000 +0000</t>
  </si>
  <si>
    <t>2026-03-19 00:00:00.000 +0000</t>
  </si>
  <si>
    <t>2026-04-02 01:00:00.000 +0100</t>
  </si>
  <si>
    <t>alyssa.afaese</t>
  </si>
  <si>
    <t>2026-04-09 01:00:00.000 +0100</t>
  </si>
  <si>
    <t>Bezs Beatles Day!</t>
  </si>
  <si>
    <t>month</t>
  </si>
  <si>
    <t>Row Labels</t>
  </si>
  <si>
    <t>Grand Total</t>
  </si>
  <si>
    <t>Count of session_start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</si>
</sst>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1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[csv_for_dragging.xlsx]Sheet1!PivotTable1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joe.muller</c:v>
                </c:pt>
                <c:pt idx="1">
                  <c:v>seth.lohr</c:v>
                </c:pt>
                <c:pt idx="2">
                  <c:v>leigh.burton</c:v>
                </c:pt>
                <c:pt idx="3">
                  <c:v>alyssa.afaese</c:v>
                </c:pt>
                <c:pt idx="4">
                  <c:v>kevan.benson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F-134D-AD84-0B502AE6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674048"/>
        <c:axId val="944675840"/>
      </c:barChart>
      <c:catAx>
        <c:axId val="9446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75840"/>
        <c:crosses val="autoZero"/>
        <c:auto val="1"/>
        <c:lblAlgn val="ctr"/>
        <c:lblOffset val="100"/>
        <c:noMultiLvlLbl val="0"/>
      </c:catAx>
      <c:valAx>
        <c:axId val="9446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7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1</xdr:row>
      <xdr:rowOff>19050</xdr:rowOff>
    </xdr:from>
    <xdr:to>
      <xdr:col>10</xdr:col>
      <xdr:colOff>622300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1C190C-EA69-AA8D-F1A8-003F260A2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art rimell" refreshedDate="46124.613013888891" createdVersion="8" refreshedVersion="8" minRefreshableVersion="3" recordCount="41" xr:uid="{BCF3D53D-2D4F-8F44-A747-81453D94FF66}">
  <cacheSource type="worksheet">
    <worksheetSource ref="A1:AS1048576" sheet="csv_for_dragging"/>
  </cacheSource>
  <cacheFields count="45">
    <cacheField name="session_start" numFmtId="0">
      <sharedItems containsBlank="1"/>
    </cacheField>
    <cacheField name="month" numFmtId="0">
      <sharedItems containsNonDate="0" containsDate="1" containsString="0" containsBlank="1" minDate="2025-04-01T00:00:00" maxDate="2026-04-02T00:00:00"/>
    </cacheField>
    <cacheField name="day_of_week" numFmtId="0">
      <sharedItems containsBlank="1"/>
    </cacheField>
    <cacheField name="duration" numFmtId="0">
      <sharedItems containsNonDate="0" containsDate="1" containsString="0" containsBlank="1" minDate="1899-12-30T00:05:51" maxDate="1899-12-30T00:37:49"/>
    </cacheField>
    <cacheField name="level" numFmtId="0">
      <sharedItems containsString="0" containsBlank="1" containsNumber="1" containsInteger="1" minValue="3" maxValue="32"/>
    </cacheField>
    <cacheField name="name" numFmtId="0">
      <sharedItems containsBlank="1"/>
    </cacheField>
    <cacheField name="player" numFmtId="0">
      <sharedItems containsBlank="1" count="6">
        <s v="seth.lohr"/>
        <s v="leigh.burton"/>
        <s v="joe.muller"/>
        <s v="kevan.benson"/>
        <s v="alyssa.afaese"/>
        <m/>
      </sharedItems>
    </cacheField>
    <cacheField name="completion_status" numFmtId="0">
      <sharedItems containsBlank="1"/>
    </cacheField>
    <cacheField name="identify_scope" numFmtId="0">
      <sharedItems containsBlank="1" containsMixedTypes="1" containsNumber="1" containsInteger="1" minValue="0" maxValue="0"/>
    </cacheField>
    <cacheField name="incident_mechanics" numFmtId="0">
      <sharedItems containsBlank="1" containsMixedTypes="1" containsNumber="1" containsInteger="1" minValue="0" maxValue="0"/>
    </cacheField>
    <cacheField name="external_comms" numFmtId="0">
      <sharedItems containsBlank="1" containsMixedTypes="1" containsNumber="1" containsInteger="1" minValue="0" maxValue="0"/>
    </cacheField>
    <cacheField name="internal_comms" numFmtId="0">
      <sharedItems containsBlank="1"/>
    </cacheField>
    <cacheField name="commanding_the_incident" numFmtId="0">
      <sharedItems containsBlank="1" containsMixedTypes="1" containsNumber="1" containsInteger="1" minValue="0" maxValue="0"/>
    </cacheField>
    <cacheField name="Complexity: Ambiguous cues (multiple alternatives)" numFmtId="0">
      <sharedItems containsString="0" containsBlank="1" containsNumber="1" containsInteger="1" minValue="0" maxValue="1"/>
    </cacheField>
    <cacheField name="Complexity: Attention Demands" numFmtId="0">
      <sharedItems containsString="0" containsBlank="1" containsNumber="1" containsInteger="1" minValue="0" maxValue="1"/>
    </cacheField>
    <cacheField name="Complexity: Conflicting Advice" numFmtId="0">
      <sharedItems containsString="0" containsBlank="1" containsNumber="1" containsInteger="1" minValue="0" maxValue="1"/>
    </cacheField>
    <cacheField name="Complexity: Decreased access to team members" numFmtId="0">
      <sharedItems containsString="0" containsBlank="1" containsNumber="1" containsInteger="1" minValue="0" maxValue="1"/>
    </cacheField>
    <cacheField name="Complexity: Distributed information across individuals/organiza" numFmtId="0">
      <sharedItems containsString="0" containsBlank="1" containsNumber="1" containsInteger="1" minValue="0" maxValue="1"/>
    </cacheField>
    <cacheField name="Complexity: Doublebind situations (dilemmas)" numFmtId="0">
      <sharedItems containsString="0" containsBlank="1" containsNumber="1" containsInteger="1" minValue="0" maxValue="1"/>
    </cacheField>
    <cacheField name="Complexity: False prime explanations (garden path)" numFmtId="0">
      <sharedItems containsString="0" containsBlank="1" containsNumber="1" containsInteger="1" minValue="0" maxValue="1"/>
    </cacheField>
    <cacheField name="Complexity: Hidden coupling (effects at a distance; cascading e" numFmtId="0">
      <sharedItems containsString="0" containsBlank="1" containsNumber="1" containsInteger="1" minValue="0" maxValue="1"/>
    </cacheField>
    <cacheField name="Complexity: Implied relationship (red herring)" numFmtId="0">
      <sharedItems containsString="0" containsBlank="1" containsNumber="1" containsInteger="1" minValue="0" maxValue="1"/>
    </cacheField>
    <cacheField name="Complexity: Interdependencies amongst roles (someone needs some" numFmtId="0">
      <sharedItems containsString="0" containsBlank="1" containsNumber="1" containsInteger="1" minValue="0" maxValue="1"/>
    </cacheField>
    <cacheField name="Complexity: Lack of predefined plan" numFmtId="0">
      <sharedItems containsString="0" containsBlank="1" containsNumber="1" containsInteger="1" minValue="0" maxValue="1"/>
    </cacheField>
    <cacheField name="Complexity: Misleading indicators (low predictive value)" numFmtId="0">
      <sharedItems containsString="0" containsBlank="1" containsNumber="1" containsInteger="1" minValue="0" maxValue="1"/>
    </cacheField>
    <cacheField name="Complexity: Mismatch between prede fined plans or procedures an" numFmtId="0">
      <sharedItems containsString="0" containsBlank="1" containsNumber="1" containsInteger="1" minValue="0" maxValue="1"/>
    </cacheField>
    <cacheField name="Complexity: Missing Information" numFmtId="0">
      <sharedItems containsString="0" containsBlank="1" containsNumber="1" containsInteger="1" minValue="0" maxValue="1"/>
    </cacheField>
    <cacheField name="Complexity: Multi Party Dilema" numFmtId="0">
      <sharedItems containsString="0" containsBlank="1" containsNumber="1" containsInteger="1" minValue="0" maxValue="1"/>
    </cacheField>
    <cacheField name="Complexity: Multiple simultaneous influences (more than one exp" numFmtId="0">
      <sharedItems containsString="0" containsBlank="1" containsNumber="1" containsInteger="1" minValue="0" maxValue="1"/>
    </cacheField>
    <cacheField name="Complexity: Multiple simultaneous influences (multiple explanat" numFmtId="0">
      <sharedItems containsString="0" containsBlank="1" containsNumber="1" containsInteger="1" minValue="0" maxValue="1"/>
    </cacheField>
    <cacheField name="Complexity: Saturation" numFmtId="0">
      <sharedItems containsString="0" containsBlank="1" containsNumber="1" containsInteger="1" minValue="0" maxValue="1"/>
    </cacheField>
    <cacheField name="Complexity: Simultaneous seperate issues" numFmtId="0">
      <sharedItems containsString="0" containsBlank="1" containsNumber="1" containsInteger="1" minValue="0" maxValue="1"/>
    </cacheField>
    <cacheField name="Complexity: Stakeholder Interference" numFmtId="0">
      <sharedItems containsString="0" containsBlank="1" containsNumber="1" containsInteger="1" minValue="0" maxValue="1"/>
    </cacheField>
    <cacheField name="Complexity: Stereotype violations (not the usual suspect)" numFmtId="0">
      <sharedItems containsString="0" containsBlank="1" containsNumber="1" containsInteger="1" minValue="0" maxValue="1"/>
    </cacheField>
    <cacheField name="Complexity: Stress or fatigue" numFmtId="0">
      <sharedItems containsString="0" containsBlank="1" containsNumber="1" containsInteger="1" minValue="0" maxValue="1"/>
    </cacheField>
    <cacheField name="Complexity: Uncertain information (unreliable data)" numFmtId="0">
      <sharedItems containsString="0" containsBlank="1" containsNumber="1" containsInteger="1" minValue="0" maxValue="1"/>
    </cacheField>
    <cacheField name="Complexity: Unintended effects (managing side effects)" numFmtId="0">
      <sharedItems containsString="0" containsBlank="1" containsNumber="1" containsInteger="1" minValue="0" maxValue="1"/>
    </cacheField>
    <cacheField name="Complexity: Absence of strong signals (no alarms, no threshold" numFmtId="0">
      <sharedItems containsString="0" containsBlank="1" containsNumber="1" containsInteger="1" minValue="0" maxValue="0"/>
    </cacheField>
    <cacheField name="max" numFmtId="0">
      <sharedItems containsBlank="1"/>
    </cacheField>
    <cacheField name="Category: Detecting" numFmtId="0">
      <sharedItems containsString="0" containsBlank="1" containsNumber="1" containsInteger="1" minValue="0" maxValue="1"/>
    </cacheField>
    <cacheField name="Category: Sensemaking" numFmtId="0">
      <sharedItems containsString="0" containsBlank="1" containsNumber="1" containsInteger="1" minValue="0" maxValue="4"/>
    </cacheField>
    <cacheField name="Category: Planning" numFmtId="0">
      <sharedItems containsString="0" containsBlank="1" containsNumber="1" containsInteger="1" minValue="0" maxValue="2"/>
    </cacheField>
    <cacheField name="Category: Deciding" numFmtId="0">
      <sharedItems containsString="0" containsBlank="1" containsNumber="1" containsInteger="1" minValue="0" maxValue="2"/>
    </cacheField>
    <cacheField name="Category: Coordination" numFmtId="0">
      <sharedItems containsString="0" containsBlank="1" containsNumber="1" containsInteger="1" minValue="0" maxValue="3"/>
    </cacheField>
    <cacheField name="Category: Executin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2025-04-03 01:00:00.000 +0100"/>
    <d v="2025-04-01T00:00:00"/>
    <s v="Thursday "/>
    <d v="1899-12-30T00:05:51"/>
    <n v="27"/>
    <s v="First day blues"/>
    <x v="0"/>
    <s v="COMPLETED"/>
    <s v="0.11111111111111111111"/>
    <n v="0"/>
    <s v="0.16666666666666666667"/>
    <s v="0.20000000000000000000"/>
    <s v="0.0909090909090909090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1"/>
    <n v="0"/>
    <n v="0"/>
    <n v="0"/>
  </r>
  <r>
    <s v="2025-07-03 01:00:00.000 +0100"/>
    <d v="2025-07-01T00:00:00"/>
    <s v="Thursday "/>
    <d v="1899-12-30T00:15:52"/>
    <n v="3"/>
    <s v="Too Good To Be True"/>
    <x v="1"/>
    <s v="COMPLETED"/>
    <s v="0.44444444444444444444"/>
    <s v="1.00000000000000000000"/>
    <s v="0.66666666666666666667"/>
    <s v="0.46666666666666666667"/>
    <s v="0.2727272727272727272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7-03 01:00:00.000 +0100"/>
    <d v="2025-07-01T00:00:00"/>
    <s v="Thursday "/>
    <d v="1899-12-30T00:16:02"/>
    <n v="3"/>
    <s v="Too Good To Be True"/>
    <x v="2"/>
    <s v="COMPLETED"/>
    <s v="0.55555555555555555556"/>
    <s v="1.00000000000000000000"/>
    <s v="0.66666666666666666667"/>
    <s v="0.33333333333333333333"/>
    <s v="0.2727272727272727272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7-07 01:00:00.000 +0100"/>
    <d v="2025-07-01T00:00:00"/>
    <s v="Monday   "/>
    <d v="1899-12-30T00:20:02"/>
    <n v="6"/>
    <s v="The Big Investor"/>
    <x v="1"/>
    <s v="OUT_OF_TIME"/>
    <s v="0.55555555555555555556"/>
    <s v="1.00000000000000000000"/>
    <s v="0.50000000000000000000"/>
    <s v="0.40000000000000000000"/>
    <s v="0.2727272727272727272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7-10 01:00:00.000 +0100"/>
    <d v="2025-07-01T00:00:00"/>
    <s v="Thursday "/>
    <d v="1899-12-30T00:19:46"/>
    <n v="26"/>
    <s v="Discount Disaster"/>
    <x v="1"/>
    <s v="COMPLETED"/>
    <s v="0.66666666666666666667"/>
    <s v="1.00000000000000000000"/>
    <s v="0.50000000000000000000"/>
    <s v="0.40000000000000000000"/>
    <s v="0.36363636363636363636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7-10 01:00:00.000 +0100"/>
    <d v="2025-07-01T00:00:00"/>
    <s v="Thursday "/>
    <d v="1899-12-30T00:20:24"/>
    <n v="6"/>
    <s v="The Big Investor"/>
    <x v="3"/>
    <s v="COMPLETED"/>
    <s v="0.44444444444444444444"/>
    <s v="0.50000000000000000000"/>
    <s v="0.50000000000000000000"/>
    <s v="0.53333333333333333333"/>
    <s v="0.4545454545454545454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7-15 01:00:00.000 +0100"/>
    <d v="2025-07-01T00:00:00"/>
    <s v="Tuesday  "/>
    <d v="1899-12-30T00:20:01"/>
    <n v="6"/>
    <s v="The Big Investor"/>
    <x v="2"/>
    <s v="OUT_OF_TIME"/>
    <s v="0.66666666666666666667"/>
    <s v="1.00000000000000000000"/>
    <s v="0.66666666666666666667"/>
    <s v="0.66666666666666666667"/>
    <s v="0.4545454545454545454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7-16 01:00:00.000 +0100"/>
    <d v="2025-07-01T00:00:00"/>
    <s v="Wednesday"/>
    <d v="1899-12-30T00:22:10"/>
    <n v="26"/>
    <s v="Discount Disaster"/>
    <x v="2"/>
    <s v="COMPLETED"/>
    <s v="0.44444444444444444444"/>
    <s v="0.50000000000000000000"/>
    <s v="0.66666666666666666667"/>
    <s v="0.26666666666666666667"/>
    <s v="0.0909090909090909090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7-17 01:00:00.000 +0100"/>
    <d v="2025-07-01T00:00:00"/>
    <s v="Thursday "/>
    <d v="1899-12-30T00:25:49"/>
    <n v="20"/>
    <s v="The Disappearing Act"/>
    <x v="1"/>
    <s v="COMPLETED"/>
    <s v="0.55555555555555555556"/>
    <s v="0.50000000000000000000"/>
    <s v="0.83333333333333333333"/>
    <s v="0.40000000000000000000"/>
    <s v="0.36363636363636363636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3"/>
    <n v="1"/>
  </r>
  <r>
    <s v="2025-09-15 01:00:00.000 +0100"/>
    <d v="2025-09-01T00:00:00"/>
    <s v="Monday   "/>
    <d v="1899-12-30T00:09:48"/>
    <n v="29"/>
    <s v="Too Good To Be True V2"/>
    <x v="0"/>
    <s v="COMPLETED"/>
    <n v="0"/>
    <n v="0"/>
    <n v="0"/>
    <s v="0.26666666666666666667"/>
    <s v="0.181818181818181818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9-17 01:00:00.000 +0100"/>
    <d v="2025-09-01T00:00:00"/>
    <s v="Wednesday"/>
    <d v="1899-12-30T00:14:15"/>
    <n v="31"/>
    <s v="Bezs Beatles Day! V2"/>
    <x v="1"/>
    <s v="COMPLETED"/>
    <s v="0.44444444444444444444"/>
    <s v="1.00000000000000000000"/>
    <s v="0.66666666666666666667"/>
    <s v="0.33333333333333333333"/>
    <s v="0.0909090909090909090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9-22 01:00:00.000 +0100"/>
    <d v="2025-09-01T00:00:00"/>
    <s v="Monday   "/>
    <d v="1899-12-30T00:19:49"/>
    <n v="6"/>
    <s v="The Big Investor"/>
    <x v="0"/>
    <s v="COMPLETED"/>
    <s v="0.22222222222222222222"/>
    <s v="1.00000000000000000000"/>
    <s v="0.50000000000000000000"/>
    <s v="0.33333333333333333333"/>
    <s v="0.1818181818181818181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9-23 01:00:00.000 +0100"/>
    <d v="2025-09-01T00:00:00"/>
    <s v="Tuesday  "/>
    <d v="1899-12-30T00:16:22"/>
    <n v="31"/>
    <s v="Bezs Beatles Day! V2"/>
    <x v="2"/>
    <s v="COMPLETED"/>
    <s v="0.22222222222222222222"/>
    <s v="1.00000000000000000000"/>
    <s v="0.66666666666666666667"/>
    <s v="0.60000000000000000000"/>
    <s v="0.36363636363636363636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9-24 01:00:00.000 +0100"/>
    <d v="2025-09-01T00:00:00"/>
    <s v="Wednesday"/>
    <d v="1899-12-30T00:17:04"/>
    <n v="7"/>
    <s v="Rumours"/>
    <x v="1"/>
    <s v="COMPLETED"/>
    <s v="0.55555555555555555556"/>
    <s v="1.00000000000000000000"/>
    <s v="0.33333333333333333333"/>
    <s v="0.26666666666666666667"/>
    <s v="0.1818181818181818181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9-29 01:00:00.000 +0100"/>
    <d v="2025-09-01T00:00:00"/>
    <s v="Monday   "/>
    <d v="1899-12-30T00:18:45"/>
    <n v="31"/>
    <s v="Bezs Beatles Day! V2"/>
    <x v="0"/>
    <s v="COMPLETED"/>
    <s v="1.00000000000000000000"/>
    <s v="1.00000000000000000000"/>
    <s v="0.66666666666666666667"/>
    <s v="0.80000000000000000000"/>
    <s v="0.63636363636363636364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9-30 01:00:00.000 +0100"/>
    <d v="2025-09-01T00:00:00"/>
    <s v="Tuesday  "/>
    <d v="1899-12-30T00:19:49"/>
    <n v="7"/>
    <s v="Rumours"/>
    <x v="2"/>
    <s v="COMPLETED"/>
    <s v="0.55555555555555555556"/>
    <s v="0.50000000000000000000"/>
    <s v="0.33333333333333333333"/>
    <s v="0.13333333333333333333"/>
    <s v="0.0909090909090909090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10-07 01:00:00.000 +0100"/>
    <d v="2025-10-01T00:00:00"/>
    <s v="Tuesday  "/>
    <d v="1899-12-30T00:19:13"/>
    <n v="32"/>
    <s v="The Big Investor V2"/>
    <x v="2"/>
    <s v="COMPLETED"/>
    <s v="0.66666666666666666667"/>
    <s v="1.00000000000000000000"/>
    <s v="0.66666666666666666667"/>
    <s v="0.60000000000000000000"/>
    <s v="0.5454545454545454545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0"/>
    <n v="0"/>
  </r>
  <r>
    <s v="2025-10-13 01:00:00.000 +0100"/>
    <d v="2025-10-01T00:00:00"/>
    <s v="Monday   "/>
    <d v="1899-12-30T00:15:09"/>
    <n v="7"/>
    <s v="Rumours"/>
    <x v="0"/>
    <s v="COMPLETED"/>
    <s v="0.55555555555555555556"/>
    <s v="1.00000000000000000000"/>
    <s v="0.33333333333333333333"/>
    <s v="0.40000000000000000000"/>
    <s v="0.27272727272727272727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10-14 01:00:00.000 +0100"/>
    <d v="2025-10-01T00:00:00"/>
    <s v="Tuesday  "/>
    <d v="1899-12-30T00:22:41"/>
    <n v="14"/>
    <s v="Missing Delivery"/>
    <x v="2"/>
    <s v="COMPLETED"/>
    <s v="0.44444444444444444444"/>
    <s v="1.00000000000000000000"/>
    <s v="0.66666666666666666667"/>
    <s v="0.46666666666666666667"/>
    <s v="0.27272727272727272727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10-20 01:00:00.000 +0100"/>
    <d v="2025-10-01T00:00:00"/>
    <s v="Monday   "/>
    <d v="1899-12-30T00:23:31"/>
    <n v="14"/>
    <s v="Missing Delivery"/>
    <x v="0"/>
    <s v="COMPLETED"/>
    <s v="0.88888888888888888889"/>
    <s v="1.00000000000000000000"/>
    <s v="0.66666666666666666667"/>
    <s v="0.80000000000000000000"/>
    <s v="0.72727272727272727273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10-20 01:00:00.000 +0100"/>
    <d v="2025-10-01T00:00:00"/>
    <s v="Monday   "/>
    <d v="1899-12-30T00:22:30"/>
    <n v="14"/>
    <s v="Missing Delivery"/>
    <x v="1"/>
    <s v="COMPLETED"/>
    <s v="0.44444444444444444444"/>
    <s v="0.50000000000000000000"/>
    <s v="0.33333333333333333333"/>
    <s v="0.46666666666666666667"/>
    <s v="0.27272727272727272727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10-22 01:00:00.000 +0100"/>
    <d v="2025-10-01T00:00:00"/>
    <s v="Wednesday"/>
    <d v="1899-12-30T00:33:58"/>
    <n v="30"/>
    <s v="DEFCON 1"/>
    <x v="1"/>
    <s v="COMPLETED"/>
    <s v="0.44444444444444444444"/>
    <s v="1.00000000000000000000"/>
    <s v="0.50000000000000000000"/>
    <s v="0.60000000000000000000"/>
    <s v="0.63636363636363636364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23 01:00:00.000 +0100"/>
    <d v="2025-10-01T00:00:00"/>
    <s v="Thursday "/>
    <d v="1899-12-30T00:37:49"/>
    <n v="30"/>
    <s v="DEFCON 1"/>
    <x v="2"/>
    <s v="COMPLETED"/>
    <s v="0.77777777777777777778"/>
    <s v="1.00000000000000000000"/>
    <s v="0.50000000000000000000"/>
    <s v="0.33333333333333333333"/>
    <s v="0.45454545454545454545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27 00:00:00.000 +0000"/>
    <d v="2025-10-01T00:00:00"/>
    <s v="Monday   "/>
    <d v="1899-12-30T00:31:23"/>
    <n v="30"/>
    <s v="DEFCON 1"/>
    <x v="0"/>
    <s v="COMPLETED"/>
    <s v="0.44444444444444444444"/>
    <s v="0.50000000000000000000"/>
    <s v="0.66666666666666666667"/>
    <s v="0.53333333333333333333"/>
    <s v="0.45454545454545454545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1-04 00:00:00.000 +0000"/>
    <d v="2025-11-01T00:00:00"/>
    <s v="Tuesday  "/>
    <d v="1899-12-30T00:19:07"/>
    <n v="16"/>
    <s v="Radio Silence"/>
    <x v="2"/>
    <s v="COMPLETED"/>
    <s v="0.77777777777777777778"/>
    <s v="1.00000000000000000000"/>
    <s v="0.83333333333333333333"/>
    <s v="0.66666666666666666667"/>
    <s v="0.54545454545454545455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11-05 00:00:00.000 +0000"/>
    <d v="2025-11-01T00:00:00"/>
    <s v="Wednesday"/>
    <d v="1899-12-30T00:18:05"/>
    <n v="4"/>
    <s v="Roblox"/>
    <x v="1"/>
    <s v="COMPLETED"/>
    <s v="0.44444444444444444444"/>
    <s v="1.00000000000000000000"/>
    <s v="0.66666666666666666667"/>
    <s v="0.46666666666666666667"/>
    <s v="0.36363636363636363636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11-18 00:00:00.000 +0000"/>
    <d v="2025-11-01T00:00:00"/>
    <s v="Tuesday  "/>
    <d v="1899-12-30T00:22:13"/>
    <n v="20"/>
    <s v="The Disappearing Act"/>
    <x v="2"/>
    <s v="COMPLETED"/>
    <s v="0.55555555555555555556"/>
    <s v="1.00000000000000000000"/>
    <s v="0.66666666666666666667"/>
    <s v="0.40000000000000000000"/>
    <s v="0.18181818181818181818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3"/>
    <n v="1"/>
  </r>
  <r>
    <s v="2025-11-19 00:00:00.000 +0000"/>
    <d v="2025-11-01T00:00:00"/>
    <s v="Wednesday"/>
    <d v="1899-12-30T00:21:01"/>
    <n v="20"/>
    <s v="The Disappearing Act"/>
    <x v="0"/>
    <s v="COMPLETED"/>
    <s v="0.33333333333333333333"/>
    <s v="1.00000000000000000000"/>
    <s v="0.66666666666666666667"/>
    <s v="0.26666666666666666667"/>
    <s v="0.09090909090909090909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3"/>
    <n v="1"/>
  </r>
  <r>
    <s v="2025-12-01 00:00:00.000 +0000"/>
    <d v="2025-12-01T00:00:00"/>
    <s v="Monday   "/>
    <d v="1899-12-30T00:20:02"/>
    <n v="16"/>
    <s v="Radio Silence"/>
    <x v="0"/>
    <s v="OUT_OF_TIME"/>
    <s v="0.77777777777777777778"/>
    <s v="0.50000000000000000000"/>
    <s v="0.66666666666666666667"/>
    <s v="0.66666666666666666667"/>
    <s v="0.63636363636363636364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12-02 00:00:00.000 +0000"/>
    <d v="2025-12-01T00:00:00"/>
    <s v="Tuesday  "/>
    <d v="1899-12-30T00:14:53"/>
    <n v="4"/>
    <s v="Roblox"/>
    <x v="2"/>
    <s v="COMPLETED"/>
    <s v="0.55555555555555555556"/>
    <s v="1.00000000000000000000"/>
    <s v="0.83333333333333333333"/>
    <s v="0.53333333333333333333"/>
    <s v="0.45454545454545454545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12-16 00:00:00.000 +0000"/>
    <d v="2025-12-01T00:00:00"/>
    <s v="Tuesday  "/>
    <d v="1899-12-30T00:20:01"/>
    <n v="4"/>
    <s v="Roblox"/>
    <x v="0"/>
    <s v="OUT_OF_TIME"/>
    <s v="0.77777777777777777778"/>
    <s v="0.50000000000000000000"/>
    <s v="0.66666666666666666667"/>
    <s v="0.66666666666666666667"/>
    <s v="0.63636363636363636364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12-17 00:00:00.000 +0000"/>
    <d v="2025-12-01T00:00:00"/>
    <s v="Wednesday"/>
    <d v="1899-12-30T00:20:02"/>
    <n v="16"/>
    <s v="Radio Silence"/>
    <x v="1"/>
    <s v="OUT_OF_TIME"/>
    <s v="0.66666666666666666667"/>
    <s v="0.50000000000000000000"/>
    <s v="0.50000000000000000000"/>
    <s v="0.33333333333333333333"/>
    <s v="0.1818181818181818181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6-01-26 00:00:00.000 +0000"/>
    <d v="2026-01-01T00:00:00"/>
    <s v="Monday   "/>
    <d v="1899-12-30T00:18:57"/>
    <n v="8"/>
    <s v="The Chain"/>
    <x v="0"/>
    <s v="COMPLETED"/>
    <s v="0.66666666666666666667"/>
    <s v="1.00000000000000000000"/>
    <s v="0.66666666666666666667"/>
    <s v="0.33333333333333333333"/>
    <s v="0.36363636363636363636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6-02-10 00:00:00.000 +0000"/>
    <d v="2026-02-01T00:00:00"/>
    <s v="Tuesday  "/>
    <d v="1899-12-30T00:25:02"/>
    <n v="8"/>
    <s v="The Chain"/>
    <x v="2"/>
    <s v="OUT_OF_TIME"/>
    <s v="0.44444444444444444444"/>
    <s v="0.50000000000000000000"/>
    <s v="0.50000000000000000000"/>
    <s v="0.53333333333333333333"/>
    <s v="0.36363636363636363636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6-02-13 00:00:00.000 +0000"/>
    <d v="2026-02-01T00:00:00"/>
    <s v="Friday   "/>
    <d v="1899-12-30T00:24:13"/>
    <n v="8"/>
    <s v="The Chain"/>
    <x v="1"/>
    <s v="COMPLETED"/>
    <s v="0.55555555555555555556"/>
    <s v="1.00000000000000000000"/>
    <s v="0.50000000000000000000"/>
    <s v="0.60000000000000000000"/>
    <s v="0.36363636363636363636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6-02-23 00:00:00.000 +0000"/>
    <d v="2026-02-01T00:00:00"/>
    <s v="Monday   "/>
    <d v="1899-12-30T00:25:04"/>
    <n v="18"/>
    <s v="The Switch"/>
    <x v="0"/>
    <s v="COMPLETED"/>
    <s v="0.77777777777777777778"/>
    <s v="1.00000000000000000000"/>
    <s v="0.66666666666666666667"/>
    <s v="0.53333333333333333333"/>
    <s v="0.36363636363636363636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6-03-18 00:00:00.000 +0000"/>
    <d v="2026-03-01T00:00:00"/>
    <s v="Wednesday"/>
    <d v="1899-12-30T00:18:52"/>
    <n v="18"/>
    <s v="The Switch"/>
    <x v="1"/>
    <s v="COMPLETED"/>
    <s v="0.44444444444444444444"/>
    <s v="0.50000000000000000000"/>
    <s v="0.66666666666666666667"/>
    <s v="0.40000000000000000000"/>
    <s v="0.36363636363636363636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6-03-19 00:00:00.000 +0000"/>
    <d v="2026-03-01T00:00:00"/>
    <s v="Thursday "/>
    <d v="1899-12-30T00:22:46"/>
    <n v="18"/>
    <s v="The Switch"/>
    <x v="2"/>
    <s v="COMPLETED"/>
    <s v="0.55555555555555555556"/>
    <s v="1.00000000000000000000"/>
    <s v="0.66666666666666666667"/>
    <s v="0.60000000000000000000"/>
    <s v="0.45454545454545454545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6-04-02 01:00:00.000 +0100"/>
    <d v="2026-04-01T00:00:00"/>
    <s v="Thursday "/>
    <d v="1899-12-30T00:20:02"/>
    <n v="3"/>
    <s v="Too Good To Be True"/>
    <x v="4"/>
    <s v="OUT_OF_TIME"/>
    <s v="0.44444444444444444444"/>
    <s v="0.50000000000000000000"/>
    <s v="0.16666666666666666667"/>
    <s v="0.26666666666666666667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4-09 01:00:00.000 +0100"/>
    <d v="2026-04-01T00:00:00"/>
    <s v="Thursday "/>
    <d v="1899-12-30T00:19:50"/>
    <n v="5"/>
    <s v="Bezs Beatles Day!"/>
    <x v="4"/>
    <s v="COMPLETED"/>
    <s v="0.55555555555555555556"/>
    <s v="0.50000000000000000000"/>
    <s v="0.33333333333333333333"/>
    <s v="0.46666666666666666667"/>
    <s v="0.1818181818181818181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D9538-9B06-8B4B-96E8-69B0623ADFF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2"/>
        <item x="3"/>
        <item x="1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Count of session_sta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F635-6BA9-6443-B374-76E28F26752C}">
  <dimension ref="A3:B9"/>
  <sheetViews>
    <sheetView tabSelected="1" workbookViewId="0">
      <selection activeCell="M16" sqref="M16"/>
    </sheetView>
  </sheetViews>
  <sheetFormatPr baseColWidth="10" defaultRowHeight="16" x14ac:dyDescent="0.2"/>
  <cols>
    <col min="1" max="1" width="13" bestFit="1" customWidth="1"/>
    <col min="2" max="2" width="20" bestFit="1" customWidth="1"/>
  </cols>
  <sheetData>
    <row r="3" spans="1:2" x14ac:dyDescent="0.2">
      <c r="A3" s="4" t="s">
        <v>139</v>
      </c>
      <c r="B3" t="s">
        <v>141</v>
      </c>
    </row>
    <row r="4" spans="1:2" x14ac:dyDescent="0.2">
      <c r="A4" s="5" t="s">
        <v>62</v>
      </c>
      <c r="B4" s="6">
        <v>13</v>
      </c>
    </row>
    <row r="5" spans="1:2" x14ac:dyDescent="0.2">
      <c r="A5" s="5" t="s">
        <v>47</v>
      </c>
      <c r="B5" s="6">
        <v>12</v>
      </c>
    </row>
    <row r="6" spans="1:2" x14ac:dyDescent="0.2">
      <c r="A6" s="5" t="s">
        <v>56</v>
      </c>
      <c r="B6" s="6">
        <v>12</v>
      </c>
    </row>
    <row r="7" spans="1:2" x14ac:dyDescent="0.2">
      <c r="A7" s="5" t="s">
        <v>135</v>
      </c>
      <c r="B7" s="6">
        <v>2</v>
      </c>
    </row>
    <row r="8" spans="1:2" x14ac:dyDescent="0.2">
      <c r="A8" s="5" t="s">
        <v>74</v>
      </c>
      <c r="B8" s="6">
        <v>1</v>
      </c>
    </row>
    <row r="9" spans="1:2" x14ac:dyDescent="0.2">
      <c r="A9" s="5" t="s">
        <v>140</v>
      </c>
      <c r="B9" s="6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EA60-288B-DE46-8101-54E986866D5A}">
  <dimension ref="A1:AS41"/>
  <sheetViews>
    <sheetView workbookViewId="0">
      <selection sqref="A1:XFD1048576"/>
    </sheetView>
  </sheetViews>
  <sheetFormatPr baseColWidth="10" defaultRowHeight="16" x14ac:dyDescent="0.2"/>
  <cols>
    <col min="1" max="1" width="29.5" customWidth="1"/>
  </cols>
  <sheetData>
    <row r="1" spans="1:45" x14ac:dyDescent="0.2">
      <c r="A1" t="s">
        <v>0</v>
      </c>
      <c r="B1" t="s">
        <v>138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44</v>
      </c>
      <c r="B2" s="3">
        <f>DATE(YEAR(DATEVALUE(LEFT(A2,10))), MONTH(DATEVALUE(LEFT(A2,10))), 1)</f>
        <v>45748</v>
      </c>
      <c r="C2" t="s">
        <v>45</v>
      </c>
      <c r="D2" s="1">
        <v>4.0625000000000001E-3</v>
      </c>
      <c r="E2">
        <v>27</v>
      </c>
      <c r="F2" t="s">
        <v>46</v>
      </c>
      <c r="G2" t="s">
        <v>47</v>
      </c>
      <c r="H2" t="s">
        <v>48</v>
      </c>
      <c r="I2" s="2" t="s">
        <v>49</v>
      </c>
      <c r="J2">
        <v>0</v>
      </c>
      <c r="K2" s="2" t="s">
        <v>50</v>
      </c>
      <c r="L2" s="2" t="s">
        <v>51</v>
      </c>
      <c r="M2" s="2" t="s">
        <v>52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53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</row>
    <row r="3" spans="1:45" x14ac:dyDescent="0.2">
      <c r="A3" t="s">
        <v>54</v>
      </c>
      <c r="B3" s="3">
        <f t="shared" ref="B3:B41" si="0">DATE(YEAR(DATEVALUE(LEFT(A3,10))), MONTH(DATEVALUE(LEFT(A3,10))), 1)</f>
        <v>45839</v>
      </c>
      <c r="C3" t="s">
        <v>45</v>
      </c>
      <c r="D3" s="1">
        <v>1.1018518518518518E-2</v>
      </c>
      <c r="E3">
        <v>3</v>
      </c>
      <c r="F3" t="s">
        <v>55</v>
      </c>
      <c r="G3" t="s">
        <v>56</v>
      </c>
      <c r="H3" t="s">
        <v>48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 t="s">
        <v>53</v>
      </c>
      <c r="AN3">
        <v>0</v>
      </c>
      <c r="AO3">
        <v>1</v>
      </c>
      <c r="AP3">
        <v>2</v>
      </c>
      <c r="AQ3">
        <v>0</v>
      </c>
      <c r="AR3">
        <v>0</v>
      </c>
      <c r="AS3">
        <v>0</v>
      </c>
    </row>
    <row r="4" spans="1:45" x14ac:dyDescent="0.2">
      <c r="A4" t="s">
        <v>54</v>
      </c>
      <c r="B4" s="3">
        <f t="shared" si="0"/>
        <v>45839</v>
      </c>
      <c r="C4" t="s">
        <v>45</v>
      </c>
      <c r="D4" s="1">
        <v>1.1134259259259259E-2</v>
      </c>
      <c r="E4">
        <v>3</v>
      </c>
      <c r="F4" t="s">
        <v>55</v>
      </c>
      <c r="G4" t="s">
        <v>62</v>
      </c>
      <c r="H4" t="s">
        <v>48</v>
      </c>
      <c r="I4" s="2" t="s">
        <v>63</v>
      </c>
      <c r="J4" s="2" t="s">
        <v>58</v>
      </c>
      <c r="K4" s="2" t="s">
        <v>59</v>
      </c>
      <c r="L4" s="2" t="s">
        <v>64</v>
      </c>
      <c r="M4" s="2" t="s">
        <v>61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 t="s">
        <v>53</v>
      </c>
      <c r="AN4">
        <v>0</v>
      </c>
      <c r="AO4">
        <v>1</v>
      </c>
      <c r="AP4">
        <v>2</v>
      </c>
      <c r="AQ4">
        <v>0</v>
      </c>
      <c r="AR4">
        <v>0</v>
      </c>
      <c r="AS4">
        <v>0</v>
      </c>
    </row>
    <row r="5" spans="1:45" x14ac:dyDescent="0.2">
      <c r="A5" t="s">
        <v>65</v>
      </c>
      <c r="B5" s="3">
        <f t="shared" si="0"/>
        <v>45839</v>
      </c>
      <c r="C5" t="s">
        <v>66</v>
      </c>
      <c r="D5" s="1">
        <v>1.3912037037037037E-2</v>
      </c>
      <c r="E5">
        <v>6</v>
      </c>
      <c r="F5" t="s">
        <v>67</v>
      </c>
      <c r="G5" t="s">
        <v>56</v>
      </c>
      <c r="H5" t="s">
        <v>68</v>
      </c>
      <c r="I5" s="2" t="s">
        <v>63</v>
      </c>
      <c r="J5" s="2" t="s">
        <v>58</v>
      </c>
      <c r="K5" s="2" t="s">
        <v>69</v>
      </c>
      <c r="L5" s="2" t="s">
        <v>70</v>
      </c>
      <c r="M5" s="2" t="s">
        <v>61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0</v>
      </c>
      <c r="AK5">
        <v>0</v>
      </c>
      <c r="AL5">
        <v>0</v>
      </c>
      <c r="AM5" t="s">
        <v>53</v>
      </c>
      <c r="AN5">
        <v>0</v>
      </c>
      <c r="AO5">
        <v>2</v>
      </c>
      <c r="AP5">
        <v>0</v>
      </c>
      <c r="AQ5">
        <v>2</v>
      </c>
      <c r="AR5">
        <v>0</v>
      </c>
      <c r="AS5">
        <v>0</v>
      </c>
    </row>
    <row r="6" spans="1:45" x14ac:dyDescent="0.2">
      <c r="A6" t="s">
        <v>71</v>
      </c>
      <c r="B6" s="3">
        <f t="shared" si="0"/>
        <v>45839</v>
      </c>
      <c r="C6" t="s">
        <v>45</v>
      </c>
      <c r="D6" s="1">
        <v>1.3726851851851851E-2</v>
      </c>
      <c r="E6">
        <v>26</v>
      </c>
      <c r="F6" t="s">
        <v>72</v>
      </c>
      <c r="G6" t="s">
        <v>56</v>
      </c>
      <c r="H6" t="s">
        <v>48</v>
      </c>
      <c r="I6" s="2" t="s">
        <v>59</v>
      </c>
      <c r="J6" s="2" t="s">
        <v>58</v>
      </c>
      <c r="K6" s="2" t="s">
        <v>69</v>
      </c>
      <c r="L6" s="2" t="s">
        <v>70</v>
      </c>
      <c r="M6" s="2" t="s">
        <v>73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53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</row>
    <row r="7" spans="1:45" x14ac:dyDescent="0.2">
      <c r="A7" t="s">
        <v>71</v>
      </c>
      <c r="B7" s="3">
        <f t="shared" si="0"/>
        <v>45839</v>
      </c>
      <c r="C7" t="s">
        <v>45</v>
      </c>
      <c r="D7" s="1">
        <v>1.4166666666666666E-2</v>
      </c>
      <c r="E7">
        <v>6</v>
      </c>
      <c r="F7" t="s">
        <v>67</v>
      </c>
      <c r="G7" t="s">
        <v>74</v>
      </c>
      <c r="H7" t="s">
        <v>48</v>
      </c>
      <c r="I7" s="2" t="s">
        <v>57</v>
      </c>
      <c r="J7" s="2" t="s">
        <v>69</v>
      </c>
      <c r="K7" s="2" t="s">
        <v>69</v>
      </c>
      <c r="L7" s="2" t="s">
        <v>75</v>
      </c>
      <c r="M7" s="2" t="s">
        <v>76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 t="s">
        <v>53</v>
      </c>
      <c r="AN7">
        <v>0</v>
      </c>
      <c r="AO7">
        <v>2</v>
      </c>
      <c r="AP7">
        <v>0</v>
      </c>
      <c r="AQ7">
        <v>2</v>
      </c>
      <c r="AR7">
        <v>0</v>
      </c>
      <c r="AS7">
        <v>0</v>
      </c>
    </row>
    <row r="8" spans="1:45" x14ac:dyDescent="0.2">
      <c r="A8" t="s">
        <v>77</v>
      </c>
      <c r="B8" s="3">
        <f t="shared" si="0"/>
        <v>45839</v>
      </c>
      <c r="C8" t="s">
        <v>78</v>
      </c>
      <c r="D8" s="1">
        <v>1.3900462962962963E-2</v>
      </c>
      <c r="E8">
        <v>6</v>
      </c>
      <c r="F8" t="s">
        <v>67</v>
      </c>
      <c r="G8" t="s">
        <v>62</v>
      </c>
      <c r="H8" t="s">
        <v>68</v>
      </c>
      <c r="I8" s="2" t="s">
        <v>59</v>
      </c>
      <c r="J8" s="2" t="s">
        <v>58</v>
      </c>
      <c r="K8" s="2" t="s">
        <v>59</v>
      </c>
      <c r="L8" s="2" t="s">
        <v>59</v>
      </c>
      <c r="M8" s="2" t="s">
        <v>76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 t="s">
        <v>53</v>
      </c>
      <c r="AN8">
        <v>0</v>
      </c>
      <c r="AO8">
        <v>2</v>
      </c>
      <c r="AP8">
        <v>0</v>
      </c>
      <c r="AQ8">
        <v>2</v>
      </c>
      <c r="AR8">
        <v>0</v>
      </c>
      <c r="AS8">
        <v>0</v>
      </c>
    </row>
    <row r="9" spans="1:45" x14ac:dyDescent="0.2">
      <c r="A9" t="s">
        <v>79</v>
      </c>
      <c r="B9" s="3">
        <f t="shared" si="0"/>
        <v>45839</v>
      </c>
      <c r="C9" t="s">
        <v>80</v>
      </c>
      <c r="D9" s="1">
        <v>1.5393518518518518E-2</v>
      </c>
      <c r="E9">
        <v>26</v>
      </c>
      <c r="F9" t="s">
        <v>72</v>
      </c>
      <c r="G9" t="s">
        <v>62</v>
      </c>
      <c r="H9" t="s">
        <v>48</v>
      </c>
      <c r="I9" s="2" t="s">
        <v>57</v>
      </c>
      <c r="J9" s="2" t="s">
        <v>69</v>
      </c>
      <c r="K9" s="2" t="s">
        <v>59</v>
      </c>
      <c r="L9" s="2" t="s">
        <v>81</v>
      </c>
      <c r="M9" s="2" t="s">
        <v>52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53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t="s">
        <v>82</v>
      </c>
      <c r="B10" s="3">
        <f t="shared" si="0"/>
        <v>45839</v>
      </c>
      <c r="C10" t="s">
        <v>45</v>
      </c>
      <c r="D10" s="1">
        <v>1.7928240740740741E-2</v>
      </c>
      <c r="E10">
        <v>20</v>
      </c>
      <c r="F10" t="s">
        <v>83</v>
      </c>
      <c r="G10" t="s">
        <v>56</v>
      </c>
      <c r="H10" t="s">
        <v>48</v>
      </c>
      <c r="I10" s="2" t="s">
        <v>63</v>
      </c>
      <c r="J10" s="2" t="s">
        <v>69</v>
      </c>
      <c r="K10" s="2" t="s">
        <v>84</v>
      </c>
      <c r="L10" s="2" t="s">
        <v>70</v>
      </c>
      <c r="M10" s="2" t="s">
        <v>73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53</v>
      </c>
      <c r="AN10">
        <v>1</v>
      </c>
      <c r="AO10">
        <v>2</v>
      </c>
      <c r="AP10">
        <v>1</v>
      </c>
      <c r="AQ10">
        <v>1</v>
      </c>
      <c r="AR10">
        <v>3</v>
      </c>
      <c r="AS10">
        <v>1</v>
      </c>
    </row>
    <row r="11" spans="1:45" x14ac:dyDescent="0.2">
      <c r="A11" t="s">
        <v>85</v>
      </c>
      <c r="B11" s="3">
        <f t="shared" si="0"/>
        <v>45901</v>
      </c>
      <c r="C11" t="s">
        <v>66</v>
      </c>
      <c r="D11" s="1">
        <v>6.8055555555555551E-3</v>
      </c>
      <c r="E11">
        <v>29</v>
      </c>
      <c r="F11" t="s">
        <v>86</v>
      </c>
      <c r="G11" t="s">
        <v>47</v>
      </c>
      <c r="H11" t="s">
        <v>48</v>
      </c>
      <c r="I11">
        <v>0</v>
      </c>
      <c r="J11">
        <v>0</v>
      </c>
      <c r="K11">
        <v>0</v>
      </c>
      <c r="L11" s="2" t="s">
        <v>81</v>
      </c>
      <c r="M11" s="2" t="s">
        <v>87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 t="s">
        <v>53</v>
      </c>
      <c r="AN11">
        <v>0</v>
      </c>
      <c r="AO11">
        <v>1</v>
      </c>
      <c r="AP11">
        <v>2</v>
      </c>
      <c r="AQ11">
        <v>0</v>
      </c>
      <c r="AR11">
        <v>0</v>
      </c>
      <c r="AS11">
        <v>0</v>
      </c>
    </row>
    <row r="12" spans="1:45" x14ac:dyDescent="0.2">
      <c r="A12" t="s">
        <v>88</v>
      </c>
      <c r="B12" s="3">
        <f t="shared" si="0"/>
        <v>45901</v>
      </c>
      <c r="C12" t="s">
        <v>80</v>
      </c>
      <c r="D12" s="1">
        <v>9.8958333333333329E-3</v>
      </c>
      <c r="E12">
        <v>31</v>
      </c>
      <c r="F12" t="s">
        <v>89</v>
      </c>
      <c r="G12" t="s">
        <v>56</v>
      </c>
      <c r="H12" t="s">
        <v>48</v>
      </c>
      <c r="I12" s="2" t="s">
        <v>57</v>
      </c>
      <c r="J12" s="2" t="s">
        <v>58</v>
      </c>
      <c r="K12" s="2" t="s">
        <v>59</v>
      </c>
      <c r="L12" s="2" t="s">
        <v>64</v>
      </c>
      <c r="M12" s="2" t="s">
        <v>52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53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</row>
    <row r="13" spans="1:45" x14ac:dyDescent="0.2">
      <c r="A13" t="s">
        <v>90</v>
      </c>
      <c r="B13" s="3">
        <f t="shared" si="0"/>
        <v>45901</v>
      </c>
      <c r="C13" t="s">
        <v>66</v>
      </c>
      <c r="D13" s="1">
        <v>1.3761574074074074E-2</v>
      </c>
      <c r="E13">
        <v>6</v>
      </c>
      <c r="F13" t="s">
        <v>67</v>
      </c>
      <c r="G13" t="s">
        <v>47</v>
      </c>
      <c r="H13" t="s">
        <v>48</v>
      </c>
      <c r="I13" s="2" t="s">
        <v>91</v>
      </c>
      <c r="J13" s="2" t="s">
        <v>58</v>
      </c>
      <c r="K13" s="2" t="s">
        <v>69</v>
      </c>
      <c r="L13" s="2" t="s">
        <v>64</v>
      </c>
      <c r="M13" s="2" t="s">
        <v>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  <c r="AM13" t="s">
        <v>53</v>
      </c>
      <c r="AN13">
        <v>0</v>
      </c>
      <c r="AO13">
        <v>2</v>
      </c>
      <c r="AP13">
        <v>0</v>
      </c>
      <c r="AQ13">
        <v>2</v>
      </c>
      <c r="AR13">
        <v>0</v>
      </c>
      <c r="AS13">
        <v>0</v>
      </c>
    </row>
    <row r="14" spans="1:45" x14ac:dyDescent="0.2">
      <c r="A14" t="s">
        <v>92</v>
      </c>
      <c r="B14" s="3">
        <f t="shared" si="0"/>
        <v>45901</v>
      </c>
      <c r="C14" t="s">
        <v>78</v>
      </c>
      <c r="D14" s="1">
        <v>1.136574074074074E-2</v>
      </c>
      <c r="E14">
        <v>31</v>
      </c>
      <c r="F14" t="s">
        <v>89</v>
      </c>
      <c r="G14" t="s">
        <v>62</v>
      </c>
      <c r="H14" t="s">
        <v>48</v>
      </c>
      <c r="I14" s="2" t="s">
        <v>91</v>
      </c>
      <c r="J14" s="2" t="s">
        <v>58</v>
      </c>
      <c r="K14" s="2" t="s">
        <v>59</v>
      </c>
      <c r="L14" s="2" t="s">
        <v>93</v>
      </c>
      <c r="M14" s="2" t="s">
        <v>73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53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</row>
    <row r="15" spans="1:45" x14ac:dyDescent="0.2">
      <c r="A15" t="s">
        <v>94</v>
      </c>
      <c r="B15" s="3">
        <f t="shared" si="0"/>
        <v>45901</v>
      </c>
      <c r="C15" t="s">
        <v>80</v>
      </c>
      <c r="D15" s="1">
        <v>1.1851851851851851E-2</v>
      </c>
      <c r="E15">
        <v>7</v>
      </c>
      <c r="F15" t="s">
        <v>95</v>
      </c>
      <c r="G15" t="s">
        <v>56</v>
      </c>
      <c r="H15" t="s">
        <v>48</v>
      </c>
      <c r="I15" s="2" t="s">
        <v>63</v>
      </c>
      <c r="J15" s="2" t="s">
        <v>58</v>
      </c>
      <c r="K15" s="2" t="s">
        <v>64</v>
      </c>
      <c r="L15" s="2" t="s">
        <v>81</v>
      </c>
      <c r="M15" s="2" t="s">
        <v>87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 t="s">
        <v>53</v>
      </c>
      <c r="AN15">
        <v>0</v>
      </c>
      <c r="AO15">
        <v>2</v>
      </c>
      <c r="AP15">
        <v>0</v>
      </c>
      <c r="AQ15">
        <v>1</v>
      </c>
      <c r="AR15">
        <v>0</v>
      </c>
      <c r="AS15">
        <v>0</v>
      </c>
    </row>
    <row r="16" spans="1:45" x14ac:dyDescent="0.2">
      <c r="A16" t="s">
        <v>96</v>
      </c>
      <c r="B16" s="3">
        <f t="shared" si="0"/>
        <v>45901</v>
      </c>
      <c r="C16" t="s">
        <v>66</v>
      </c>
      <c r="D16" s="1">
        <v>1.3020833333333334E-2</v>
      </c>
      <c r="E16">
        <v>31</v>
      </c>
      <c r="F16" t="s">
        <v>89</v>
      </c>
      <c r="G16" t="s">
        <v>47</v>
      </c>
      <c r="H16" t="s">
        <v>48</v>
      </c>
      <c r="I16" s="2" t="s">
        <v>58</v>
      </c>
      <c r="J16" s="2" t="s">
        <v>58</v>
      </c>
      <c r="K16" s="2" t="s">
        <v>59</v>
      </c>
      <c r="L16" s="2" t="s">
        <v>97</v>
      </c>
      <c r="M16" s="2" t="s">
        <v>98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53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</row>
    <row r="17" spans="1:45" x14ac:dyDescent="0.2">
      <c r="A17" t="s">
        <v>99</v>
      </c>
      <c r="B17" s="3">
        <f t="shared" si="0"/>
        <v>45901</v>
      </c>
      <c r="C17" t="s">
        <v>78</v>
      </c>
      <c r="D17" s="1">
        <v>1.3761574074074074E-2</v>
      </c>
      <c r="E17">
        <v>7</v>
      </c>
      <c r="F17" t="s">
        <v>95</v>
      </c>
      <c r="G17" t="s">
        <v>62</v>
      </c>
      <c r="H17" t="s">
        <v>48</v>
      </c>
      <c r="I17" s="2" t="s">
        <v>63</v>
      </c>
      <c r="J17" s="2" t="s">
        <v>69</v>
      </c>
      <c r="K17" s="2" t="s">
        <v>64</v>
      </c>
      <c r="L17" s="2" t="s">
        <v>100</v>
      </c>
      <c r="M17" s="2" t="s">
        <v>52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 t="s">
        <v>53</v>
      </c>
      <c r="AN17">
        <v>0</v>
      </c>
      <c r="AO17">
        <v>2</v>
      </c>
      <c r="AP17">
        <v>0</v>
      </c>
      <c r="AQ17">
        <v>1</v>
      </c>
      <c r="AR17">
        <v>0</v>
      </c>
      <c r="AS17">
        <v>0</v>
      </c>
    </row>
    <row r="18" spans="1:45" x14ac:dyDescent="0.2">
      <c r="A18" t="s">
        <v>101</v>
      </c>
      <c r="B18" s="3">
        <f t="shared" si="0"/>
        <v>45931</v>
      </c>
      <c r="C18" t="s">
        <v>78</v>
      </c>
      <c r="D18" s="1">
        <v>1.3344907407407408E-2</v>
      </c>
      <c r="E18">
        <v>32</v>
      </c>
      <c r="F18" t="s">
        <v>102</v>
      </c>
      <c r="G18" t="s">
        <v>62</v>
      </c>
      <c r="H18" t="s">
        <v>48</v>
      </c>
      <c r="I18" s="2" t="s">
        <v>59</v>
      </c>
      <c r="J18" s="2" t="s">
        <v>58</v>
      </c>
      <c r="K18" s="2" t="s">
        <v>59</v>
      </c>
      <c r="L18" s="2" t="s">
        <v>93</v>
      </c>
      <c r="M18" s="2" t="s">
        <v>103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53</v>
      </c>
      <c r="AN18">
        <v>0</v>
      </c>
      <c r="AO18">
        <v>2</v>
      </c>
      <c r="AP18">
        <v>0</v>
      </c>
      <c r="AQ18">
        <v>0</v>
      </c>
      <c r="AR18">
        <v>0</v>
      </c>
      <c r="AS18">
        <v>0</v>
      </c>
    </row>
    <row r="19" spans="1:45" x14ac:dyDescent="0.2">
      <c r="A19" t="s">
        <v>104</v>
      </c>
      <c r="B19" s="3">
        <f t="shared" si="0"/>
        <v>45931</v>
      </c>
      <c r="C19" t="s">
        <v>66</v>
      </c>
      <c r="D19" s="1">
        <v>1.0520833333333333E-2</v>
      </c>
      <c r="E19">
        <v>7</v>
      </c>
      <c r="F19" t="s">
        <v>95</v>
      </c>
      <c r="G19" t="s">
        <v>47</v>
      </c>
      <c r="H19" t="s">
        <v>48</v>
      </c>
      <c r="I19" s="2" t="s">
        <v>63</v>
      </c>
      <c r="J19" s="2" t="s">
        <v>58</v>
      </c>
      <c r="K19" s="2" t="s">
        <v>64</v>
      </c>
      <c r="L19" s="2" t="s">
        <v>70</v>
      </c>
      <c r="M19" s="2" t="s">
        <v>61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 t="s">
        <v>53</v>
      </c>
      <c r="AN19">
        <v>0</v>
      </c>
      <c r="AO19">
        <v>2</v>
      </c>
      <c r="AP19">
        <v>0</v>
      </c>
      <c r="AQ19">
        <v>1</v>
      </c>
      <c r="AR19">
        <v>0</v>
      </c>
      <c r="AS19">
        <v>0</v>
      </c>
    </row>
    <row r="20" spans="1:45" x14ac:dyDescent="0.2">
      <c r="A20" t="s">
        <v>105</v>
      </c>
      <c r="B20" s="3">
        <f t="shared" si="0"/>
        <v>45931</v>
      </c>
      <c r="C20" t="s">
        <v>78</v>
      </c>
      <c r="D20" s="1">
        <v>1.5752314814814816E-2</v>
      </c>
      <c r="E20">
        <v>14</v>
      </c>
      <c r="F20" t="s">
        <v>106</v>
      </c>
      <c r="G20" t="s">
        <v>62</v>
      </c>
      <c r="H20" t="s">
        <v>48</v>
      </c>
      <c r="I20" s="2" t="s">
        <v>57</v>
      </c>
      <c r="J20" s="2" t="s">
        <v>58</v>
      </c>
      <c r="K20" s="2" t="s">
        <v>59</v>
      </c>
      <c r="L20" s="2" t="s">
        <v>60</v>
      </c>
      <c r="M20" s="2" t="s">
        <v>61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53</v>
      </c>
      <c r="AN20">
        <v>1</v>
      </c>
      <c r="AO20">
        <v>2</v>
      </c>
      <c r="AP20">
        <v>1</v>
      </c>
      <c r="AQ20">
        <v>1</v>
      </c>
      <c r="AR20">
        <v>2</v>
      </c>
      <c r="AS20">
        <v>1</v>
      </c>
    </row>
    <row r="21" spans="1:45" x14ac:dyDescent="0.2">
      <c r="A21" t="s">
        <v>107</v>
      </c>
      <c r="B21" s="3">
        <f t="shared" si="0"/>
        <v>45931</v>
      </c>
      <c r="C21" t="s">
        <v>66</v>
      </c>
      <c r="D21" s="1">
        <v>1.6331018518518519E-2</v>
      </c>
      <c r="E21">
        <v>14</v>
      </c>
      <c r="F21" t="s">
        <v>106</v>
      </c>
      <c r="G21" t="s">
        <v>47</v>
      </c>
      <c r="H21" t="s">
        <v>48</v>
      </c>
      <c r="I21" s="2" t="s">
        <v>108</v>
      </c>
      <c r="J21" s="2" t="s">
        <v>58</v>
      </c>
      <c r="K21" s="2" t="s">
        <v>59</v>
      </c>
      <c r="L21" s="2" t="s">
        <v>97</v>
      </c>
      <c r="M21" s="2" t="s">
        <v>109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53</v>
      </c>
      <c r="AN21">
        <v>1</v>
      </c>
      <c r="AO21">
        <v>2</v>
      </c>
      <c r="AP21">
        <v>1</v>
      </c>
      <c r="AQ21">
        <v>1</v>
      </c>
      <c r="AR21">
        <v>2</v>
      </c>
      <c r="AS21">
        <v>1</v>
      </c>
    </row>
    <row r="22" spans="1:45" x14ac:dyDescent="0.2">
      <c r="A22" t="s">
        <v>107</v>
      </c>
      <c r="B22" s="3">
        <f t="shared" si="0"/>
        <v>45931</v>
      </c>
      <c r="C22" t="s">
        <v>66</v>
      </c>
      <c r="D22" s="1">
        <v>1.5625E-2</v>
      </c>
      <c r="E22">
        <v>14</v>
      </c>
      <c r="F22" t="s">
        <v>106</v>
      </c>
      <c r="G22" t="s">
        <v>56</v>
      </c>
      <c r="H22" t="s">
        <v>48</v>
      </c>
      <c r="I22" s="2" t="s">
        <v>57</v>
      </c>
      <c r="J22" s="2" t="s">
        <v>69</v>
      </c>
      <c r="K22" s="2" t="s">
        <v>64</v>
      </c>
      <c r="L22" s="2" t="s">
        <v>60</v>
      </c>
      <c r="M22" s="2" t="s">
        <v>61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53</v>
      </c>
      <c r="AN22">
        <v>1</v>
      </c>
      <c r="AO22">
        <v>2</v>
      </c>
      <c r="AP22">
        <v>1</v>
      </c>
      <c r="AQ22">
        <v>1</v>
      </c>
      <c r="AR22">
        <v>2</v>
      </c>
      <c r="AS22">
        <v>1</v>
      </c>
    </row>
    <row r="23" spans="1:45" x14ac:dyDescent="0.2">
      <c r="A23" t="s">
        <v>110</v>
      </c>
      <c r="B23" s="3">
        <f t="shared" si="0"/>
        <v>45931</v>
      </c>
      <c r="C23" t="s">
        <v>80</v>
      </c>
      <c r="D23" s="1">
        <v>2.3587962962962963E-2</v>
      </c>
      <c r="E23">
        <v>30</v>
      </c>
      <c r="F23" t="s">
        <v>111</v>
      </c>
      <c r="G23" t="s">
        <v>56</v>
      </c>
      <c r="H23" t="s">
        <v>48</v>
      </c>
      <c r="I23" s="2" t="s">
        <v>57</v>
      </c>
      <c r="J23" s="2" t="s">
        <v>58</v>
      </c>
      <c r="K23" s="2" t="s">
        <v>69</v>
      </c>
      <c r="L23" s="2" t="s">
        <v>93</v>
      </c>
      <c r="M23" s="2" t="s">
        <v>98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53</v>
      </c>
      <c r="AN23">
        <v>1</v>
      </c>
      <c r="AO23">
        <v>2</v>
      </c>
      <c r="AP23">
        <v>2</v>
      </c>
      <c r="AQ23">
        <v>2</v>
      </c>
      <c r="AR23">
        <v>2</v>
      </c>
      <c r="AS23">
        <v>0</v>
      </c>
    </row>
    <row r="24" spans="1:45" x14ac:dyDescent="0.2">
      <c r="A24" t="s">
        <v>112</v>
      </c>
      <c r="B24" s="3">
        <f t="shared" si="0"/>
        <v>45931</v>
      </c>
      <c r="C24" t="s">
        <v>45</v>
      </c>
      <c r="D24" s="1">
        <v>2.6261574074074073E-2</v>
      </c>
      <c r="E24">
        <v>30</v>
      </c>
      <c r="F24" t="s">
        <v>111</v>
      </c>
      <c r="G24" t="s">
        <v>62</v>
      </c>
      <c r="H24" t="s">
        <v>48</v>
      </c>
      <c r="I24" s="2" t="s">
        <v>113</v>
      </c>
      <c r="J24" s="2" t="s">
        <v>58</v>
      </c>
      <c r="K24" s="2" t="s">
        <v>69</v>
      </c>
      <c r="L24" s="2" t="s">
        <v>64</v>
      </c>
      <c r="M24" s="2" t="s">
        <v>76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53</v>
      </c>
      <c r="AN24">
        <v>1</v>
      </c>
      <c r="AO24">
        <v>2</v>
      </c>
      <c r="AP24">
        <v>2</v>
      </c>
      <c r="AQ24">
        <v>2</v>
      </c>
      <c r="AR24">
        <v>2</v>
      </c>
      <c r="AS24">
        <v>0</v>
      </c>
    </row>
    <row r="25" spans="1:45" x14ac:dyDescent="0.2">
      <c r="A25" t="s">
        <v>114</v>
      </c>
      <c r="B25" s="3">
        <f t="shared" si="0"/>
        <v>45931</v>
      </c>
      <c r="C25" t="s">
        <v>66</v>
      </c>
      <c r="D25" s="1">
        <v>2.179398148148148E-2</v>
      </c>
      <c r="E25">
        <v>30</v>
      </c>
      <c r="F25" t="s">
        <v>111</v>
      </c>
      <c r="G25" t="s">
        <v>47</v>
      </c>
      <c r="H25" t="s">
        <v>48</v>
      </c>
      <c r="I25" s="2" t="s">
        <v>57</v>
      </c>
      <c r="J25" s="2" t="s">
        <v>69</v>
      </c>
      <c r="K25" s="2" t="s">
        <v>59</v>
      </c>
      <c r="L25" s="2" t="s">
        <v>75</v>
      </c>
      <c r="M25" s="2" t="s">
        <v>76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53</v>
      </c>
      <c r="AN25">
        <v>1</v>
      </c>
      <c r="AO25">
        <v>2</v>
      </c>
      <c r="AP25">
        <v>2</v>
      </c>
      <c r="AQ25">
        <v>2</v>
      </c>
      <c r="AR25">
        <v>2</v>
      </c>
      <c r="AS25">
        <v>0</v>
      </c>
    </row>
    <row r="26" spans="1:45" x14ac:dyDescent="0.2">
      <c r="A26" t="s">
        <v>115</v>
      </c>
      <c r="B26" s="3">
        <f t="shared" si="0"/>
        <v>45962</v>
      </c>
      <c r="C26" t="s">
        <v>78</v>
      </c>
      <c r="D26" s="1">
        <v>1.3275462962962963E-2</v>
      </c>
      <c r="E26">
        <v>16</v>
      </c>
      <c r="F26" t="s">
        <v>116</v>
      </c>
      <c r="G26" t="s">
        <v>62</v>
      </c>
      <c r="H26" t="s">
        <v>48</v>
      </c>
      <c r="I26" s="2" t="s">
        <v>113</v>
      </c>
      <c r="J26" s="2" t="s">
        <v>58</v>
      </c>
      <c r="K26" s="2" t="s">
        <v>84</v>
      </c>
      <c r="L26" s="2" t="s">
        <v>59</v>
      </c>
      <c r="M26" s="2" t="s">
        <v>103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53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0</v>
      </c>
    </row>
    <row r="27" spans="1:45" x14ac:dyDescent="0.2">
      <c r="A27" t="s">
        <v>117</v>
      </c>
      <c r="B27" s="3">
        <f t="shared" si="0"/>
        <v>45962</v>
      </c>
      <c r="C27" t="s">
        <v>80</v>
      </c>
      <c r="D27" s="1">
        <v>1.255787037037037E-2</v>
      </c>
      <c r="E27">
        <v>4</v>
      </c>
      <c r="F27" t="s">
        <v>118</v>
      </c>
      <c r="G27" t="s">
        <v>56</v>
      </c>
      <c r="H27" t="s">
        <v>48</v>
      </c>
      <c r="I27" s="2" t="s">
        <v>57</v>
      </c>
      <c r="J27" s="2" t="s">
        <v>58</v>
      </c>
      <c r="K27" s="2" t="s">
        <v>59</v>
      </c>
      <c r="L27" s="2" t="s">
        <v>60</v>
      </c>
      <c r="M27" s="2" t="s">
        <v>73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53</v>
      </c>
      <c r="AN27">
        <v>1</v>
      </c>
      <c r="AO27">
        <v>4</v>
      </c>
      <c r="AP27">
        <v>1</v>
      </c>
      <c r="AQ27">
        <v>1</v>
      </c>
      <c r="AR27">
        <v>1</v>
      </c>
      <c r="AS27">
        <v>1</v>
      </c>
    </row>
    <row r="28" spans="1:45" x14ac:dyDescent="0.2">
      <c r="A28" t="s">
        <v>119</v>
      </c>
      <c r="B28" s="3">
        <f t="shared" si="0"/>
        <v>45962</v>
      </c>
      <c r="C28" t="s">
        <v>78</v>
      </c>
      <c r="D28" s="1">
        <v>1.5428240740740741E-2</v>
      </c>
      <c r="E28">
        <v>20</v>
      </c>
      <c r="F28" t="s">
        <v>83</v>
      </c>
      <c r="G28" t="s">
        <v>62</v>
      </c>
      <c r="H28" t="s">
        <v>48</v>
      </c>
      <c r="I28" s="2" t="s">
        <v>63</v>
      </c>
      <c r="J28" s="2" t="s">
        <v>58</v>
      </c>
      <c r="K28" s="2" t="s">
        <v>59</v>
      </c>
      <c r="L28" s="2" t="s">
        <v>70</v>
      </c>
      <c r="M28" s="2" t="s">
        <v>87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53</v>
      </c>
      <c r="AN28">
        <v>1</v>
      </c>
      <c r="AO28">
        <v>2</v>
      </c>
      <c r="AP28">
        <v>1</v>
      </c>
      <c r="AQ28">
        <v>1</v>
      </c>
      <c r="AR28">
        <v>3</v>
      </c>
      <c r="AS28">
        <v>1</v>
      </c>
    </row>
    <row r="29" spans="1:45" x14ac:dyDescent="0.2">
      <c r="A29" t="s">
        <v>120</v>
      </c>
      <c r="B29" s="3">
        <f t="shared" si="0"/>
        <v>45962</v>
      </c>
      <c r="C29" t="s">
        <v>80</v>
      </c>
      <c r="D29" s="1">
        <v>1.4594907407407407E-2</v>
      </c>
      <c r="E29">
        <v>20</v>
      </c>
      <c r="F29" t="s">
        <v>83</v>
      </c>
      <c r="G29" t="s">
        <v>47</v>
      </c>
      <c r="H29" t="s">
        <v>48</v>
      </c>
      <c r="I29" s="2" t="s">
        <v>64</v>
      </c>
      <c r="J29" s="2" t="s">
        <v>58</v>
      </c>
      <c r="K29" s="2" t="s">
        <v>59</v>
      </c>
      <c r="L29" s="2" t="s">
        <v>81</v>
      </c>
      <c r="M29" s="2" t="s">
        <v>52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53</v>
      </c>
      <c r="AN29">
        <v>1</v>
      </c>
      <c r="AO29">
        <v>2</v>
      </c>
      <c r="AP29">
        <v>1</v>
      </c>
      <c r="AQ29">
        <v>1</v>
      </c>
      <c r="AR29">
        <v>3</v>
      </c>
      <c r="AS29">
        <v>1</v>
      </c>
    </row>
    <row r="30" spans="1:45" x14ac:dyDescent="0.2">
      <c r="A30" t="s">
        <v>121</v>
      </c>
      <c r="B30" s="3">
        <f t="shared" si="0"/>
        <v>45992</v>
      </c>
      <c r="C30" t="s">
        <v>66</v>
      </c>
      <c r="D30" s="1">
        <v>1.3912037037037037E-2</v>
      </c>
      <c r="E30">
        <v>16</v>
      </c>
      <c r="F30" t="s">
        <v>116</v>
      </c>
      <c r="G30" t="s">
        <v>47</v>
      </c>
      <c r="H30" t="s">
        <v>68</v>
      </c>
      <c r="I30" s="2" t="s">
        <v>113</v>
      </c>
      <c r="J30" s="2" t="s">
        <v>69</v>
      </c>
      <c r="K30" s="2" t="s">
        <v>59</v>
      </c>
      <c r="L30" s="2" t="s">
        <v>59</v>
      </c>
      <c r="M30" s="2" t="s">
        <v>98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53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</row>
    <row r="31" spans="1:45" x14ac:dyDescent="0.2">
      <c r="A31" t="s">
        <v>122</v>
      </c>
      <c r="B31" s="3">
        <f t="shared" si="0"/>
        <v>45992</v>
      </c>
      <c r="C31" t="s">
        <v>78</v>
      </c>
      <c r="D31" s="1">
        <v>1.0335648148148148E-2</v>
      </c>
      <c r="E31">
        <v>4</v>
      </c>
      <c r="F31" t="s">
        <v>118</v>
      </c>
      <c r="G31" t="s">
        <v>62</v>
      </c>
      <c r="H31" t="s">
        <v>48</v>
      </c>
      <c r="I31" s="2" t="s">
        <v>63</v>
      </c>
      <c r="J31" s="2" t="s">
        <v>58</v>
      </c>
      <c r="K31" s="2" t="s">
        <v>84</v>
      </c>
      <c r="L31" s="2" t="s">
        <v>75</v>
      </c>
      <c r="M31" s="2" t="s">
        <v>76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53</v>
      </c>
      <c r="AN31">
        <v>1</v>
      </c>
      <c r="AO31">
        <v>4</v>
      </c>
      <c r="AP31">
        <v>1</v>
      </c>
      <c r="AQ31">
        <v>1</v>
      </c>
      <c r="AR31">
        <v>1</v>
      </c>
      <c r="AS31">
        <v>1</v>
      </c>
    </row>
    <row r="32" spans="1:45" x14ac:dyDescent="0.2">
      <c r="A32" t="s">
        <v>123</v>
      </c>
      <c r="B32" s="3">
        <f t="shared" si="0"/>
        <v>45992</v>
      </c>
      <c r="C32" t="s">
        <v>78</v>
      </c>
      <c r="D32" s="1">
        <v>1.3900462962962963E-2</v>
      </c>
      <c r="E32">
        <v>4</v>
      </c>
      <c r="F32" t="s">
        <v>118</v>
      </c>
      <c r="G32" t="s">
        <v>47</v>
      </c>
      <c r="H32" t="s">
        <v>68</v>
      </c>
      <c r="I32" s="2" t="s">
        <v>113</v>
      </c>
      <c r="J32" s="2" t="s">
        <v>69</v>
      </c>
      <c r="K32" s="2" t="s">
        <v>59</v>
      </c>
      <c r="L32" s="2" t="s">
        <v>59</v>
      </c>
      <c r="M32" s="2" t="s">
        <v>98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53</v>
      </c>
      <c r="AN32">
        <v>1</v>
      </c>
      <c r="AO32">
        <v>4</v>
      </c>
      <c r="AP32">
        <v>1</v>
      </c>
      <c r="AQ32">
        <v>1</v>
      </c>
      <c r="AR32">
        <v>1</v>
      </c>
      <c r="AS32">
        <v>1</v>
      </c>
    </row>
    <row r="33" spans="1:45" x14ac:dyDescent="0.2">
      <c r="A33" t="s">
        <v>124</v>
      </c>
      <c r="B33" s="3">
        <f t="shared" si="0"/>
        <v>45992</v>
      </c>
      <c r="C33" t="s">
        <v>80</v>
      </c>
      <c r="D33" s="1">
        <v>1.3912037037037037E-2</v>
      </c>
      <c r="E33">
        <v>16</v>
      </c>
      <c r="F33" t="s">
        <v>116</v>
      </c>
      <c r="G33" t="s">
        <v>56</v>
      </c>
      <c r="H33" t="s">
        <v>68</v>
      </c>
      <c r="I33" s="2" t="s">
        <v>59</v>
      </c>
      <c r="J33" s="2" t="s">
        <v>69</v>
      </c>
      <c r="K33" s="2" t="s">
        <v>69</v>
      </c>
      <c r="L33" s="2" t="s">
        <v>64</v>
      </c>
      <c r="M33" s="2" t="s">
        <v>87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53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0</v>
      </c>
    </row>
    <row r="34" spans="1:45" x14ac:dyDescent="0.2">
      <c r="A34" t="s">
        <v>125</v>
      </c>
      <c r="B34" s="3">
        <f t="shared" si="0"/>
        <v>46023</v>
      </c>
      <c r="C34" t="s">
        <v>66</v>
      </c>
      <c r="D34" s="1">
        <v>1.3159722222222222E-2</v>
      </c>
      <c r="E34">
        <v>8</v>
      </c>
      <c r="F34" t="s">
        <v>126</v>
      </c>
      <c r="G34" t="s">
        <v>47</v>
      </c>
      <c r="H34" t="s">
        <v>48</v>
      </c>
      <c r="I34" s="2" t="s">
        <v>59</v>
      </c>
      <c r="J34" s="2" t="s">
        <v>58</v>
      </c>
      <c r="K34" s="2" t="s">
        <v>59</v>
      </c>
      <c r="L34" s="2" t="s">
        <v>64</v>
      </c>
      <c r="M34" s="2" t="s">
        <v>73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 t="s">
        <v>53</v>
      </c>
      <c r="AN34">
        <v>0</v>
      </c>
      <c r="AO34">
        <v>1</v>
      </c>
      <c r="AP34">
        <v>2</v>
      </c>
      <c r="AQ34">
        <v>0</v>
      </c>
      <c r="AR34">
        <v>0</v>
      </c>
      <c r="AS34">
        <v>1</v>
      </c>
    </row>
    <row r="35" spans="1:45" x14ac:dyDescent="0.2">
      <c r="A35" t="s">
        <v>127</v>
      </c>
      <c r="B35" s="3">
        <f t="shared" si="0"/>
        <v>46054</v>
      </c>
      <c r="C35" t="s">
        <v>78</v>
      </c>
      <c r="D35" s="1">
        <v>1.7384259259259259E-2</v>
      </c>
      <c r="E35">
        <v>8</v>
      </c>
      <c r="F35" t="s">
        <v>126</v>
      </c>
      <c r="G35" t="s">
        <v>62</v>
      </c>
      <c r="H35" t="s">
        <v>68</v>
      </c>
      <c r="I35" s="2" t="s">
        <v>57</v>
      </c>
      <c r="J35" s="2" t="s">
        <v>69</v>
      </c>
      <c r="K35" s="2" t="s">
        <v>69</v>
      </c>
      <c r="L35" s="2" t="s">
        <v>75</v>
      </c>
      <c r="M35" s="2" t="s">
        <v>73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 t="s">
        <v>53</v>
      </c>
      <c r="AN35">
        <v>0</v>
      </c>
      <c r="AO35">
        <v>1</v>
      </c>
      <c r="AP35">
        <v>2</v>
      </c>
      <c r="AQ35">
        <v>0</v>
      </c>
      <c r="AR35">
        <v>0</v>
      </c>
      <c r="AS35">
        <v>1</v>
      </c>
    </row>
    <row r="36" spans="1:45" x14ac:dyDescent="0.2">
      <c r="A36" t="s">
        <v>128</v>
      </c>
      <c r="B36" s="3">
        <f t="shared" si="0"/>
        <v>46054</v>
      </c>
      <c r="C36" t="s">
        <v>129</v>
      </c>
      <c r="D36" s="1">
        <v>1.681712962962963E-2</v>
      </c>
      <c r="E36">
        <v>8</v>
      </c>
      <c r="F36" t="s">
        <v>126</v>
      </c>
      <c r="G36" t="s">
        <v>56</v>
      </c>
      <c r="H36" t="s">
        <v>48</v>
      </c>
      <c r="I36" s="2" t="s">
        <v>63</v>
      </c>
      <c r="J36" s="2" t="s">
        <v>58</v>
      </c>
      <c r="K36" s="2" t="s">
        <v>69</v>
      </c>
      <c r="L36" s="2" t="s">
        <v>93</v>
      </c>
      <c r="M36" s="2" t="s">
        <v>73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 t="s">
        <v>53</v>
      </c>
      <c r="AN36">
        <v>0</v>
      </c>
      <c r="AO36">
        <v>1</v>
      </c>
      <c r="AP36">
        <v>2</v>
      </c>
      <c r="AQ36">
        <v>0</v>
      </c>
      <c r="AR36">
        <v>0</v>
      </c>
      <c r="AS36">
        <v>1</v>
      </c>
    </row>
    <row r="37" spans="1:45" x14ac:dyDescent="0.2">
      <c r="A37" t="s">
        <v>130</v>
      </c>
      <c r="B37" s="3">
        <f t="shared" si="0"/>
        <v>46054</v>
      </c>
      <c r="C37" t="s">
        <v>66</v>
      </c>
      <c r="D37" s="1">
        <v>1.7407407407407406E-2</v>
      </c>
      <c r="E37">
        <v>18</v>
      </c>
      <c r="F37" t="s">
        <v>131</v>
      </c>
      <c r="G37" t="s">
        <v>47</v>
      </c>
      <c r="H37" t="s">
        <v>48</v>
      </c>
      <c r="I37" s="2" t="s">
        <v>113</v>
      </c>
      <c r="J37" s="2" t="s">
        <v>58</v>
      </c>
      <c r="K37" s="2" t="s">
        <v>59</v>
      </c>
      <c r="L37" s="2" t="s">
        <v>75</v>
      </c>
      <c r="M37" s="2" t="s">
        <v>73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 t="s">
        <v>53</v>
      </c>
      <c r="AN37">
        <v>0</v>
      </c>
      <c r="AO37">
        <v>3</v>
      </c>
      <c r="AP37">
        <v>1</v>
      </c>
      <c r="AQ37">
        <v>0</v>
      </c>
      <c r="AR37">
        <v>1</v>
      </c>
      <c r="AS37">
        <v>1</v>
      </c>
    </row>
    <row r="38" spans="1:45" x14ac:dyDescent="0.2">
      <c r="A38" t="s">
        <v>132</v>
      </c>
      <c r="B38" s="3">
        <f t="shared" si="0"/>
        <v>46082</v>
      </c>
      <c r="C38" t="s">
        <v>80</v>
      </c>
      <c r="D38" s="1">
        <v>1.3101851851851852E-2</v>
      </c>
      <c r="E38">
        <v>18</v>
      </c>
      <c r="F38" t="s">
        <v>131</v>
      </c>
      <c r="G38" t="s">
        <v>56</v>
      </c>
      <c r="H38" t="s">
        <v>48</v>
      </c>
      <c r="I38" s="2" t="s">
        <v>57</v>
      </c>
      <c r="J38" s="2" t="s">
        <v>69</v>
      </c>
      <c r="K38" s="2" t="s">
        <v>59</v>
      </c>
      <c r="L38" s="2" t="s">
        <v>70</v>
      </c>
      <c r="M38" s="2" t="s">
        <v>73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 t="s">
        <v>53</v>
      </c>
      <c r="AN38">
        <v>0</v>
      </c>
      <c r="AO38">
        <v>3</v>
      </c>
      <c r="AP38">
        <v>1</v>
      </c>
      <c r="AQ38">
        <v>0</v>
      </c>
      <c r="AR38">
        <v>1</v>
      </c>
      <c r="AS38">
        <v>1</v>
      </c>
    </row>
    <row r="39" spans="1:45" x14ac:dyDescent="0.2">
      <c r="A39" t="s">
        <v>133</v>
      </c>
      <c r="B39" s="3">
        <f t="shared" si="0"/>
        <v>46082</v>
      </c>
      <c r="C39" t="s">
        <v>45</v>
      </c>
      <c r="D39" s="1">
        <v>1.5810185185185184E-2</v>
      </c>
      <c r="E39">
        <v>18</v>
      </c>
      <c r="F39" t="s">
        <v>131</v>
      </c>
      <c r="G39" t="s">
        <v>62</v>
      </c>
      <c r="H39" t="s">
        <v>48</v>
      </c>
      <c r="I39" s="2" t="s">
        <v>63</v>
      </c>
      <c r="J39" s="2" t="s">
        <v>58</v>
      </c>
      <c r="K39" s="2" t="s">
        <v>59</v>
      </c>
      <c r="L39" s="2" t="s">
        <v>93</v>
      </c>
      <c r="M39" s="2" t="s">
        <v>76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 t="s">
        <v>53</v>
      </c>
      <c r="AN39">
        <v>0</v>
      </c>
      <c r="AO39">
        <v>3</v>
      </c>
      <c r="AP39">
        <v>1</v>
      </c>
      <c r="AQ39">
        <v>0</v>
      </c>
      <c r="AR39">
        <v>1</v>
      </c>
      <c r="AS39">
        <v>1</v>
      </c>
    </row>
    <row r="40" spans="1:45" x14ac:dyDescent="0.2">
      <c r="A40" t="s">
        <v>134</v>
      </c>
      <c r="B40" s="3">
        <f t="shared" si="0"/>
        <v>46113</v>
      </c>
      <c r="C40" t="s">
        <v>45</v>
      </c>
      <c r="D40" s="1">
        <v>1.3912037037037037E-2</v>
      </c>
      <c r="E40">
        <v>3</v>
      </c>
      <c r="F40" t="s">
        <v>55</v>
      </c>
      <c r="G40" t="s">
        <v>135</v>
      </c>
      <c r="H40" t="s">
        <v>68</v>
      </c>
      <c r="I40" s="2" t="s">
        <v>57</v>
      </c>
      <c r="J40" s="2" t="s">
        <v>69</v>
      </c>
      <c r="K40" s="2" t="s">
        <v>50</v>
      </c>
      <c r="L40" s="2" t="s">
        <v>81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 t="s">
        <v>53</v>
      </c>
      <c r="AN40">
        <v>0</v>
      </c>
      <c r="AO40">
        <v>1</v>
      </c>
      <c r="AP40">
        <v>2</v>
      </c>
      <c r="AQ40">
        <v>0</v>
      </c>
      <c r="AR40">
        <v>0</v>
      </c>
      <c r="AS40">
        <v>0</v>
      </c>
    </row>
    <row r="41" spans="1:45" x14ac:dyDescent="0.2">
      <c r="A41" t="s">
        <v>136</v>
      </c>
      <c r="B41" s="3">
        <f t="shared" si="0"/>
        <v>46113</v>
      </c>
      <c r="C41" t="s">
        <v>45</v>
      </c>
      <c r="D41" s="1">
        <v>1.3773148148148149E-2</v>
      </c>
      <c r="E41">
        <v>5</v>
      </c>
      <c r="F41" t="s">
        <v>137</v>
      </c>
      <c r="G41" t="s">
        <v>135</v>
      </c>
      <c r="H41" t="s">
        <v>48</v>
      </c>
      <c r="I41" s="2" t="s">
        <v>63</v>
      </c>
      <c r="J41" s="2" t="s">
        <v>69</v>
      </c>
      <c r="K41" s="2" t="s">
        <v>64</v>
      </c>
      <c r="L41" s="2" t="s">
        <v>60</v>
      </c>
      <c r="M41" s="2" t="s">
        <v>87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53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csv_for_dragging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2026-04-12T13:43:54Z</dcterms:created>
  <dcterms:modified xsi:type="dcterms:W3CDTF">2026-04-12T13:43:54Z</dcterms:modified>
</cp:coreProperties>
</file>