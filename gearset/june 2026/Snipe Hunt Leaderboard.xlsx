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u/dev/uptimereadouts/gearset/june 2026/"/>
    </mc:Choice>
  </mc:AlternateContent>
  <xr:revisionPtr revIDLastSave="0" documentId="8_{E254FBE4-9120-944D-AD35-E47CAFAA9124}" xr6:coauthVersionLast="47" xr6:coauthVersionMax="47" xr10:uidLastSave="{00000000-0000-0000-0000-000000000000}"/>
  <bookViews>
    <workbookView xWindow="7540" yWindow="4140" windowWidth="27520" windowHeight="23720" firstSheet="1" activeTab="1" xr2:uid="{00000000-000D-0000-FFFF-FFFF00000000}"/>
  </bookViews>
  <sheets>
    <sheet name="DURATIONS_202605221527" sheetId="3" r:id="rId1"/>
    <sheet name="Composite Scores" sheetId="1" r:id="rId2"/>
    <sheet name="Snipe Hunt Time" sheetId="2" r:id="rId3"/>
    <sheet name="Snipe Hunt Time copy (jun5)" sheetId="6" r:id="rId4"/>
    <sheet name="Sheet1" sheetId="4" r:id="rId5"/>
  </sheets>
  <definedNames>
    <definedName name="_xlnm._FilterDatabase" localSheetId="1" hidden="1">'Composite Scores'!$A$1:$A$129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6" i="1" l="1"/>
  <c r="F143" i="1"/>
  <c r="F4" i="1"/>
  <c r="F87" i="1"/>
  <c r="F9" i="1"/>
  <c r="F52" i="1"/>
  <c r="F142" i="1"/>
  <c r="F158" i="1"/>
  <c r="F103" i="1"/>
  <c r="F98" i="1"/>
  <c r="F2" i="1"/>
  <c r="F139" i="1"/>
  <c r="F46" i="1"/>
  <c r="F105" i="1"/>
  <c r="F82" i="1"/>
  <c r="F56" i="1"/>
  <c r="F6" i="1"/>
  <c r="F44" i="1"/>
  <c r="F45" i="1"/>
  <c r="F59" i="1"/>
  <c r="F35" i="1"/>
  <c r="F14" i="1"/>
  <c r="F19" i="1"/>
  <c r="F116" i="1"/>
  <c r="F118" i="1"/>
  <c r="F43" i="1"/>
  <c r="F119" i="1"/>
  <c r="F157" i="1"/>
  <c r="F134" i="1"/>
  <c r="F42" i="1"/>
  <c r="F34" i="1"/>
  <c r="F112" i="1"/>
  <c r="F148" i="1"/>
  <c r="F33" i="1"/>
  <c r="F111" i="1"/>
  <c r="G111" i="1" s="1"/>
  <c r="F85" i="1"/>
  <c r="G85" i="1" s="1"/>
  <c r="F68" i="1"/>
  <c r="G68" i="1" s="1"/>
  <c r="F72" i="1"/>
  <c r="G72" i="1" s="1"/>
  <c r="F96" i="1"/>
  <c r="G96" i="1" s="1"/>
  <c r="F128" i="1"/>
  <c r="G128" i="1" s="1"/>
  <c r="F110" i="1"/>
  <c r="G110" i="1" s="1"/>
  <c r="F94" i="1"/>
  <c r="G94" i="1" s="1"/>
  <c r="F104" i="1"/>
  <c r="G104" i="1" s="1"/>
  <c r="F145" i="1"/>
  <c r="G145" i="1" s="1"/>
  <c r="F28" i="1"/>
  <c r="G28" i="1" s="1"/>
  <c r="F93" i="1"/>
  <c r="G93" i="1" s="1"/>
  <c r="F115" i="1"/>
  <c r="G115" i="1" s="1"/>
  <c r="F81" i="1"/>
  <c r="G81" i="1" s="1"/>
  <c r="F80" i="1"/>
  <c r="G80" i="1" s="1"/>
  <c r="F13" i="1"/>
  <c r="G13" i="1" s="1"/>
  <c r="F101" i="1"/>
  <c r="G101" i="1" s="1"/>
  <c r="F27" i="1"/>
  <c r="G27" i="1" s="1"/>
  <c r="F102" i="1"/>
  <c r="G102" i="1" s="1"/>
  <c r="F99" i="1"/>
  <c r="G99" i="1" s="1"/>
  <c r="F100" i="1"/>
  <c r="G100" i="1" s="1"/>
  <c r="F107" i="1"/>
  <c r="G107" i="1" s="1"/>
  <c r="F108" i="1"/>
  <c r="G108" i="1" s="1"/>
  <c r="F109" i="1"/>
  <c r="G109" i="1" s="1"/>
  <c r="F113" i="1"/>
  <c r="G113" i="1" s="1"/>
  <c r="F114" i="1"/>
  <c r="G114" i="1" s="1"/>
  <c r="F117" i="1"/>
  <c r="G117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9" i="1"/>
  <c r="G129" i="1" s="1"/>
  <c r="F130" i="1"/>
  <c r="G130" i="1" s="1"/>
  <c r="F131" i="1"/>
  <c r="G131" i="1" s="1"/>
  <c r="F132" i="1"/>
  <c r="G132" i="1" s="1"/>
  <c r="F133" i="1"/>
  <c r="G133" i="1" s="1"/>
  <c r="F135" i="1"/>
  <c r="G135" i="1" s="1"/>
  <c r="F136" i="1"/>
  <c r="G136" i="1" s="1"/>
  <c r="F137" i="1"/>
  <c r="G137" i="1" s="1"/>
  <c r="F138" i="1"/>
  <c r="G138" i="1" s="1"/>
  <c r="F140" i="1"/>
  <c r="G140" i="1" s="1"/>
  <c r="F141" i="1"/>
  <c r="G141" i="1" s="1"/>
  <c r="F144" i="1"/>
  <c r="G144" i="1" s="1"/>
  <c r="F146" i="1"/>
  <c r="G146" i="1" s="1"/>
  <c r="F147" i="1"/>
  <c r="G147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76" i="1"/>
  <c r="G76" i="1" s="1"/>
  <c r="F77" i="1"/>
  <c r="G77" i="1" s="1"/>
  <c r="F78" i="1"/>
  <c r="G78" i="1" s="1"/>
  <c r="F79" i="1"/>
  <c r="G79" i="1" s="1"/>
  <c r="F83" i="1"/>
  <c r="G83" i="1" s="1"/>
  <c r="F84" i="1"/>
  <c r="G84" i="1" s="1"/>
  <c r="F86" i="1"/>
  <c r="G86" i="1" s="1"/>
  <c r="F88" i="1"/>
  <c r="G88" i="1" s="1"/>
  <c r="F89" i="1"/>
  <c r="G89" i="1" s="1"/>
  <c r="F90" i="1"/>
  <c r="G90" i="1" s="1"/>
  <c r="F91" i="1"/>
  <c r="G91" i="1" s="1"/>
  <c r="F92" i="1"/>
  <c r="G92" i="1" s="1"/>
  <c r="F95" i="1"/>
  <c r="G95" i="1" s="1"/>
  <c r="F97" i="1"/>
  <c r="G97" i="1" s="1"/>
  <c r="F75" i="1"/>
  <c r="G75" i="1" s="1"/>
  <c r="F5" i="1"/>
  <c r="G5" i="1" s="1"/>
  <c r="F7" i="1"/>
  <c r="G7" i="1" s="1"/>
  <c r="F8" i="1"/>
  <c r="G8" i="1" s="1"/>
  <c r="F10" i="1"/>
  <c r="G10" i="1" s="1"/>
  <c r="F11" i="1"/>
  <c r="G11" i="1" s="1"/>
  <c r="F12" i="1"/>
  <c r="G12" i="1" s="1"/>
  <c r="F15" i="1"/>
  <c r="G15" i="1" s="1"/>
  <c r="F16" i="1"/>
  <c r="G16" i="1" s="1"/>
  <c r="F17" i="1"/>
  <c r="G17" i="1" s="1"/>
  <c r="F18" i="1"/>
  <c r="G18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9" i="1"/>
  <c r="G29" i="1" s="1"/>
  <c r="F30" i="1"/>
  <c r="G30" i="1" s="1"/>
  <c r="F31" i="1"/>
  <c r="G31" i="1" s="1"/>
  <c r="F32" i="1"/>
  <c r="G32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7" i="1"/>
  <c r="G47" i="1" s="1"/>
  <c r="F48" i="1"/>
  <c r="G48" i="1" s="1"/>
  <c r="F49" i="1"/>
  <c r="G49" i="1" s="1"/>
  <c r="F50" i="1"/>
  <c r="G50" i="1" s="1"/>
  <c r="F51" i="1"/>
  <c r="G51" i="1" s="1"/>
  <c r="F53" i="1"/>
  <c r="G53" i="1" s="1"/>
  <c r="F54" i="1"/>
  <c r="G54" i="1" s="1"/>
  <c r="F55" i="1"/>
  <c r="G55" i="1" s="1"/>
  <c r="F57" i="1"/>
  <c r="G57" i="1" s="1"/>
  <c r="F58" i="1"/>
  <c r="G58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9" i="1"/>
  <c r="G69" i="1" s="1"/>
  <c r="F66" i="1"/>
  <c r="G66" i="1" s="1"/>
  <c r="F67" i="1"/>
  <c r="G67" i="1" s="1"/>
  <c r="F70" i="1"/>
  <c r="G70" i="1" s="1"/>
  <c r="F71" i="1"/>
  <c r="G71" i="1" s="1"/>
  <c r="F73" i="1"/>
  <c r="G73" i="1" s="1"/>
  <c r="F74" i="1"/>
  <c r="G74" i="1" s="1"/>
  <c r="F3" i="1"/>
  <c r="G3" i="1" s="1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34" i="3"/>
  <c r="F47" i="3"/>
  <c r="F46" i="3"/>
  <c r="F7" i="3"/>
  <c r="F32" i="3"/>
  <c r="F42" i="3"/>
  <c r="F15" i="3"/>
  <c r="F16" i="3"/>
  <c r="F43" i="3"/>
  <c r="F3" i="3"/>
  <c r="F26" i="3"/>
  <c r="F23" i="3"/>
  <c r="F13" i="3"/>
  <c r="F41" i="3"/>
  <c r="F25" i="3"/>
  <c r="F48" i="3"/>
  <c r="F18" i="3"/>
  <c r="F10" i="3"/>
  <c r="F35" i="3"/>
  <c r="F14" i="3"/>
  <c r="F45" i="3"/>
  <c r="F49" i="3"/>
  <c r="F50" i="3"/>
  <c r="F9" i="3"/>
  <c r="F4" i="3"/>
  <c r="F24" i="3"/>
  <c r="F20" i="3"/>
  <c r="F8" i="3"/>
  <c r="F30" i="3"/>
  <c r="F17" i="3"/>
  <c r="F44" i="3"/>
  <c r="F21" i="3"/>
  <c r="F22" i="3"/>
  <c r="F6" i="3"/>
  <c r="F38" i="3"/>
  <c r="F51" i="3"/>
  <c r="F37" i="3"/>
  <c r="F36" i="3"/>
  <c r="F40" i="3"/>
  <c r="F12" i="3"/>
  <c r="F27" i="3"/>
  <c r="F2" i="3"/>
  <c r="F31" i="3"/>
  <c r="F11" i="3"/>
  <c r="F29" i="3"/>
  <c r="F28" i="3"/>
  <c r="F39" i="3"/>
  <c r="F33" i="3"/>
  <c r="F5" i="3"/>
  <c r="F19" i="3"/>
</calcChain>
</file>

<file path=xl/sharedStrings.xml><?xml version="1.0" encoding="utf-8"?>
<sst xmlns="http://schemas.openxmlformats.org/spreadsheetml/2006/main" count="1458" uniqueCount="455">
  <si>
    <t>session_id</t>
  </si>
  <si>
    <t>player</t>
  </si>
  <si>
    <t>started</t>
  </si>
  <si>
    <t>minutes</t>
  </si>
  <si>
    <t>duration</t>
  </si>
  <si>
    <t>vdubey26@gmail.com</t>
  </si>
  <si>
    <t>32m 37s</t>
  </si>
  <si>
    <t>kritika.iyer30@gmail.com</t>
  </si>
  <si>
    <t>43m 10s</t>
  </si>
  <si>
    <t>26m 01s</t>
  </si>
  <si>
    <t>angad.sharma@zomato.com</t>
  </si>
  <si>
    <t>35m 24s</t>
  </si>
  <si>
    <t>michael.ward@6dg.co.uk</t>
  </si>
  <si>
    <t>30m 05s</t>
  </si>
  <si>
    <t>sam.williams@gearset.com</t>
  </si>
  <si>
    <t>38m 06s</t>
  </si>
  <si>
    <t>julian.wreford@gearset.com</t>
  </si>
  <si>
    <t>26m 29s</t>
  </si>
  <si>
    <t>chris.davis@storiogroup.com</t>
  </si>
  <si>
    <t>25m 56s</t>
  </si>
  <si>
    <t>oli@gearset.com</t>
  </si>
  <si>
    <t>23m 04s</t>
  </si>
  <si>
    <t>sangeetha.niranjan@thetrainline.com</t>
  </si>
  <si>
    <t>33m 27s</t>
  </si>
  <si>
    <t>fraser.gillies@thetrainline.com</t>
  </si>
  <si>
    <t>32m 24s</t>
  </si>
  <si>
    <t>milisavljevic@rushstreetinteractive.com</t>
  </si>
  <si>
    <t>44m 11s</t>
  </si>
  <si>
    <t>lakshminarayanan.sridhar@ig.com</t>
  </si>
  <si>
    <t>24m 16s</t>
  </si>
  <si>
    <t>daniel.cook@thetrainline.com</t>
  </si>
  <si>
    <t>41m 03s</t>
  </si>
  <si>
    <t>armin400@live.com</t>
  </si>
  <si>
    <t>41m 55s</t>
  </si>
  <si>
    <t>pim.ewijk@albelli.com</t>
  </si>
  <si>
    <t>27m 35s</t>
  </si>
  <si>
    <t>sakib.malik@zomato.com</t>
  </si>
  <si>
    <t>22m 58s</t>
  </si>
  <si>
    <t>mark.mcgarry@options-it.com</t>
  </si>
  <si>
    <t>35m 29s</t>
  </si>
  <si>
    <t>caoimhe.kelly@options-it.com</t>
  </si>
  <si>
    <t>26m 25s</t>
  </si>
  <si>
    <t>jack.norris@exclaimer.com</t>
  </si>
  <si>
    <t>29m 14s</t>
  </si>
  <si>
    <t>sankalp.bartariya@thetrainline.com</t>
  </si>
  <si>
    <t>30m 01s</t>
  </si>
  <si>
    <t>divagar.durai@6dg.co.uk</t>
  </si>
  <si>
    <t>43m 49s</t>
  </si>
  <si>
    <t>jas.sahi@6dg.co.uk</t>
  </si>
  <si>
    <t>26m 07s</t>
  </si>
  <si>
    <t>soumya.jk@thetrainline.com</t>
  </si>
  <si>
    <t>20m 14s</t>
  </si>
  <si>
    <t>meera.nadigadda@exclaimer.com</t>
  </si>
  <si>
    <t>43m 32s</t>
  </si>
  <si>
    <t>chauhan.gaurav@zomato.com</t>
  </si>
  <si>
    <t>32m 32s</t>
  </si>
  <si>
    <t>alexander.hof@storiogroup.com</t>
  </si>
  <si>
    <t>34m 24s</t>
  </si>
  <si>
    <t>jernej.primcic@thomsonreuters.com</t>
  </si>
  <si>
    <t>33m 52s</t>
  </si>
  <si>
    <t>naveed.khan@6dg.co.uk</t>
  </si>
  <si>
    <t>27m 20s</t>
  </si>
  <si>
    <t>david.emmerson@gearset.com</t>
  </si>
  <si>
    <t>33m 07s</t>
  </si>
  <si>
    <t>eveline.sparreboom@albelli.com</t>
  </si>
  <si>
    <t>38m 26s</t>
  </si>
  <si>
    <t>anjali.sharma@ig.com</t>
  </si>
  <si>
    <t>35m 02s</t>
  </si>
  <si>
    <t>contact@quincy.dev</t>
  </si>
  <si>
    <t>36m 01s</t>
  </si>
  <si>
    <t>raunak.shamnani@zomato.com</t>
  </si>
  <si>
    <t>23m 16s</t>
  </si>
  <si>
    <t>calum.mcdowell@storiogroup.com</t>
  </si>
  <si>
    <t>31m 26s</t>
  </si>
  <si>
    <t>patrick.boyd@gearset.com</t>
  </si>
  <si>
    <t>31m 04s</t>
  </si>
  <si>
    <t>kalp.jain@zomato.com</t>
  </si>
  <si>
    <t>30m 15s</t>
  </si>
  <si>
    <t>chandan.nagaraja@thomsonreuters.com</t>
  </si>
  <si>
    <t>34m 31s</t>
  </si>
  <si>
    <t>ellie.walsh@options-it.com</t>
  </si>
  <si>
    <t>32m 04s</t>
  </si>
  <si>
    <t>joe.muller@sonic.com</t>
  </si>
  <si>
    <t>45m 04s</t>
  </si>
  <si>
    <t>divyanshu.mahajan@zomato.com</t>
  </si>
  <si>
    <t>39m 19s</t>
  </si>
  <si>
    <t>vallabh.vyas@dominos.co.uk</t>
  </si>
  <si>
    <t>42m 08s</t>
  </si>
  <si>
    <t>mayank.dhillon@zomato.com</t>
  </si>
  <si>
    <t>27m 51s</t>
  </si>
  <si>
    <t>roberta.roccia@thetrainline.com</t>
  </si>
  <si>
    <t>24m 40s</t>
  </si>
  <si>
    <t>seth.lohr@sonic.com</t>
  </si>
  <si>
    <t>36m 39s</t>
  </si>
  <si>
    <t>donnchadh.tierney@options-it.com</t>
  </si>
  <si>
    <t>36m 13s</t>
  </si>
  <si>
    <t>amelia.horwood@options-it.com</t>
  </si>
  <si>
    <t>22m 48s</t>
  </si>
  <si>
    <t>akshat.goel@zomato.com</t>
  </si>
  <si>
    <t>24m 54s</t>
  </si>
  <si>
    <t>hamish.dewar@exclaimer.com</t>
  </si>
  <si>
    <t>25m 24s</t>
  </si>
  <si>
    <t>aoife.breen@options-it.com</t>
  </si>
  <si>
    <t>30m 42s</t>
  </si>
  <si>
    <t>Session ID</t>
  </si>
  <si>
    <t>Facet Score</t>
  </si>
  <si>
    <t>Marker Score</t>
  </si>
  <si>
    <t>Composite Score</t>
  </si>
  <si>
    <t>Processed At</t>
  </si>
  <si>
    <t>dominos?</t>
  </si>
  <si>
    <t>2.80 / 4</t>
  </si>
  <si>
    <t>3.83 / 4</t>
  </si>
  <si>
    <t>2026-06-19 12:13 UTC</t>
  </si>
  <si>
    <t>3.00 / 4</t>
  </si>
  <si>
    <t>3.33 / 4</t>
  </si>
  <si>
    <t>2026-05-20 22:17 UTC</t>
  </si>
  <si>
    <t>2.83 / 4</t>
  </si>
  <si>
    <t>2026-06-19 11:58 UTC</t>
  </si>
  <si>
    <t>2.75 / 4</t>
  </si>
  <si>
    <t>2026-05-22 09:58 UTC</t>
  </si>
  <si>
    <t>2026-06-15 09:00 UTC</t>
  </si>
  <si>
    <t>2.67 / 4</t>
  </si>
  <si>
    <t>2026-05-22 09:28 UTC</t>
  </si>
  <si>
    <t>2.58 / 4</t>
  </si>
  <si>
    <t>2026-06-04 09:04 UTC</t>
  </si>
  <si>
    <t>2026-06-19 12:02 UTC</t>
  </si>
  <si>
    <t>2026-05-26 15:59 UTC</t>
  </si>
  <si>
    <t>2026-05-28 13:49 UTC</t>
  </si>
  <si>
    <t>2026-05-28 13:51 UTC</t>
  </si>
  <si>
    <t>2026-06-05 09:50 UTC</t>
  </si>
  <si>
    <t>2026-06-15 09:12 UTC</t>
  </si>
  <si>
    <t>2.60 / 4</t>
  </si>
  <si>
    <t>3.08 / 4</t>
  </si>
  <si>
    <t>2026-05-20 22:12 UTC</t>
  </si>
  <si>
    <t>2026-05-22 08:42 UTC</t>
  </si>
  <si>
    <t>2026-05-22 08:56 UTC</t>
  </si>
  <si>
    <t>2026-06-12 15:14 UTC</t>
  </si>
  <si>
    <t>2026-05-22 09:54 UTC</t>
  </si>
  <si>
    <t>2026-05-21 15:29 UTC</t>
  </si>
  <si>
    <t>2026-06-01 15:20 UTC</t>
  </si>
  <si>
    <t>2026-05-22 09:52 UTC</t>
  </si>
  <si>
    <t>2026-05-22 09:10 UTC</t>
  </si>
  <si>
    <t>2026-05-22 15:04 UTC</t>
  </si>
  <si>
    <t>2026-06-04 09:22 UTC</t>
  </si>
  <si>
    <t>2026-06-05 09:54 UTC</t>
  </si>
  <si>
    <t>2026-06-05 15:42 UTC</t>
  </si>
  <si>
    <t>2.50 / 4</t>
  </si>
  <si>
    <t>2026-05-21 15:35 UTC</t>
  </si>
  <si>
    <t>2026-05-29 15:05 UTC</t>
  </si>
  <si>
    <t>2026-06-02 15:59 UTC</t>
  </si>
  <si>
    <t>2026-06-02 16:01 UTC</t>
  </si>
  <si>
    <t>2026-06-11 11:33 UTC</t>
  </si>
  <si>
    <t>2026-06-11 11:39 UTC</t>
  </si>
  <si>
    <t>2026-06-15 09:08 UTC</t>
  </si>
  <si>
    <t>2.42 / 4</t>
  </si>
  <si>
    <t>2026-05-22 09:16 UTC</t>
  </si>
  <si>
    <t>2026-05-22 08:44 UTC</t>
  </si>
  <si>
    <t>2026-05-22 14:08 UTC</t>
  </si>
  <si>
    <t>2026-05-29 15:03 UTC</t>
  </si>
  <si>
    <t>2026-06-04 09:02 UTC</t>
  </si>
  <si>
    <t>2026-06-04 09:10 UTC</t>
  </si>
  <si>
    <t>2026-06-11 11:41 UTC</t>
  </si>
  <si>
    <t>2026-06-12 15:20 UTC</t>
  </si>
  <si>
    <t>2026-06-15 09:01 UTC</t>
  </si>
  <si>
    <t>2026-06-15 09:04 UTC</t>
  </si>
  <si>
    <t>2026-06-17 10:28 UTC</t>
  </si>
  <si>
    <t>2.40 / 4</t>
  </si>
  <si>
    <t>2026-05-22 09:24 UTC</t>
  </si>
  <si>
    <t>2026-06-04 08:58 UTC</t>
  </si>
  <si>
    <t>2.33 / 4</t>
  </si>
  <si>
    <t>2026-05-22 09:00 UTC</t>
  </si>
  <si>
    <t>2026-05-22 08:52 UTC</t>
  </si>
  <si>
    <t>2026-05-22 09:04 UTC</t>
  </si>
  <si>
    <t>2026-06-19 12:04 UTC</t>
  </si>
  <si>
    <t>2026-05-22 13:54 UTC</t>
  </si>
  <si>
    <t>2026-05-22 09:02 UTC</t>
  </si>
  <si>
    <t>2026-05-21 15:33 UTC</t>
  </si>
  <si>
    <t>2026-06-15 08:57 UTC</t>
  </si>
  <si>
    <t>2026-05-22 08:46 UTC</t>
  </si>
  <si>
    <t>2026-06-01 15:22 UTC</t>
  </si>
  <si>
    <t>2026-06-15 09:06 UTC</t>
  </si>
  <si>
    <t>2026-05-22 09:48 UTC</t>
  </si>
  <si>
    <t>2026-05-22 08:38 UTC</t>
  </si>
  <si>
    <t>2026-05-26 12:37 UTC</t>
  </si>
  <si>
    <t>2026-05-27 15:52 UTC</t>
  </si>
  <si>
    <t>2026-05-28 13:43 UTC</t>
  </si>
  <si>
    <t>2026-05-28 13:46 UTC</t>
  </si>
  <si>
    <t>2026-06-01 15:24 UTC</t>
  </si>
  <si>
    <t>2026-06-02 15:50 UTC</t>
  </si>
  <si>
    <t>2026-06-09 15:49 UTC</t>
  </si>
  <si>
    <t>2026-05-29 15:07 UTC</t>
  </si>
  <si>
    <t>2026-05-22 13:56 UTC</t>
  </si>
  <si>
    <t>2026-05-22 08:54 UTC</t>
  </si>
  <si>
    <t>2026-06-09 15:51 UTC</t>
  </si>
  <si>
    <t>2026-06-04 09:18 UTC</t>
  </si>
  <si>
    <t>2.17 / 4</t>
  </si>
  <si>
    <t>2026-05-22 13:58 UTC</t>
  </si>
  <si>
    <t>2026-05-26 12:40 UTC</t>
  </si>
  <si>
    <t>2.20 / 4</t>
  </si>
  <si>
    <t>2026-05-22 09:12 UTC</t>
  </si>
  <si>
    <t>2026-05-22 09:56 UTC</t>
  </si>
  <si>
    <t>2026-05-28 13:38 UTC</t>
  </si>
  <si>
    <t>2026-06-02 15:53 UTC</t>
  </si>
  <si>
    <t>2026-06-05 09:48 UTC</t>
  </si>
  <si>
    <t>2026-06-05 14:15 UTC</t>
  </si>
  <si>
    <t>2026-06-17 10:32 UTC</t>
  </si>
  <si>
    <t>2026-05-22 09:20 UTC</t>
  </si>
  <si>
    <t>2026-05-27 15:55 UTC</t>
  </si>
  <si>
    <t>2026-06-09 15:47 UTC</t>
  </si>
  <si>
    <t>2.25 / 4</t>
  </si>
  <si>
    <t>2026-05-28 13:40 UTC</t>
  </si>
  <si>
    <t>2026-06-19 12:00 UTC</t>
  </si>
  <si>
    <t>2.00 / 4</t>
  </si>
  <si>
    <t>2026-05-22 13:53 UTC</t>
  </si>
  <si>
    <t>2026-05-22 09:08 UTC</t>
  </si>
  <si>
    <t>2026-05-22 10:00 UTC</t>
  </si>
  <si>
    <t>2.08 / 4</t>
  </si>
  <si>
    <t>2026-05-26 12:42 UTC</t>
  </si>
  <si>
    <t>2026-05-28 15:00 UTC</t>
  </si>
  <si>
    <t>2026-06-05 14:11 UTC</t>
  </si>
  <si>
    <t>2026-06-08 14:12 UTC</t>
  </si>
  <si>
    <t>2026-05-26 12:51 UTC</t>
  </si>
  <si>
    <t>2026-06-09 15:53 UTC</t>
  </si>
  <si>
    <t>2026-05-22 09:18 UTC</t>
  </si>
  <si>
    <t>2026-06-19 12:11 UTC</t>
  </si>
  <si>
    <t>1.92 / 4</t>
  </si>
  <si>
    <t>2026-05-22 08:40 UTC</t>
  </si>
  <si>
    <t>2026-05-28 13:47 UTC</t>
  </si>
  <si>
    <t>2026-06-05 09:52 UTC</t>
  </si>
  <si>
    <t>2026-06-05 09:56 UTC</t>
  </si>
  <si>
    <t>2026-06-19 12:09 UTC</t>
  </si>
  <si>
    <t>2026-06-08 14:14 UTC</t>
  </si>
  <si>
    <t>2026-06-17 10:30 UTC</t>
  </si>
  <si>
    <t>1.83 / 4</t>
  </si>
  <si>
    <t>2026-06-19 14:58 UTC</t>
  </si>
  <si>
    <t>2026-05-26 12:39 UTC</t>
  </si>
  <si>
    <t>2026-06-01 15:15 UTC</t>
  </si>
  <si>
    <t>2026-06-04 09:00 UTC</t>
  </si>
  <si>
    <t>2026-06-08 14:10 UTC</t>
  </si>
  <si>
    <t>2026-06-09 15:45 UTC</t>
  </si>
  <si>
    <t>2026-06-11 11:37 UTC</t>
  </si>
  <si>
    <t>1.75 / 4</t>
  </si>
  <si>
    <t>2026-05-22 08:50 UTC</t>
  </si>
  <si>
    <t>2026-06-04 09:14 UTC</t>
  </si>
  <si>
    <t>2026-06-05 14:13 UTC</t>
  </si>
  <si>
    <t>2026-06-12 15:16 UTC</t>
  </si>
  <si>
    <t>2026-05-21 15:39 UTC</t>
  </si>
  <si>
    <t>2026-06-12 15:18 UTC</t>
  </si>
  <si>
    <t>2026-06-12 15:22 UTC</t>
  </si>
  <si>
    <t>1.80 / 4</t>
  </si>
  <si>
    <t>2026-05-21 15:37 UTC</t>
  </si>
  <si>
    <t>2026-05-21 15:31 UTC</t>
  </si>
  <si>
    <t>2026-05-27 15:57 UTC</t>
  </si>
  <si>
    <t>2026-05-27 15:59 UTC</t>
  </si>
  <si>
    <t>2026-06-01 15:19 UTC</t>
  </si>
  <si>
    <t>2026-05-22 10:01 UTC</t>
  </si>
  <si>
    <t>2026-05-28 13:42 UTC</t>
  </si>
  <si>
    <t>2026-06-01 15:16 UTC</t>
  </si>
  <si>
    <t>2026-06-09 15:54 UTC</t>
  </si>
  <si>
    <t>2026-05-22 14:00 UTC</t>
  </si>
  <si>
    <t>2026-05-22 09:50 UTC</t>
  </si>
  <si>
    <t>2026-06-02 15:57 UTC</t>
  </si>
  <si>
    <t>2026-06-04 09:08 UTC</t>
  </si>
  <si>
    <t>2026-05-22 09:14 UTC</t>
  </si>
  <si>
    <t>2026-06-12 15:26 UTC</t>
  </si>
  <si>
    <t>2026-05-20 22:06 UTC</t>
  </si>
  <si>
    <t>2026-05-22 09:22 UTC</t>
  </si>
  <si>
    <t>2026-05-29 15:08 UTC</t>
  </si>
  <si>
    <t>2026-06-04 09:06 UTC</t>
  </si>
  <si>
    <t>2026-06-19 12:15 UTC</t>
  </si>
  <si>
    <t>2026-05-22 09:06 UTC</t>
  </si>
  <si>
    <t>2026-05-22 08:48 UTC</t>
  </si>
  <si>
    <t>2026-06-19 12:06 UTC</t>
  </si>
  <si>
    <t>1.58 / 4</t>
  </si>
  <si>
    <t>2026-06-19 15:00 UTC</t>
  </si>
  <si>
    <t>2026-06-01 15:13 UTC</t>
  </si>
  <si>
    <t>2026-06-08 14:16 UTC</t>
  </si>
  <si>
    <t>2026-05-27 15:54 UTC</t>
  </si>
  <si>
    <t>2026-06-04 09:20 UTC</t>
  </si>
  <si>
    <t>2026-06-11 11:35 UTC</t>
  </si>
  <si>
    <t>2026-05-22 09:26 UTC</t>
  </si>
  <si>
    <t>2026-05-20 22:16 UTC</t>
  </si>
  <si>
    <t>2026-06-02 15:52 UTC</t>
  </si>
  <si>
    <t>1.67 / 4</t>
  </si>
  <si>
    <t>2026-06-04 09:12 UTC</t>
  </si>
  <si>
    <t>2026-05-20 22:14 UTC</t>
  </si>
  <si>
    <t>1.60 / 4</t>
  </si>
  <si>
    <t>2026-05-22 08:58 UTC</t>
  </si>
  <si>
    <t>2026-06-04 09:16 UTC</t>
  </si>
  <si>
    <t>2026-05-27 16:01 UTC</t>
  </si>
  <si>
    <t>1.50 / 4</t>
  </si>
  <si>
    <t>2026-06-12 15:24 UTC</t>
  </si>
  <si>
    <t>1.64 / 4</t>
  </si>
  <si>
    <t>2026-06-19 12:08 UTC</t>
  </si>
  <si>
    <t>player cc</t>
  </si>
  <si>
    <t>attempts</t>
  </si>
  <si>
    <t>attempt_number</t>
  </si>
  <si>
    <t>suraj.singhdadwal@ig.com</t>
  </si>
  <si>
    <t>prashanta.agarwala@zomato.com</t>
  </si>
  <si>
    <t>praveen.sadul@dominos.co.uk</t>
  </si>
  <si>
    <t>qasim.altaf@6dg.co.uk</t>
  </si>
  <si>
    <t>r.enchill-balogun@6dg.co.uk</t>
  </si>
  <si>
    <t>ravikiran.s@zomato.com</t>
  </si>
  <si>
    <t>remi.deverclos@albelli.com</t>
  </si>
  <si>
    <t>ryan.allen@6dg.co.uk</t>
  </si>
  <si>
    <t>saikrishnajami60@gmail.com</t>
  </si>
  <si>
    <t>samantha.wright@exclaimer.com</t>
  </si>
  <si>
    <t>shea_mcsorley@firstderivative.com</t>
  </si>
  <si>
    <t>aamir.kapasi@albelli.com</t>
  </si>
  <si>
    <t>swetha.nayudu@dominos.co.uk</t>
  </si>
  <si>
    <t>tim.redding@photobox.com</t>
  </si>
  <si>
    <t>umar.farooque@6dg.co.uk</t>
  </si>
  <si>
    <t>vaishnavi.b@dominos.co.uk</t>
  </si>
  <si>
    <t>venkatmohan.kumar@ig.com</t>
  </si>
  <si>
    <t>william.vanduynhoven@thomsonreuters.com</t>
  </si>
  <si>
    <t>zishan.sohail@6dg.co.uk</t>
  </si>
  <si>
    <t>a.strakovich@gmail.com</t>
  </si>
  <si>
    <t>dylan.coombes@exclaimer.com</t>
  </si>
  <si>
    <t>pradeep.c@dominos.co.uk</t>
  </si>
  <si>
    <t>abdulkadir.hussein@6dg.co.uk</t>
  </si>
  <si>
    <t>adriana.sukhanova@albelli.com</t>
  </si>
  <si>
    <t>andrew.carter@withersworldwide.com</t>
  </si>
  <si>
    <t>andy.knox@gearset.com</t>
  </si>
  <si>
    <t>baljit.chima@6dg.co.uk</t>
  </si>
  <si>
    <t>graham.desouza@exclaimer.com</t>
  </si>
  <si>
    <t>hamzahjanjua88@gmail.com</t>
  </si>
  <si>
    <t>james.sheppy@options-it.com</t>
  </si>
  <si>
    <t>omokova.otaru@6dg.co.uk</t>
  </si>
  <si>
    <t>patrick.collins@options-it.com</t>
  </si>
  <si>
    <t>jamie.buchanan@thetrainline.com</t>
  </si>
  <si>
    <t>naeem.khan@6dg.co.uk</t>
  </si>
  <si>
    <t>mohammed.haveliwala@6dg.co.uk</t>
  </si>
  <si>
    <t>mattg@gearset.com</t>
  </si>
  <si>
    <t>lucy.mccormack@options-it.com</t>
  </si>
  <si>
    <t>lew.radam@withersworldwide.com</t>
  </si>
  <si>
    <t>leigh.burton@sonic.com</t>
  </si>
  <si>
    <t>jessica.light@exclaimer.com</t>
  </si>
  <si>
    <t>15m 22s</t>
  </si>
  <si>
    <t>sebastian.eberlein@emnify.com</t>
  </si>
  <si>
    <t>17m 34s</t>
  </si>
  <si>
    <t>amy.jeanes@exclaimer.com</t>
  </si>
  <si>
    <t>20m 29s</t>
  </si>
  <si>
    <t>20m 40s</t>
  </si>
  <si>
    <t>manuj.grover@zomato.com</t>
  </si>
  <si>
    <t>21m 21s</t>
  </si>
  <si>
    <t>21m 34s</t>
  </si>
  <si>
    <t>22m 34s</t>
  </si>
  <si>
    <t>lana.m@slice.com</t>
  </si>
  <si>
    <t>23m 22s</t>
  </si>
  <si>
    <t>shea_hoey@firstderivative.com</t>
  </si>
  <si>
    <t>23m 30s</t>
  </si>
  <si>
    <t>subhaan.ahmed@6dg.co.uk</t>
  </si>
  <si>
    <t>23m 32s</t>
  </si>
  <si>
    <t>24m 20s</t>
  </si>
  <si>
    <t>antoine.poullet@gearset.com</t>
  </si>
  <si>
    <t>24m 32s</t>
  </si>
  <si>
    <t>andrew.mccready@storiogroup.com</t>
  </si>
  <si>
    <t>24m 42s</t>
  </si>
  <si>
    <t>nathaniel.vanderpuye@exclaimer.com</t>
  </si>
  <si>
    <t>24m 55s</t>
  </si>
  <si>
    <t>harsh.mohan@gearset.com</t>
  </si>
  <si>
    <t>25m 02s</t>
  </si>
  <si>
    <t>michael.hillman@gearset.com</t>
  </si>
  <si>
    <t>25m 13s</t>
  </si>
  <si>
    <t>girish.kumar@zomato.com</t>
  </si>
  <si>
    <t>25m 43s</t>
  </si>
  <si>
    <t>david.rant@gearset.com</t>
  </si>
  <si>
    <t>26m 52s</t>
  </si>
  <si>
    <t>jaime.holland@gearset.com</t>
  </si>
  <si>
    <t>27m 00s</t>
  </si>
  <si>
    <t>nikhil.p@zomato.com</t>
  </si>
  <si>
    <t>27m 14s</t>
  </si>
  <si>
    <t>rosie.miller@gearset.com</t>
  </si>
  <si>
    <t>27m 44s</t>
  </si>
  <si>
    <t>daniel.betancur@albelli.com</t>
  </si>
  <si>
    <t>27m 54s</t>
  </si>
  <si>
    <t>barry@gearset.com</t>
  </si>
  <si>
    <t>28m 02s</t>
  </si>
  <si>
    <t>conor.reed@eso.com</t>
  </si>
  <si>
    <t>28m 47s</t>
  </si>
  <si>
    <t>patrick.guckian@withersworldwide.com</t>
  </si>
  <si>
    <t>28m 55s</t>
  </si>
  <si>
    <t>ciaran.hurley@options-it.com</t>
  </si>
  <si>
    <t>28m 59s</t>
  </si>
  <si>
    <t>constant.zomer@albelli.com</t>
  </si>
  <si>
    <t>carlos.ramos@thomsonreuters.com</t>
  </si>
  <si>
    <t>29m 38s</t>
  </si>
  <si>
    <t>eamonn.boyle@gearset.com</t>
  </si>
  <si>
    <t>29m 42s</t>
  </si>
  <si>
    <t>chris.watts@dominos.co.uk</t>
  </si>
  <si>
    <t>29m 57s</t>
  </si>
  <si>
    <t>dennis.verheijden@albelli.com</t>
  </si>
  <si>
    <t>30m 31s</t>
  </si>
  <si>
    <t>shivanand.hebballi@thetrainline.com</t>
  </si>
  <si>
    <t>30m 45s</t>
  </si>
  <si>
    <t>arpit.varshneya@zomato.com</t>
  </si>
  <si>
    <t>32m 06s</t>
  </si>
  <si>
    <t>gabriel@gearset.com</t>
  </si>
  <si>
    <t>32m 12s</t>
  </si>
  <si>
    <t>divyanshu.sahu@zomato.com</t>
  </si>
  <si>
    <t>32m 22s</t>
  </si>
  <si>
    <t>sameer.saxena@zomato.com</t>
  </si>
  <si>
    <t>33m 13s</t>
  </si>
  <si>
    <t>jamie.mardell@withersworldwide.com</t>
  </si>
  <si>
    <t>33m 38s</t>
  </si>
  <si>
    <t>matt.warwick@6dg.co.uk</t>
  </si>
  <si>
    <t>33m 50s</t>
  </si>
  <si>
    <t>john.dilley@gearset.com</t>
  </si>
  <si>
    <t>33m 54s</t>
  </si>
  <si>
    <t>kenny.vaughan@gearset.com</t>
  </si>
  <si>
    <t>34m 13s</t>
  </si>
  <si>
    <t>neha.gupta@zomato.com</t>
  </si>
  <si>
    <t>35m 04s</t>
  </si>
  <si>
    <t>emma.allsopp@options-it.com</t>
  </si>
  <si>
    <t>leah.murphy@options-it.com</t>
  </si>
  <si>
    <t>35m 12s</t>
  </si>
  <si>
    <t>luiscarlos.tineo@thomsonreuters.com</t>
  </si>
  <si>
    <t>35m 15s</t>
  </si>
  <si>
    <t>avinash.krishnankv@ig.com</t>
  </si>
  <si>
    <t>35m 28s</t>
  </si>
  <si>
    <t>latif.khan@dominos.co.uk</t>
  </si>
  <si>
    <t>35m 50s</t>
  </si>
  <si>
    <t>ritchie.mcgrath@options-it.com</t>
  </si>
  <si>
    <t>36m 50s</t>
  </si>
  <si>
    <t>chakshu.ahuja@zomato.com</t>
  </si>
  <si>
    <t>37m 06s</t>
  </si>
  <si>
    <t>shreya.rao@ig.com</t>
  </si>
  <si>
    <t>37m 16s</t>
  </si>
  <si>
    <t>37m 36s</t>
  </si>
  <si>
    <t>martijn.mol@albelli.com</t>
  </si>
  <si>
    <t>37m 51s</t>
  </si>
  <si>
    <t>ohi.james@exclaimer.com</t>
  </si>
  <si>
    <t>38m 20s</t>
  </si>
  <si>
    <t>conor_mcardle@firstderivative.com</t>
  </si>
  <si>
    <t>38m 28s</t>
  </si>
  <si>
    <t>bhavia.raj@zomato.com</t>
  </si>
  <si>
    <t>40m 25s</t>
  </si>
  <si>
    <t>catherine@gearset.com</t>
  </si>
  <si>
    <t>40m 35s</t>
  </si>
  <si>
    <t>suraj.jajoo@ig.com</t>
  </si>
  <si>
    <t>41m 47s</t>
  </si>
  <si>
    <t>42m 35s</t>
  </si>
  <si>
    <t>jamie.dow@options-it.com</t>
  </si>
  <si>
    <t>42m 55s</t>
  </si>
  <si>
    <t>nilotpal.pramanik@zomato.com</t>
  </si>
  <si>
    <t>42m 57s</t>
  </si>
  <si>
    <t>venkat.raopotala@thetrainline.com</t>
  </si>
  <si>
    <t>43m 28s</t>
  </si>
  <si>
    <t>okba@functionhealth.com</t>
  </si>
  <si>
    <t>44m 23s</t>
  </si>
  <si>
    <t>peter.graham@options-it.com</t>
  </si>
  <si>
    <t>45m 09s</t>
  </si>
  <si>
    <t>arek.jadwiszczak@thomsonreuters.com</t>
  </si>
  <si>
    <t>45m 12s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</si>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</sst>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Helvetica Neue"/>
      <family val="2"/>
    </font>
    <font>
      <sz val="8"/>
      <color rgb="FF000000"/>
      <name val="Helvetica Neue"/>
      <family val="2"/>
    </font>
    <font>
      <b/>
      <sz val="11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3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0" xfId="0" applyFont="1"/>
    <xf numFmtId="0" fontId="5" fillId="0" borderId="1" xfId="0" applyFont="1" applyBorder="1"/>
    <xf numFmtId="0" fontId="3" fillId="0" borderId="0" xfId="2"/>
    <xf numFmtId="0" fontId="7" fillId="0" borderId="0" xfId="2" applyFont="1"/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wrapText="1"/>
    </xf>
    <xf numFmtId="0" fontId="9" fillId="0" borderId="1" xfId="2" applyFont="1" applyBorder="1"/>
    <xf numFmtId="22" fontId="9" fillId="0" borderId="1" xfId="2" applyNumberFormat="1" applyFont="1" applyBorder="1"/>
    <xf numFmtId="0" fontId="9" fillId="0" borderId="1" xfId="2" applyFont="1" applyBorder="1" applyAlignment="1">
      <alignment horizontal="center"/>
    </xf>
    <xf numFmtId="0" fontId="4" fillId="0" borderId="1" xfId="1" applyBorder="1"/>
    <xf numFmtId="0" fontId="2" fillId="0" borderId="0" xfId="0" applyFont="1"/>
    <xf numFmtId="0" fontId="10" fillId="2" borderId="1" xfId="0" applyFont="1" applyFill="1" applyBorder="1"/>
    <xf numFmtId="0" fontId="10" fillId="3" borderId="1" xfId="0" applyFont="1" applyFill="1" applyBorder="1"/>
    <xf numFmtId="0" fontId="11" fillId="0" borderId="1" xfId="0" applyFont="1" applyBorder="1"/>
    <xf numFmtId="22" fontId="11" fillId="0" borderId="1" xfId="0" applyNumberFormat="1" applyFont="1" applyBorder="1"/>
    <xf numFmtId="0" fontId="9" fillId="0" borderId="0" xfId="2" applyFont="1"/>
    <xf numFmtId="22" fontId="9" fillId="0" borderId="0" xfId="2" applyNumberFormat="1" applyFont="1"/>
    <xf numFmtId="0" fontId="9" fillId="0" borderId="0" xfId="2" applyFont="1" applyAlignment="1">
      <alignment horizontal="center"/>
    </xf>
    <xf numFmtId="22" fontId="0" fillId="0" borderId="0" xfId="0" applyNumberFormat="1"/>
    <xf numFmtId="0" fontId="5" fillId="2" borderId="3" xfId="0" applyFont="1" applyFill="1" applyBorder="1" applyAlignment="1">
      <alignment horizontal="center"/>
    </xf>
    <xf numFmtId="0" fontId="5" fillId="3" borderId="2" xfId="0" applyFont="1" applyFill="1" applyBorder="1"/>
    <xf numFmtId="0" fontId="6" fillId="0" borderId="2" xfId="0" applyFont="1" applyBorder="1"/>
    <xf numFmtId="0" fontId="4" fillId="3" borderId="1" xfId="1" applyFill="1" applyBorder="1"/>
    <xf numFmtId="22" fontId="6" fillId="0" borderId="1" xfId="0" applyNumberFormat="1" applyFont="1" applyBorder="1"/>
    <xf numFmtId="0" fontId="4" fillId="0" borderId="2" xfId="1" applyBorder="1"/>
    <xf numFmtId="22" fontId="6" fillId="0" borderId="2" xfId="0" applyNumberFormat="1" applyFont="1" applyBorder="1"/>
    <xf numFmtId="0" fontId="12" fillId="0" borderId="0" xfId="0" applyFont="1"/>
    <xf numFmtId="0" fontId="0" fillId="4" borderId="0" xfId="0" applyFill="1"/>
    <xf numFmtId="0" fontId="1" fillId="0" borderId="0" xfId="0" applyFont="1"/>
    <xf numFmtId="0" fontId="1" fillId="4" borderId="0" xfId="0" applyFont="1" applyFill="1"/>
    <xf numFmtId="0" fontId="13" fillId="3" borderId="1" xfId="0" applyFont="1" applyFill="1" applyBorder="1"/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5" fillId="4" borderId="1" xfId="0" applyFont="1" applyFill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" fillId="0" borderId="1" xfId="0" applyFont="1" applyBorder="1"/>
  </cellXfs>
  <cellStyles count="3">
    <cellStyle name="Hyperlink" xfId="1" builtinId="8"/>
    <cellStyle name="Normal" xfId="0" builtinId="0"/>
    <cellStyle name="Normal 2" xfId="2" xr:uid="{1D10F42A-5F53-164C-B633-B3B3ED083387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aoimhe.kelly@options-it.com" TargetMode="External"/><Relationship Id="rId18" Type="http://schemas.openxmlformats.org/officeDocument/2006/relationships/hyperlink" Target="mailto:jack.norris@exclaimer.com" TargetMode="External"/><Relationship Id="rId26" Type="http://schemas.openxmlformats.org/officeDocument/2006/relationships/hyperlink" Target="mailto:fraser.gillies@thetrainline.com" TargetMode="External"/><Relationship Id="rId39" Type="http://schemas.openxmlformats.org/officeDocument/2006/relationships/hyperlink" Target="mailto:seth.lohr@sonic.com" TargetMode="External"/><Relationship Id="rId21" Type="http://schemas.openxmlformats.org/officeDocument/2006/relationships/hyperlink" Target="mailto:kalp.jain@zomato.com" TargetMode="External"/><Relationship Id="rId34" Type="http://schemas.openxmlformats.org/officeDocument/2006/relationships/hyperlink" Target="mailto:anjali.sharma@ig.com" TargetMode="External"/><Relationship Id="rId42" Type="http://schemas.openxmlformats.org/officeDocument/2006/relationships/hyperlink" Target="mailto:divyanshu.mahajan@zomato.com" TargetMode="External"/><Relationship Id="rId47" Type="http://schemas.openxmlformats.org/officeDocument/2006/relationships/hyperlink" Target="mailto:meera.nadigadda@exclaimer.com" TargetMode="External"/><Relationship Id="rId50" Type="http://schemas.openxmlformats.org/officeDocument/2006/relationships/hyperlink" Target="mailto:joe.muller@sonic.com" TargetMode="External"/><Relationship Id="rId7" Type="http://schemas.openxmlformats.org/officeDocument/2006/relationships/hyperlink" Target="mailto:roberta.roccia@thetrainline.com" TargetMode="External"/><Relationship Id="rId2" Type="http://schemas.openxmlformats.org/officeDocument/2006/relationships/hyperlink" Target="mailto:amelia.horwood@options-it.com" TargetMode="External"/><Relationship Id="rId16" Type="http://schemas.openxmlformats.org/officeDocument/2006/relationships/hyperlink" Target="mailto:pim.ewijk@albelli.com" TargetMode="External"/><Relationship Id="rId29" Type="http://schemas.openxmlformats.org/officeDocument/2006/relationships/hyperlink" Target="mailto:david.emmerson@gearset.com" TargetMode="External"/><Relationship Id="rId11" Type="http://schemas.openxmlformats.org/officeDocument/2006/relationships/hyperlink" Target="mailto:vdubey26@gmail.com" TargetMode="External"/><Relationship Id="rId24" Type="http://schemas.openxmlformats.org/officeDocument/2006/relationships/hyperlink" Target="mailto:calum.mcdowell@storiogroup.com" TargetMode="External"/><Relationship Id="rId32" Type="http://schemas.openxmlformats.org/officeDocument/2006/relationships/hyperlink" Target="mailto:alexander.hof@storiogroup.com" TargetMode="External"/><Relationship Id="rId37" Type="http://schemas.openxmlformats.org/officeDocument/2006/relationships/hyperlink" Target="mailto:contact@quincy.dev" TargetMode="External"/><Relationship Id="rId40" Type="http://schemas.openxmlformats.org/officeDocument/2006/relationships/hyperlink" Target="mailto:sam.williams@gearset.com" TargetMode="External"/><Relationship Id="rId45" Type="http://schemas.openxmlformats.org/officeDocument/2006/relationships/hyperlink" Target="mailto:vallabh.vyas@dominos.co.uk" TargetMode="External"/><Relationship Id="rId5" Type="http://schemas.openxmlformats.org/officeDocument/2006/relationships/hyperlink" Target="mailto:raunak.shamnani@zomato.com" TargetMode="External"/><Relationship Id="rId15" Type="http://schemas.openxmlformats.org/officeDocument/2006/relationships/hyperlink" Target="mailto:naveed.khan@6dg.co.uk" TargetMode="External"/><Relationship Id="rId23" Type="http://schemas.openxmlformats.org/officeDocument/2006/relationships/hyperlink" Target="mailto:patrick.boyd@gearset.com" TargetMode="External"/><Relationship Id="rId28" Type="http://schemas.openxmlformats.org/officeDocument/2006/relationships/hyperlink" Target="mailto:vdubey26@gmail.com" TargetMode="External"/><Relationship Id="rId36" Type="http://schemas.openxmlformats.org/officeDocument/2006/relationships/hyperlink" Target="mailto:mark.mcgarry@options-it.com" TargetMode="External"/><Relationship Id="rId49" Type="http://schemas.openxmlformats.org/officeDocument/2006/relationships/hyperlink" Target="mailto:milisavljevic@rushstreetinteractive.com" TargetMode="External"/><Relationship Id="rId10" Type="http://schemas.openxmlformats.org/officeDocument/2006/relationships/hyperlink" Target="mailto:chris.davis@storiogroup.com" TargetMode="External"/><Relationship Id="rId19" Type="http://schemas.openxmlformats.org/officeDocument/2006/relationships/hyperlink" Target="mailto:sankalp.bartariya@thetrainline.com" TargetMode="External"/><Relationship Id="rId31" Type="http://schemas.openxmlformats.org/officeDocument/2006/relationships/hyperlink" Target="mailto:jernej.primcic@thomsonreuters.com" TargetMode="External"/><Relationship Id="rId44" Type="http://schemas.openxmlformats.org/officeDocument/2006/relationships/hyperlink" Target="mailto:armin400@live.com" TargetMode="External"/><Relationship Id="rId4" Type="http://schemas.openxmlformats.org/officeDocument/2006/relationships/hyperlink" Target="mailto:oli@gearset.com" TargetMode="External"/><Relationship Id="rId9" Type="http://schemas.openxmlformats.org/officeDocument/2006/relationships/hyperlink" Target="mailto:hamish.dewar@exclaimer.com" TargetMode="External"/><Relationship Id="rId14" Type="http://schemas.openxmlformats.org/officeDocument/2006/relationships/hyperlink" Target="mailto:julian.wreford@gearset.com" TargetMode="External"/><Relationship Id="rId22" Type="http://schemas.openxmlformats.org/officeDocument/2006/relationships/hyperlink" Target="mailto:aoife.breen@options-it.com" TargetMode="External"/><Relationship Id="rId27" Type="http://schemas.openxmlformats.org/officeDocument/2006/relationships/hyperlink" Target="mailto:chauhan.gaurav@zomato.com" TargetMode="External"/><Relationship Id="rId30" Type="http://schemas.openxmlformats.org/officeDocument/2006/relationships/hyperlink" Target="mailto:sangeetha.niranjan@thetrainline.com" TargetMode="External"/><Relationship Id="rId35" Type="http://schemas.openxmlformats.org/officeDocument/2006/relationships/hyperlink" Target="mailto:angad.sharma@zomato.com" TargetMode="External"/><Relationship Id="rId43" Type="http://schemas.openxmlformats.org/officeDocument/2006/relationships/hyperlink" Target="mailto:daniel.cook@thetrainline.com" TargetMode="External"/><Relationship Id="rId48" Type="http://schemas.openxmlformats.org/officeDocument/2006/relationships/hyperlink" Target="mailto:divagar.durai@6dg.co.uk" TargetMode="External"/><Relationship Id="rId8" Type="http://schemas.openxmlformats.org/officeDocument/2006/relationships/hyperlink" Target="mailto:akshat.goel@zomato.com" TargetMode="External"/><Relationship Id="rId3" Type="http://schemas.openxmlformats.org/officeDocument/2006/relationships/hyperlink" Target="mailto:sakib.malik@zomato.com" TargetMode="External"/><Relationship Id="rId12" Type="http://schemas.openxmlformats.org/officeDocument/2006/relationships/hyperlink" Target="mailto:jas.sahi@6dg.co.uk" TargetMode="External"/><Relationship Id="rId17" Type="http://schemas.openxmlformats.org/officeDocument/2006/relationships/hyperlink" Target="mailto:mayank.dhillon@zomato.com" TargetMode="External"/><Relationship Id="rId25" Type="http://schemas.openxmlformats.org/officeDocument/2006/relationships/hyperlink" Target="mailto:ellie.walsh@options-it.com" TargetMode="External"/><Relationship Id="rId33" Type="http://schemas.openxmlformats.org/officeDocument/2006/relationships/hyperlink" Target="mailto:chandan.nagaraja@thomsonreuters.com" TargetMode="External"/><Relationship Id="rId38" Type="http://schemas.openxmlformats.org/officeDocument/2006/relationships/hyperlink" Target="mailto:donnchadh.tierney@options-it.com" TargetMode="External"/><Relationship Id="rId46" Type="http://schemas.openxmlformats.org/officeDocument/2006/relationships/hyperlink" Target="mailto:kritika.iyer30@gmail.com" TargetMode="External"/><Relationship Id="rId20" Type="http://schemas.openxmlformats.org/officeDocument/2006/relationships/hyperlink" Target="mailto:michael.ward@6dg.co.uk" TargetMode="External"/><Relationship Id="rId41" Type="http://schemas.openxmlformats.org/officeDocument/2006/relationships/hyperlink" Target="mailto:eveline.sparreboom@albelli.com" TargetMode="External"/><Relationship Id="rId1" Type="http://schemas.openxmlformats.org/officeDocument/2006/relationships/hyperlink" Target="mailto:soumya.jk@thetrainline.com" TargetMode="External"/><Relationship Id="rId6" Type="http://schemas.openxmlformats.org/officeDocument/2006/relationships/hyperlink" Target="mailto:lakshminarayanan.sridhar@ig.co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sangeetha.niranjan@thetrainline.com" TargetMode="External"/><Relationship Id="rId18" Type="http://schemas.openxmlformats.org/officeDocument/2006/relationships/hyperlink" Target="mailto:daniel.cook@thetrainline.com" TargetMode="External"/><Relationship Id="rId26" Type="http://schemas.openxmlformats.org/officeDocument/2006/relationships/hyperlink" Target="mailto:sankalp.bartariya@thetrainline.com" TargetMode="External"/><Relationship Id="rId39" Type="http://schemas.openxmlformats.org/officeDocument/2006/relationships/hyperlink" Target="mailto:jernej.primcic@thomsonreuters.com" TargetMode="External"/><Relationship Id="rId21" Type="http://schemas.openxmlformats.org/officeDocument/2006/relationships/hyperlink" Target="mailto:sakib.malik@zomato.com" TargetMode="External"/><Relationship Id="rId34" Type="http://schemas.openxmlformats.org/officeDocument/2006/relationships/hyperlink" Target="mailto:leigh.burton@sonic.com" TargetMode="External"/><Relationship Id="rId42" Type="http://schemas.openxmlformats.org/officeDocument/2006/relationships/hyperlink" Target="mailto:david.emmerson@gearset.com" TargetMode="External"/><Relationship Id="rId47" Type="http://schemas.openxmlformats.org/officeDocument/2006/relationships/hyperlink" Target="mailto:roberta.roccia@thetrainline.com" TargetMode="External"/><Relationship Id="rId50" Type="http://schemas.openxmlformats.org/officeDocument/2006/relationships/hyperlink" Target="mailto:mayank.dhillon@zomato.com" TargetMode="External"/><Relationship Id="rId55" Type="http://schemas.openxmlformats.org/officeDocument/2006/relationships/hyperlink" Target="mailto:chandan.nagaraja@thomsonreuters.com" TargetMode="External"/><Relationship Id="rId7" Type="http://schemas.openxmlformats.org/officeDocument/2006/relationships/hyperlink" Target="mailto:sam.williams@gearset.com" TargetMode="External"/><Relationship Id="rId2" Type="http://schemas.openxmlformats.org/officeDocument/2006/relationships/hyperlink" Target="mailto:kritika.iyer30@gmail.com" TargetMode="External"/><Relationship Id="rId16" Type="http://schemas.openxmlformats.org/officeDocument/2006/relationships/hyperlink" Target="mailto:milisavljevic@rushstreetinteractive.com" TargetMode="External"/><Relationship Id="rId29" Type="http://schemas.openxmlformats.org/officeDocument/2006/relationships/hyperlink" Target="mailto:jas.sahi@6dg.co.uk" TargetMode="External"/><Relationship Id="rId11" Type="http://schemas.openxmlformats.org/officeDocument/2006/relationships/hyperlink" Target="mailto:chris.davis@storiogroup.com" TargetMode="External"/><Relationship Id="rId24" Type="http://schemas.openxmlformats.org/officeDocument/2006/relationships/hyperlink" Target="mailto:caoimhe.kelly@options-it.com" TargetMode="External"/><Relationship Id="rId32" Type="http://schemas.openxmlformats.org/officeDocument/2006/relationships/hyperlink" Target="mailto:tim.redding@photobox.com" TargetMode="External"/><Relationship Id="rId37" Type="http://schemas.openxmlformats.org/officeDocument/2006/relationships/hyperlink" Target="mailto:venkatmohan.kumar@ig.com" TargetMode="External"/><Relationship Id="rId40" Type="http://schemas.openxmlformats.org/officeDocument/2006/relationships/hyperlink" Target="mailto:naveed.khan@6dg.co.uk" TargetMode="External"/><Relationship Id="rId45" Type="http://schemas.openxmlformats.org/officeDocument/2006/relationships/hyperlink" Target="mailto:raunak.shamnani@zomato.com" TargetMode="External"/><Relationship Id="rId53" Type="http://schemas.openxmlformats.org/officeDocument/2006/relationships/hyperlink" Target="mailto:patrick.boyd@gearset.com" TargetMode="External"/><Relationship Id="rId58" Type="http://schemas.openxmlformats.org/officeDocument/2006/relationships/hyperlink" Target="mailto:divyanshu.mahajan@zomato.com" TargetMode="External"/><Relationship Id="rId5" Type="http://schemas.openxmlformats.org/officeDocument/2006/relationships/hyperlink" Target="mailto:angad.sharma@zomato.com" TargetMode="External"/><Relationship Id="rId19" Type="http://schemas.openxmlformats.org/officeDocument/2006/relationships/hyperlink" Target="mailto:armin400@live.com" TargetMode="External"/><Relationship Id="rId4" Type="http://schemas.openxmlformats.org/officeDocument/2006/relationships/hyperlink" Target="mailto:jamie.buchanan@thetrainline.com" TargetMode="External"/><Relationship Id="rId9" Type="http://schemas.openxmlformats.org/officeDocument/2006/relationships/hyperlink" Target="mailto:julian.wreford@gearset.com" TargetMode="External"/><Relationship Id="rId14" Type="http://schemas.openxmlformats.org/officeDocument/2006/relationships/hyperlink" Target="mailto:fraser.gillies@thetrainline.com" TargetMode="External"/><Relationship Id="rId22" Type="http://schemas.openxmlformats.org/officeDocument/2006/relationships/hyperlink" Target="mailto:mark.mcgarry@options-it.com" TargetMode="External"/><Relationship Id="rId27" Type="http://schemas.openxmlformats.org/officeDocument/2006/relationships/hyperlink" Target="mailto:divagar.durai@6dg.co.uk" TargetMode="External"/><Relationship Id="rId30" Type="http://schemas.openxmlformats.org/officeDocument/2006/relationships/hyperlink" Target="mailto:soumya.jk@thetrainline.com" TargetMode="External"/><Relationship Id="rId35" Type="http://schemas.openxmlformats.org/officeDocument/2006/relationships/hyperlink" Target="mailto:andy.knox@gearset.com" TargetMode="External"/><Relationship Id="rId43" Type="http://schemas.openxmlformats.org/officeDocument/2006/relationships/hyperlink" Target="mailto:zishan.sohail@6dg.co.uk" TargetMode="External"/><Relationship Id="rId48" Type="http://schemas.openxmlformats.org/officeDocument/2006/relationships/hyperlink" Target="mailto:akshat.goel@zomato.com" TargetMode="External"/><Relationship Id="rId56" Type="http://schemas.openxmlformats.org/officeDocument/2006/relationships/hyperlink" Target="mailto:donnchadh.tierney@options-it.com" TargetMode="External"/><Relationship Id="rId8" Type="http://schemas.openxmlformats.org/officeDocument/2006/relationships/hyperlink" Target="mailto:william.vanduynhoven@thomsonreuters.com" TargetMode="External"/><Relationship Id="rId51" Type="http://schemas.openxmlformats.org/officeDocument/2006/relationships/hyperlink" Target="mailto:kalp.jain@zomato.com" TargetMode="External"/><Relationship Id="rId3" Type="http://schemas.openxmlformats.org/officeDocument/2006/relationships/hyperlink" Target="mailto:baljit.chima@6dg.co.uk" TargetMode="External"/><Relationship Id="rId12" Type="http://schemas.openxmlformats.org/officeDocument/2006/relationships/hyperlink" Target="mailto:oli@gearset.com" TargetMode="External"/><Relationship Id="rId17" Type="http://schemas.openxmlformats.org/officeDocument/2006/relationships/hyperlink" Target="mailto:lakshminarayanan.sridhar@ig.com" TargetMode="External"/><Relationship Id="rId25" Type="http://schemas.openxmlformats.org/officeDocument/2006/relationships/hyperlink" Target="mailto:jack.norris@exclaimer.com" TargetMode="External"/><Relationship Id="rId33" Type="http://schemas.openxmlformats.org/officeDocument/2006/relationships/hyperlink" Target="mailto:meera.nadigadda@exclaimer.com" TargetMode="External"/><Relationship Id="rId38" Type="http://schemas.openxmlformats.org/officeDocument/2006/relationships/hyperlink" Target="mailto:alexander.hof@storiogroup.com" TargetMode="External"/><Relationship Id="rId46" Type="http://schemas.openxmlformats.org/officeDocument/2006/relationships/hyperlink" Target="mailto:amelia.horwood@options-it.com" TargetMode="External"/><Relationship Id="rId59" Type="http://schemas.openxmlformats.org/officeDocument/2006/relationships/hyperlink" Target="mailto:vallabh.vyas@dominos.co.uk" TargetMode="External"/><Relationship Id="rId20" Type="http://schemas.openxmlformats.org/officeDocument/2006/relationships/hyperlink" Target="mailto:pim.ewijk@albelli.com" TargetMode="External"/><Relationship Id="rId41" Type="http://schemas.openxmlformats.org/officeDocument/2006/relationships/hyperlink" Target="mailto:eveline.sparreboom@albelli.com" TargetMode="External"/><Relationship Id="rId54" Type="http://schemas.openxmlformats.org/officeDocument/2006/relationships/hyperlink" Target="mailto:ellie.walsh@options-it.com" TargetMode="External"/><Relationship Id="rId1" Type="http://schemas.openxmlformats.org/officeDocument/2006/relationships/hyperlink" Target="mailto:vdubey26@gmail.com" TargetMode="External"/><Relationship Id="rId6" Type="http://schemas.openxmlformats.org/officeDocument/2006/relationships/hyperlink" Target="mailto:michael.ward@6dg.co.uk" TargetMode="External"/><Relationship Id="rId15" Type="http://schemas.openxmlformats.org/officeDocument/2006/relationships/hyperlink" Target="mailto:naeem.khan@6dg.co.uk" TargetMode="External"/><Relationship Id="rId23" Type="http://schemas.openxmlformats.org/officeDocument/2006/relationships/hyperlink" Target="mailto:aamir.kapasi@albelli.com" TargetMode="External"/><Relationship Id="rId28" Type="http://schemas.openxmlformats.org/officeDocument/2006/relationships/hyperlink" Target="mailto:jessica.light@exclaimer.com" TargetMode="External"/><Relationship Id="rId36" Type="http://schemas.openxmlformats.org/officeDocument/2006/relationships/hyperlink" Target="mailto:chauhan.gaurav@zomato.com" TargetMode="External"/><Relationship Id="rId49" Type="http://schemas.openxmlformats.org/officeDocument/2006/relationships/hyperlink" Target="mailto:hamish.dewar@exclaimer.com" TargetMode="External"/><Relationship Id="rId57" Type="http://schemas.openxmlformats.org/officeDocument/2006/relationships/hyperlink" Target="mailto:seth.lohr@sonic.com" TargetMode="External"/><Relationship Id="rId10" Type="http://schemas.openxmlformats.org/officeDocument/2006/relationships/hyperlink" Target="mailto:peter.graham@options-it.com" TargetMode="External"/><Relationship Id="rId31" Type="http://schemas.openxmlformats.org/officeDocument/2006/relationships/hyperlink" Target="mailto:swetha.nayudu@dominos.co.uk" TargetMode="External"/><Relationship Id="rId44" Type="http://schemas.openxmlformats.org/officeDocument/2006/relationships/hyperlink" Target="mailto:anjali.sharma@ig.com" TargetMode="External"/><Relationship Id="rId52" Type="http://schemas.openxmlformats.org/officeDocument/2006/relationships/hyperlink" Target="mailto:aoife.breen@options-it.com" TargetMode="External"/><Relationship Id="rId60" Type="http://schemas.openxmlformats.org/officeDocument/2006/relationships/hyperlink" Target="mailto:joe.muller@soni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BCD6A-78D3-F54B-8C77-CA25D4846BDE}">
  <dimension ref="A1:F51"/>
  <sheetViews>
    <sheetView topLeftCell="A32" workbookViewId="0">
      <selection activeCell="F51" sqref="F51"/>
    </sheetView>
  </sheetViews>
  <sheetFormatPr baseColWidth="10" defaultColWidth="10.83203125" defaultRowHeight="16" x14ac:dyDescent="0.2"/>
  <cols>
    <col min="1" max="1" width="10" style="11" customWidth="1"/>
    <col min="2" max="2" width="19.5" style="11" customWidth="1"/>
    <col min="3" max="3" width="14" style="11" customWidth="1"/>
    <col min="4" max="4" width="13.1640625" style="11" customWidth="1"/>
    <col min="5" max="5" width="17.1640625" style="11" customWidth="1"/>
    <col min="6" max="6" width="16.1640625" style="11" customWidth="1"/>
    <col min="7" max="16384" width="10.83203125" style="11"/>
  </cols>
  <sheetData>
    <row r="1" spans="1:6" s="12" customForma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12" t="s">
        <v>1</v>
      </c>
    </row>
    <row r="2" spans="1:6" x14ac:dyDescent="0.2">
      <c r="A2" s="21">
        <v>8729</v>
      </c>
      <c r="B2" s="18" t="s">
        <v>5</v>
      </c>
      <c r="C2" s="23">
        <v>46148.474872685183</v>
      </c>
      <c r="D2" s="22">
        <v>32</v>
      </c>
      <c r="E2" s="22" t="s">
        <v>6</v>
      </c>
      <c r="F2" s="11">
        <f t="shared" ref="F2:F33" si="0">A2</f>
        <v>8729</v>
      </c>
    </row>
    <row r="3" spans="1:6" x14ac:dyDescent="0.2">
      <c r="A3" s="21">
        <v>8750</v>
      </c>
      <c r="B3" s="18" t="s">
        <v>7</v>
      </c>
      <c r="C3" s="23">
        <v>46149.364166666666</v>
      </c>
      <c r="D3" s="22">
        <v>43</v>
      </c>
      <c r="E3" s="22" t="s">
        <v>8</v>
      </c>
      <c r="F3" s="11">
        <f t="shared" si="0"/>
        <v>8750</v>
      </c>
    </row>
    <row r="4" spans="1:6" x14ac:dyDescent="0.2">
      <c r="A4" s="21">
        <v>8817</v>
      </c>
      <c r="B4" s="18" t="s">
        <v>5</v>
      </c>
      <c r="C4" s="23">
        <v>46153.471828703703</v>
      </c>
      <c r="D4" s="22">
        <v>26</v>
      </c>
      <c r="E4" s="22" t="s">
        <v>9</v>
      </c>
      <c r="F4" s="11">
        <f t="shared" si="0"/>
        <v>8817</v>
      </c>
    </row>
    <row r="5" spans="1:6" x14ac:dyDescent="0.2">
      <c r="A5" s="21">
        <v>8851</v>
      </c>
      <c r="B5" s="18" t="s">
        <v>10</v>
      </c>
      <c r="C5" s="23">
        <v>46154.469317129631</v>
      </c>
      <c r="D5" s="22">
        <v>35</v>
      </c>
      <c r="E5" s="22" t="s">
        <v>11</v>
      </c>
      <c r="F5" s="11">
        <f t="shared" si="0"/>
        <v>8851</v>
      </c>
    </row>
    <row r="6" spans="1:6" x14ac:dyDescent="0.2">
      <c r="A6" s="21">
        <v>8860</v>
      </c>
      <c r="B6" s="18" t="s">
        <v>12</v>
      </c>
      <c r="C6" s="23">
        <v>46154.588506944441</v>
      </c>
      <c r="D6" s="22">
        <v>30</v>
      </c>
      <c r="E6" s="22" t="s">
        <v>13</v>
      </c>
      <c r="F6" s="11">
        <f t="shared" si="0"/>
        <v>8860</v>
      </c>
    </row>
    <row r="7" spans="1:6" x14ac:dyDescent="0.2">
      <c r="A7" s="21">
        <v>8902</v>
      </c>
      <c r="B7" s="18" t="s">
        <v>14</v>
      </c>
      <c r="C7" s="23">
        <v>46156.380358796298</v>
      </c>
      <c r="D7" s="22">
        <v>38</v>
      </c>
      <c r="E7" s="22" t="s">
        <v>15</v>
      </c>
      <c r="F7" s="11">
        <f t="shared" si="0"/>
        <v>8902</v>
      </c>
    </row>
    <row r="8" spans="1:6" x14ac:dyDescent="0.2">
      <c r="A8" s="21">
        <v>8930</v>
      </c>
      <c r="B8" s="18" t="s">
        <v>16</v>
      </c>
      <c r="C8" s="23">
        <v>46157.338113425925</v>
      </c>
      <c r="D8" s="22">
        <v>26</v>
      </c>
      <c r="E8" s="22" t="s">
        <v>17</v>
      </c>
      <c r="F8" s="11">
        <f t="shared" si="0"/>
        <v>8930</v>
      </c>
    </row>
    <row r="9" spans="1:6" x14ac:dyDescent="0.2">
      <c r="A9" s="21">
        <v>8974</v>
      </c>
      <c r="B9" s="18" t="s">
        <v>18</v>
      </c>
      <c r="C9" s="23">
        <v>46160.423645833333</v>
      </c>
      <c r="D9" s="22">
        <v>25</v>
      </c>
      <c r="E9" s="22" t="s">
        <v>19</v>
      </c>
      <c r="F9" s="11">
        <f t="shared" si="0"/>
        <v>8974</v>
      </c>
    </row>
    <row r="10" spans="1:6" x14ac:dyDescent="0.2">
      <c r="A10" s="21">
        <v>8986</v>
      </c>
      <c r="B10" s="18" t="s">
        <v>20</v>
      </c>
      <c r="C10" s="23">
        <v>46160.548657407409</v>
      </c>
      <c r="D10" s="22">
        <v>23</v>
      </c>
      <c r="E10" s="22" t="s">
        <v>21</v>
      </c>
      <c r="F10" s="11">
        <f t="shared" si="0"/>
        <v>8986</v>
      </c>
    </row>
    <row r="11" spans="1:6" x14ac:dyDescent="0.2">
      <c r="A11" s="21">
        <v>8993</v>
      </c>
      <c r="B11" s="18" t="s">
        <v>22</v>
      </c>
      <c r="C11" s="23">
        <v>46160.586643518516</v>
      </c>
      <c r="D11" s="22">
        <v>33</v>
      </c>
      <c r="E11" s="22" t="s">
        <v>23</v>
      </c>
      <c r="F11" s="11">
        <f t="shared" si="0"/>
        <v>8993</v>
      </c>
    </row>
    <row r="12" spans="1:6" x14ac:dyDescent="0.2">
      <c r="A12" s="21">
        <v>8997</v>
      </c>
      <c r="B12" s="18" t="s">
        <v>24</v>
      </c>
      <c r="C12" s="23">
        <v>46160.634398148148</v>
      </c>
      <c r="D12" s="22">
        <v>32</v>
      </c>
      <c r="E12" s="22" t="s">
        <v>25</v>
      </c>
      <c r="F12" s="11">
        <f t="shared" si="0"/>
        <v>8997</v>
      </c>
    </row>
    <row r="13" spans="1:6" x14ac:dyDescent="0.2">
      <c r="A13" s="21">
        <v>9021</v>
      </c>
      <c r="B13" s="18" t="s">
        <v>26</v>
      </c>
      <c r="C13" s="23">
        <v>46161.380868055552</v>
      </c>
      <c r="D13" s="22">
        <v>44</v>
      </c>
      <c r="E13" s="22" t="s">
        <v>27</v>
      </c>
      <c r="F13" s="11">
        <f t="shared" si="0"/>
        <v>9021</v>
      </c>
    </row>
    <row r="14" spans="1:6" x14ac:dyDescent="0.2">
      <c r="A14" s="21">
        <v>9025</v>
      </c>
      <c r="B14" s="18" t="s">
        <v>28</v>
      </c>
      <c r="C14" s="23">
        <v>46161.462835648148</v>
      </c>
      <c r="D14" s="22">
        <v>24</v>
      </c>
      <c r="E14" s="22" t="s">
        <v>29</v>
      </c>
      <c r="F14" s="11">
        <f t="shared" si="0"/>
        <v>9025</v>
      </c>
    </row>
    <row r="15" spans="1:6" x14ac:dyDescent="0.2">
      <c r="A15" s="21">
        <v>9030</v>
      </c>
      <c r="B15" s="18" t="s">
        <v>30</v>
      </c>
      <c r="C15" s="23">
        <v>46161.547638888886</v>
      </c>
      <c r="D15" s="22">
        <v>41</v>
      </c>
      <c r="E15" s="22" t="s">
        <v>31</v>
      </c>
      <c r="F15" s="11">
        <f t="shared" si="0"/>
        <v>9030</v>
      </c>
    </row>
    <row r="16" spans="1:6" x14ac:dyDescent="0.2">
      <c r="A16" s="21">
        <v>9032</v>
      </c>
      <c r="B16" s="18" t="s">
        <v>32</v>
      </c>
      <c r="C16" s="23">
        <v>46161.585127314815</v>
      </c>
      <c r="D16" s="22">
        <v>41</v>
      </c>
      <c r="E16" s="22" t="s">
        <v>33</v>
      </c>
      <c r="F16" s="11">
        <f t="shared" si="0"/>
        <v>9032</v>
      </c>
    </row>
    <row r="17" spans="1:6" x14ac:dyDescent="0.2">
      <c r="A17" s="21">
        <v>9033</v>
      </c>
      <c r="B17" s="18" t="s">
        <v>34</v>
      </c>
      <c r="C17" s="23">
        <v>46161.58934027778</v>
      </c>
      <c r="D17" s="22">
        <v>27</v>
      </c>
      <c r="E17" s="22" t="s">
        <v>35</v>
      </c>
      <c r="F17" s="11">
        <f t="shared" si="0"/>
        <v>9033</v>
      </c>
    </row>
    <row r="18" spans="1:6" x14ac:dyDescent="0.2">
      <c r="A18" s="21">
        <v>9044</v>
      </c>
      <c r="B18" s="18" t="s">
        <v>36</v>
      </c>
      <c r="C18" s="23">
        <v>46162.282094907408</v>
      </c>
      <c r="D18" s="22">
        <v>22</v>
      </c>
      <c r="E18" s="22" t="s">
        <v>37</v>
      </c>
      <c r="F18" s="11">
        <f t="shared" si="0"/>
        <v>9044</v>
      </c>
    </row>
    <row r="19" spans="1:6" x14ac:dyDescent="0.2">
      <c r="A19" s="21">
        <v>9046</v>
      </c>
      <c r="B19" s="18" t="s">
        <v>38</v>
      </c>
      <c r="C19" s="23">
        <v>46162.362164351849</v>
      </c>
      <c r="D19" s="22">
        <v>35</v>
      </c>
      <c r="E19" s="22" t="s">
        <v>39</v>
      </c>
      <c r="F19" s="11">
        <f t="shared" si="0"/>
        <v>9046</v>
      </c>
    </row>
    <row r="20" spans="1:6" x14ac:dyDescent="0.2">
      <c r="A20" s="21">
        <v>9050</v>
      </c>
      <c r="B20" s="18" t="s">
        <v>40</v>
      </c>
      <c r="C20" s="23">
        <v>46162.425763888888</v>
      </c>
      <c r="D20" s="22">
        <v>26</v>
      </c>
      <c r="E20" s="22" t="s">
        <v>41</v>
      </c>
      <c r="F20" s="11">
        <f t="shared" si="0"/>
        <v>9050</v>
      </c>
    </row>
    <row r="21" spans="1:6" x14ac:dyDescent="0.2">
      <c r="A21" s="21">
        <v>9051</v>
      </c>
      <c r="B21" s="18" t="s">
        <v>42</v>
      </c>
      <c r="C21" s="23">
        <v>46162.462118055555</v>
      </c>
      <c r="D21" s="22">
        <v>29</v>
      </c>
      <c r="E21" s="22" t="s">
        <v>43</v>
      </c>
      <c r="F21" s="11">
        <f t="shared" si="0"/>
        <v>9051</v>
      </c>
    </row>
    <row r="22" spans="1:6" x14ac:dyDescent="0.2">
      <c r="A22" s="21">
        <v>9052</v>
      </c>
      <c r="B22" s="18" t="s">
        <v>44</v>
      </c>
      <c r="C22" s="23">
        <v>46162.462835648148</v>
      </c>
      <c r="D22" s="22">
        <v>30</v>
      </c>
      <c r="E22" s="22" t="s">
        <v>45</v>
      </c>
      <c r="F22" s="11">
        <f t="shared" si="0"/>
        <v>9052</v>
      </c>
    </row>
    <row r="23" spans="1:6" x14ac:dyDescent="0.2">
      <c r="A23" s="21">
        <v>9053</v>
      </c>
      <c r="B23" s="18" t="s">
        <v>46</v>
      </c>
      <c r="C23" s="23">
        <v>46162.502928240741</v>
      </c>
      <c r="D23" s="22">
        <v>43</v>
      </c>
      <c r="E23" s="22" t="s">
        <v>47</v>
      </c>
      <c r="F23" s="11">
        <f t="shared" si="0"/>
        <v>9053</v>
      </c>
    </row>
    <row r="24" spans="1:6" x14ac:dyDescent="0.2">
      <c r="A24" s="21">
        <v>9056</v>
      </c>
      <c r="B24" s="18" t="s">
        <v>48</v>
      </c>
      <c r="C24" s="23">
        <v>46162.544594907406</v>
      </c>
      <c r="D24" s="22">
        <v>26</v>
      </c>
      <c r="E24" s="22" t="s">
        <v>49</v>
      </c>
      <c r="F24" s="11">
        <f t="shared" si="0"/>
        <v>9056</v>
      </c>
    </row>
    <row r="25" spans="1:6" x14ac:dyDescent="0.2">
      <c r="A25" s="21">
        <v>9057</v>
      </c>
      <c r="B25" s="18" t="s">
        <v>50</v>
      </c>
      <c r="C25" s="23">
        <v>46162.547685185185</v>
      </c>
      <c r="D25" s="22">
        <v>20</v>
      </c>
      <c r="E25" s="22" t="s">
        <v>51</v>
      </c>
      <c r="F25" s="11">
        <f t="shared" si="0"/>
        <v>9057</v>
      </c>
    </row>
    <row r="26" spans="1:6" x14ac:dyDescent="0.2">
      <c r="A26" s="21">
        <v>9060</v>
      </c>
      <c r="B26" s="18" t="s">
        <v>52</v>
      </c>
      <c r="C26" s="23">
        <v>46162.586261574077</v>
      </c>
      <c r="D26" s="22">
        <v>43</v>
      </c>
      <c r="E26" s="22" t="s">
        <v>53</v>
      </c>
      <c r="F26" s="11">
        <f t="shared" si="0"/>
        <v>9060</v>
      </c>
    </row>
    <row r="27" spans="1:6" x14ac:dyDescent="0.2">
      <c r="A27" s="21">
        <v>9071</v>
      </c>
      <c r="B27" s="18" t="s">
        <v>54</v>
      </c>
      <c r="C27" s="23">
        <v>46163.342870370368</v>
      </c>
      <c r="D27" s="22">
        <v>32</v>
      </c>
      <c r="E27" s="22" t="s">
        <v>55</v>
      </c>
      <c r="F27" s="11">
        <f t="shared" si="0"/>
        <v>9071</v>
      </c>
    </row>
    <row r="28" spans="1:6" x14ac:dyDescent="0.2">
      <c r="A28" s="21">
        <v>9080</v>
      </c>
      <c r="B28" s="18" t="s">
        <v>56</v>
      </c>
      <c r="C28" s="23">
        <v>46163.465266203704</v>
      </c>
      <c r="D28" s="22">
        <v>34</v>
      </c>
      <c r="E28" s="22" t="s">
        <v>57</v>
      </c>
      <c r="F28" s="11">
        <f t="shared" si="0"/>
        <v>9080</v>
      </c>
    </row>
    <row r="29" spans="1:6" x14ac:dyDescent="0.2">
      <c r="A29" s="21">
        <v>9082</v>
      </c>
      <c r="B29" s="18" t="s">
        <v>58</v>
      </c>
      <c r="C29" s="23">
        <v>46163.493356481478</v>
      </c>
      <c r="D29" s="22">
        <v>33</v>
      </c>
      <c r="E29" s="22" t="s">
        <v>59</v>
      </c>
      <c r="F29" s="11">
        <f t="shared" si="0"/>
        <v>9082</v>
      </c>
    </row>
    <row r="30" spans="1:6" x14ac:dyDescent="0.2">
      <c r="A30" s="21">
        <v>9083</v>
      </c>
      <c r="B30" s="18" t="s">
        <v>60</v>
      </c>
      <c r="C30" s="23">
        <v>46163.503194444442</v>
      </c>
      <c r="D30" s="22">
        <v>27</v>
      </c>
      <c r="E30" s="22" t="s">
        <v>61</v>
      </c>
      <c r="F30" s="11">
        <f t="shared" si="0"/>
        <v>9083</v>
      </c>
    </row>
    <row r="31" spans="1:6" x14ac:dyDescent="0.2">
      <c r="A31" s="21">
        <v>9084</v>
      </c>
      <c r="B31" s="18" t="s">
        <v>62</v>
      </c>
      <c r="C31" s="23">
        <v>46163.506990740738</v>
      </c>
      <c r="D31" s="22">
        <v>33</v>
      </c>
      <c r="E31" s="22" t="s">
        <v>63</v>
      </c>
      <c r="F31" s="11">
        <f t="shared" si="0"/>
        <v>9084</v>
      </c>
    </row>
    <row r="32" spans="1:6" x14ac:dyDescent="0.2">
      <c r="A32" s="21">
        <v>9085</v>
      </c>
      <c r="B32" s="18" t="s">
        <v>64</v>
      </c>
      <c r="C32" s="23">
        <v>46163.50608796296</v>
      </c>
      <c r="D32" s="22">
        <v>38</v>
      </c>
      <c r="E32" s="22" t="s">
        <v>65</v>
      </c>
      <c r="F32" s="11">
        <f t="shared" si="0"/>
        <v>9085</v>
      </c>
    </row>
    <row r="33" spans="1:6" x14ac:dyDescent="0.2">
      <c r="A33" s="21">
        <v>9096</v>
      </c>
      <c r="B33" s="18" t="s">
        <v>66</v>
      </c>
      <c r="C33" s="23">
        <v>46164.318298611113</v>
      </c>
      <c r="D33" s="22">
        <v>35</v>
      </c>
      <c r="E33" s="22" t="s">
        <v>67</v>
      </c>
      <c r="F33" s="11">
        <f t="shared" si="0"/>
        <v>9096</v>
      </c>
    </row>
    <row r="34" spans="1:6" x14ac:dyDescent="0.2">
      <c r="A34" s="21">
        <v>9103</v>
      </c>
      <c r="B34" s="18" t="s">
        <v>68</v>
      </c>
      <c r="C34" s="23">
        <v>46164.464189814818</v>
      </c>
      <c r="D34" s="22">
        <v>36</v>
      </c>
      <c r="E34" s="22" t="s">
        <v>69</v>
      </c>
      <c r="F34" s="11">
        <f t="shared" ref="F34:F51" si="1">A34</f>
        <v>9103</v>
      </c>
    </row>
    <row r="35" spans="1:6" x14ac:dyDescent="0.2">
      <c r="A35" s="21">
        <v>9107</v>
      </c>
      <c r="B35" s="18" t="s">
        <v>70</v>
      </c>
      <c r="C35" s="23">
        <v>46164.545266203706</v>
      </c>
      <c r="D35" s="22">
        <v>23</v>
      </c>
      <c r="E35" s="22" t="s">
        <v>71</v>
      </c>
      <c r="F35" s="11">
        <f t="shared" si="1"/>
        <v>9107</v>
      </c>
    </row>
    <row r="36" spans="1:6" x14ac:dyDescent="0.2">
      <c r="A36" s="21">
        <v>9108</v>
      </c>
      <c r="B36" s="18" t="s">
        <v>72</v>
      </c>
      <c r="C36" s="23">
        <v>46164.552025462966</v>
      </c>
      <c r="D36" s="22">
        <v>31</v>
      </c>
      <c r="E36" s="22" t="s">
        <v>73</v>
      </c>
      <c r="F36" s="11">
        <f t="shared" si="1"/>
        <v>9108</v>
      </c>
    </row>
    <row r="37" spans="1:6" x14ac:dyDescent="0.2">
      <c r="A37" s="21">
        <v>9109</v>
      </c>
      <c r="B37" s="18" t="s">
        <v>74</v>
      </c>
      <c r="C37" s="23">
        <v>46164.589398148149</v>
      </c>
      <c r="D37" s="22">
        <v>31</v>
      </c>
      <c r="E37" s="22" t="s">
        <v>75</v>
      </c>
      <c r="F37" s="11">
        <f t="shared" si="1"/>
        <v>9109</v>
      </c>
    </row>
    <row r="38" spans="1:6" x14ac:dyDescent="0.2">
      <c r="A38" s="21">
        <v>9112</v>
      </c>
      <c r="B38" s="18" t="s">
        <v>76</v>
      </c>
      <c r="C38" s="23">
        <v>46164.708252314813</v>
      </c>
      <c r="D38" s="22">
        <v>30</v>
      </c>
      <c r="E38" s="22" t="s">
        <v>77</v>
      </c>
      <c r="F38" s="11">
        <f t="shared" si="1"/>
        <v>9112</v>
      </c>
    </row>
    <row r="39" spans="1:6" x14ac:dyDescent="0.2">
      <c r="A39" s="21">
        <v>9115</v>
      </c>
      <c r="B39" s="18" t="s">
        <v>78</v>
      </c>
      <c r="C39" s="23">
        <v>46168.277141203704</v>
      </c>
      <c r="D39" s="22">
        <v>34</v>
      </c>
      <c r="E39" s="22" t="s">
        <v>79</v>
      </c>
      <c r="F39" s="11">
        <f t="shared" si="1"/>
        <v>9115</v>
      </c>
    </row>
    <row r="40" spans="1:6" x14ac:dyDescent="0.2">
      <c r="A40" s="21">
        <v>9121</v>
      </c>
      <c r="B40" s="18" t="s">
        <v>80</v>
      </c>
      <c r="C40" s="23">
        <v>46168.380659722221</v>
      </c>
      <c r="D40" s="22">
        <v>32</v>
      </c>
      <c r="E40" s="22" t="s">
        <v>81</v>
      </c>
      <c r="F40" s="11">
        <f t="shared" si="1"/>
        <v>9121</v>
      </c>
    </row>
    <row r="41" spans="1:6" x14ac:dyDescent="0.2">
      <c r="A41" s="21">
        <v>9142</v>
      </c>
      <c r="B41" s="18" t="s">
        <v>82</v>
      </c>
      <c r="C41" s="23">
        <v>46168.631874999999</v>
      </c>
      <c r="D41" s="22">
        <v>45</v>
      </c>
      <c r="E41" s="22" t="s">
        <v>83</v>
      </c>
      <c r="F41" s="11">
        <f t="shared" si="1"/>
        <v>9142</v>
      </c>
    </row>
    <row r="42" spans="1:6" x14ac:dyDescent="0.2">
      <c r="A42" s="21">
        <v>9148</v>
      </c>
      <c r="B42" s="18" t="s">
        <v>84</v>
      </c>
      <c r="C42" s="23">
        <v>46169.384166666663</v>
      </c>
      <c r="D42" s="22">
        <v>39</v>
      </c>
      <c r="E42" s="22" t="s">
        <v>85</v>
      </c>
      <c r="F42" s="11">
        <f t="shared" si="1"/>
        <v>9148</v>
      </c>
    </row>
    <row r="43" spans="1:6" x14ac:dyDescent="0.2">
      <c r="A43" s="21">
        <v>9150</v>
      </c>
      <c r="B43" s="18" t="s">
        <v>86</v>
      </c>
      <c r="C43" s="23">
        <v>46169.421400462961</v>
      </c>
      <c r="D43" s="22">
        <v>42</v>
      </c>
      <c r="E43" s="22" t="s">
        <v>87</v>
      </c>
      <c r="F43" s="11">
        <f t="shared" si="1"/>
        <v>9150</v>
      </c>
    </row>
    <row r="44" spans="1:6" x14ac:dyDescent="0.2">
      <c r="A44" s="21">
        <v>9154</v>
      </c>
      <c r="B44" s="18" t="s">
        <v>88</v>
      </c>
      <c r="C44" s="23">
        <v>46169.445694444446</v>
      </c>
      <c r="D44" s="22">
        <v>27</v>
      </c>
      <c r="E44" s="22" t="s">
        <v>89</v>
      </c>
      <c r="F44" s="11">
        <f t="shared" si="1"/>
        <v>9154</v>
      </c>
    </row>
    <row r="45" spans="1:6" x14ac:dyDescent="0.2">
      <c r="A45" s="21">
        <v>9155</v>
      </c>
      <c r="B45" s="18" t="s">
        <v>90</v>
      </c>
      <c r="C45" s="23">
        <v>46169.463946759257</v>
      </c>
      <c r="D45" s="22">
        <v>24</v>
      </c>
      <c r="E45" s="22" t="s">
        <v>91</v>
      </c>
      <c r="F45" s="11">
        <f t="shared" si="1"/>
        <v>9155</v>
      </c>
    </row>
    <row r="46" spans="1:6" x14ac:dyDescent="0.2">
      <c r="A46" s="21">
        <v>9159</v>
      </c>
      <c r="B46" s="18" t="s">
        <v>92</v>
      </c>
      <c r="C46" s="23">
        <v>46169.509791666664</v>
      </c>
      <c r="D46" s="22">
        <v>36</v>
      </c>
      <c r="E46" s="22" t="s">
        <v>93</v>
      </c>
      <c r="F46" s="11">
        <f t="shared" si="1"/>
        <v>9159</v>
      </c>
    </row>
    <row r="47" spans="1:6" x14ac:dyDescent="0.2">
      <c r="A47" s="21">
        <v>9171</v>
      </c>
      <c r="B47" s="18" t="s">
        <v>94</v>
      </c>
      <c r="C47" s="23">
        <v>46170.340555555558</v>
      </c>
      <c r="D47" s="22">
        <v>36</v>
      </c>
      <c r="E47" s="22" t="s">
        <v>95</v>
      </c>
      <c r="F47" s="11">
        <f t="shared" si="1"/>
        <v>9171</v>
      </c>
    </row>
    <row r="48" spans="1:6" x14ac:dyDescent="0.2">
      <c r="A48" s="21">
        <v>9173</v>
      </c>
      <c r="B48" s="18" t="s">
        <v>96</v>
      </c>
      <c r="C48" s="23">
        <v>46170.384606481479</v>
      </c>
      <c r="D48" s="22">
        <v>22</v>
      </c>
      <c r="E48" s="22" t="s">
        <v>97</v>
      </c>
      <c r="F48" s="11">
        <f t="shared" si="1"/>
        <v>9173</v>
      </c>
    </row>
    <row r="49" spans="1:6" x14ac:dyDescent="0.2">
      <c r="A49" s="21">
        <v>9175</v>
      </c>
      <c r="B49" s="18" t="s">
        <v>98</v>
      </c>
      <c r="C49" s="23">
        <v>46170.420185185183</v>
      </c>
      <c r="D49" s="22">
        <v>24</v>
      </c>
      <c r="E49" s="22" t="s">
        <v>99</v>
      </c>
      <c r="F49" s="11">
        <f t="shared" si="1"/>
        <v>9175</v>
      </c>
    </row>
    <row r="50" spans="1:6" x14ac:dyDescent="0.2">
      <c r="A50" s="21">
        <v>9176</v>
      </c>
      <c r="B50" s="18" t="s">
        <v>100</v>
      </c>
      <c r="C50" s="23">
        <v>46170.420312499999</v>
      </c>
      <c r="D50" s="22">
        <v>25</v>
      </c>
      <c r="E50" s="22" t="s">
        <v>101</v>
      </c>
      <c r="F50" s="11">
        <f t="shared" si="1"/>
        <v>9176</v>
      </c>
    </row>
    <row r="51" spans="1:6" x14ac:dyDescent="0.2">
      <c r="A51" s="21">
        <v>9177</v>
      </c>
      <c r="B51" s="18" t="s">
        <v>102</v>
      </c>
      <c r="C51" s="23">
        <v>46170.420601851853</v>
      </c>
      <c r="D51" s="22">
        <v>30</v>
      </c>
      <c r="E51" s="22" t="s">
        <v>103</v>
      </c>
      <c r="F51" s="11">
        <f t="shared" si="1"/>
        <v>9177</v>
      </c>
    </row>
  </sheetData>
  <sortState xmlns:xlrd2="http://schemas.microsoft.com/office/spreadsheetml/2017/richdata2" ref="A2:F51">
    <sortCondition ref="A2:A51"/>
  </sortState>
  <hyperlinks>
    <hyperlink ref="B25" r:id="rId1" xr:uid="{2227688C-37D8-4494-A804-E0C26AAE4FEE}"/>
    <hyperlink ref="B48" r:id="rId2" xr:uid="{9FC3A4EC-BA41-4D18-B73C-98893CF67A23}"/>
    <hyperlink ref="B18" r:id="rId3" xr:uid="{D186F3D3-2C63-43C7-BFF0-151C6B30D8C7}"/>
    <hyperlink ref="B10" r:id="rId4" xr:uid="{C1A58150-87C8-478E-B0FB-04B9EF9B0112}"/>
    <hyperlink ref="B35" r:id="rId5" xr:uid="{C7DA73EB-3A19-4816-A4E1-39700B83EF67}"/>
    <hyperlink ref="B14" r:id="rId6" xr:uid="{108BBF9B-3DAA-40B5-B59A-0E54BEFFB4BC}"/>
    <hyperlink ref="B45" r:id="rId7" xr:uid="{A4D2E9C9-6E0A-4246-A12E-DC6AD20B5A77}"/>
    <hyperlink ref="B49" r:id="rId8" xr:uid="{AFD0178F-1194-42E5-BEB6-F8715838DF58}"/>
    <hyperlink ref="B50" r:id="rId9" xr:uid="{83EE3086-240B-43FD-B18A-40DB335E70A3}"/>
    <hyperlink ref="B9" r:id="rId10" xr:uid="{47604A94-AF00-4AFF-8A13-4419D67C6F78}"/>
    <hyperlink ref="B4" r:id="rId11" xr:uid="{AB8273E2-5D9C-4524-A191-50CACC97E89C}"/>
    <hyperlink ref="B24" r:id="rId12" xr:uid="{103988DC-79B9-49D0-9F71-D855DD142542}"/>
    <hyperlink ref="B20" r:id="rId13" xr:uid="{B0FEFF5B-0565-4E1B-BBF0-744B8097FBC4}"/>
    <hyperlink ref="B8" r:id="rId14" xr:uid="{C905802D-4CA5-46A4-878C-7C5EB1B7A598}"/>
    <hyperlink ref="B30" r:id="rId15" xr:uid="{606939EB-B10F-46ED-8F6A-CCAFB73A9965}"/>
    <hyperlink ref="B17" r:id="rId16" xr:uid="{65D875D9-B143-4F5C-9D39-10347A3CB8FC}"/>
    <hyperlink ref="B44" r:id="rId17" xr:uid="{C7877573-154E-4EAA-841E-F463F61B3453}"/>
    <hyperlink ref="B21" r:id="rId18" xr:uid="{9117EC36-EFF3-4E0A-B1BB-212C3CC357FA}"/>
    <hyperlink ref="B22" r:id="rId19" xr:uid="{6033CAA5-0C6C-4B57-B015-461B3F7B3841}"/>
    <hyperlink ref="B6" r:id="rId20" xr:uid="{E7F77719-117C-4014-ABC6-64D15F3958FB}"/>
    <hyperlink ref="B38" r:id="rId21" xr:uid="{611F06E9-7FD9-47C3-BD12-8762EA7B85E5}"/>
    <hyperlink ref="B51" r:id="rId22" xr:uid="{708B6A51-1C24-425F-963A-B07F3C3EE39A}"/>
    <hyperlink ref="B37" r:id="rId23" xr:uid="{7483D8FE-37E2-4BC8-AFF3-23ABACD466C4}"/>
    <hyperlink ref="B36" r:id="rId24" xr:uid="{EF897CB8-8EE1-4956-9E79-D565152DF194}"/>
    <hyperlink ref="B40" r:id="rId25" xr:uid="{79215665-9AA6-4A5E-8443-A9747793FEDE}"/>
    <hyperlink ref="B12" r:id="rId26" xr:uid="{A910F0E3-9D35-425D-9083-783F39FAFEF2}"/>
    <hyperlink ref="B27" r:id="rId27" xr:uid="{8E112EE2-B790-4223-BF45-22769D2B7C8F}"/>
    <hyperlink ref="B2" r:id="rId28" xr:uid="{BBF56B8D-957A-4AEE-AACE-FEF1593F46B0}"/>
    <hyperlink ref="B31" r:id="rId29" xr:uid="{2AA42F92-EE00-4B36-B91F-9CD6D3489FD4}"/>
    <hyperlink ref="B11" r:id="rId30" xr:uid="{51F51E7C-D620-482B-B7B2-31A4AD311F38}"/>
    <hyperlink ref="B29" r:id="rId31" xr:uid="{E13EFAAE-655F-465D-9284-5072C32536FF}"/>
    <hyperlink ref="B28" r:id="rId32" xr:uid="{557318F7-91BB-4253-8201-B17A1A87C8FC}"/>
    <hyperlink ref="B39" r:id="rId33" xr:uid="{365F5E40-7080-45B1-A8E9-ACBF8A0316FC}"/>
    <hyperlink ref="B33" r:id="rId34" xr:uid="{1A787121-61DD-4E4F-8542-3AB7A985162F}"/>
    <hyperlink ref="B5" r:id="rId35" xr:uid="{DEE4CFF4-FAC1-429F-9CFE-7A83137A223F}"/>
    <hyperlink ref="B19" r:id="rId36" xr:uid="{D22E0568-C16C-440F-950B-ECEAA40040F1}"/>
    <hyperlink ref="B34" r:id="rId37" xr:uid="{33A8E863-7C56-414E-8BD3-1C1BD6660F62}"/>
    <hyperlink ref="B47" r:id="rId38" xr:uid="{EFCAFDB8-CC6A-4F02-A08D-5C78557D7CD9}"/>
    <hyperlink ref="B46" r:id="rId39" xr:uid="{E50E4D3B-3F50-4881-9E26-575C982A4651}"/>
    <hyperlink ref="B7" r:id="rId40" xr:uid="{DB5B14AF-5B3F-4915-B572-6CD427470CC2}"/>
    <hyperlink ref="B32" r:id="rId41" xr:uid="{0AF72145-13CD-4D91-9329-985723FFDFE3}"/>
    <hyperlink ref="B42" r:id="rId42" xr:uid="{1C91A3F4-E35D-4F4B-9A5B-0F9E0A5BE509}"/>
    <hyperlink ref="B15" r:id="rId43" xr:uid="{441DF9F9-36BF-4DA3-922B-41AA08DA34D5}"/>
    <hyperlink ref="B16" r:id="rId44" xr:uid="{FA854A07-D9B5-4D10-91D4-B0D7DE46414D}"/>
    <hyperlink ref="B43" r:id="rId45" xr:uid="{ECE51A49-A177-477F-AB07-D331E4990B8B}"/>
    <hyperlink ref="B3" r:id="rId46" xr:uid="{3183381C-DAB4-4535-AEAB-BB1A7C44704A}"/>
    <hyperlink ref="B26" r:id="rId47" xr:uid="{204289B8-04E7-459C-B359-F7606015499A}"/>
    <hyperlink ref="B23" r:id="rId48" xr:uid="{EC506C76-CD5C-4D81-A791-51BC5F1400B0}"/>
    <hyperlink ref="B13" r:id="rId49" xr:uid="{1D698647-55A4-4277-AC52-AA13EC5C400E}"/>
    <hyperlink ref="B41" r:id="rId50" xr:uid="{30037462-5DB6-4431-B996-8D13C4492E5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8"/>
  <sheetViews>
    <sheetView tabSelected="1" topLeftCell="A144" zoomScale="200" workbookViewId="0">
      <selection activeCell="D1" sqref="D1:D1048576"/>
    </sheetView>
  </sheetViews>
  <sheetFormatPr baseColWidth="10" defaultColWidth="8.83203125" defaultRowHeight="15" x14ac:dyDescent="0.2"/>
  <cols>
    <col min="1" max="1" width="14.6640625" customWidth="1"/>
    <col min="2" max="2" width="13" customWidth="1"/>
    <col min="3" max="3" width="13.83203125" customWidth="1"/>
    <col min="4" max="4" width="16.33203125" style="1" customWidth="1"/>
    <col min="5" max="5" width="23.5" customWidth="1"/>
    <col min="6" max="6" width="54.5" customWidth="1"/>
  </cols>
  <sheetData>
    <row r="1" spans="1:7" x14ac:dyDescent="0.2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1</v>
      </c>
      <c r="G1" s="28" t="s">
        <v>109</v>
      </c>
    </row>
    <row r="2" spans="1:7" x14ac:dyDescent="0.2">
      <c r="A2" s="3">
        <v>9532</v>
      </c>
      <c r="B2" s="4" t="s">
        <v>110</v>
      </c>
      <c r="C2" s="4" t="s">
        <v>111</v>
      </c>
      <c r="D2" s="5">
        <v>70.3</v>
      </c>
      <c r="E2" s="4" t="s">
        <v>112</v>
      </c>
      <c r="F2" s="37" t="str">
        <f>VLOOKUP(A2, 'Snipe Hunt Time'!C$2:F$200, 4, FALSE)</f>
        <v>lew.radam@withersworldwide.com</v>
      </c>
    </row>
    <row r="3" spans="1:7" ht="12" customHeight="1" x14ac:dyDescent="0.2">
      <c r="A3" s="3">
        <v>8851</v>
      </c>
      <c r="B3" s="4" t="s">
        <v>113</v>
      </c>
      <c r="C3" s="4" t="s">
        <v>114</v>
      </c>
      <c r="D3" s="5">
        <v>70</v>
      </c>
      <c r="E3" s="4" t="s">
        <v>115</v>
      </c>
      <c r="F3" t="str">
        <f>VLOOKUP(A3, 'Snipe Hunt Time'!C$2:F$200, 4, FALSE)</f>
        <v>angad.sharma@zomato.com</v>
      </c>
      <c r="G3" t="str">
        <f>IF(ISNUMBER(FIND("dominos", F3)), "dominos", "-")</f>
        <v>-</v>
      </c>
    </row>
    <row r="4" spans="1:7" s="36" customFormat="1" x14ac:dyDescent="0.2">
      <c r="A4" s="3">
        <v>9497</v>
      </c>
      <c r="B4" s="4" t="s">
        <v>113</v>
      </c>
      <c r="C4" s="4" t="s">
        <v>116</v>
      </c>
      <c r="D4" s="5">
        <v>65</v>
      </c>
      <c r="E4" s="4" t="s">
        <v>117</v>
      </c>
      <c r="F4" s="37" t="str">
        <f>VLOOKUP(A4, 'Snipe Hunt Time'!C$2:F$200, 4, FALSE)</f>
        <v>rosie.miller@gearset.com</v>
      </c>
      <c r="G4"/>
    </row>
    <row r="5" spans="1:7" s="19" customFormat="1" x14ac:dyDescent="0.2">
      <c r="A5" s="3">
        <v>9084</v>
      </c>
      <c r="B5" s="4" t="s">
        <v>113</v>
      </c>
      <c r="C5" s="4" t="s">
        <v>118</v>
      </c>
      <c r="D5" s="5">
        <v>64.2</v>
      </c>
      <c r="E5" s="4" t="s">
        <v>119</v>
      </c>
      <c r="F5" t="str">
        <f>VLOOKUP(A5, 'Snipe Hunt Time'!C$2:F$200, 4, FALSE)</f>
        <v>david.emmerson@gearset.com</v>
      </c>
      <c r="G5" t="str">
        <f>IF(ISNUMBER(FIND("dominos", F5)), "dominos", "-")</f>
        <v>-</v>
      </c>
    </row>
    <row r="6" spans="1:7" x14ac:dyDescent="0.2">
      <c r="A6" s="42">
        <v>9456</v>
      </c>
      <c r="B6" s="43" t="s">
        <v>113</v>
      </c>
      <c r="C6" s="43" t="s">
        <v>118</v>
      </c>
      <c r="D6" s="44">
        <v>64.2</v>
      </c>
      <c r="E6" s="43" t="s">
        <v>120</v>
      </c>
      <c r="F6" s="38" t="str">
        <f>VLOOKUP(A6, 'Snipe Hunt Time'!C$2:F$200, 4, FALSE)</f>
        <v>qasim.altaf@6dg.co.uk</v>
      </c>
      <c r="G6" s="36"/>
    </row>
    <row r="7" spans="1:7" x14ac:dyDescent="0.2">
      <c r="A7" s="3">
        <v>9063</v>
      </c>
      <c r="B7" s="4" t="s">
        <v>113</v>
      </c>
      <c r="C7" s="4" t="s">
        <v>121</v>
      </c>
      <c r="D7" s="5">
        <v>63.4</v>
      </c>
      <c r="E7" s="4" t="s">
        <v>122</v>
      </c>
      <c r="F7" t="str">
        <f>VLOOKUP(A7, 'Snipe Hunt Time'!C$2:F$200, 4, FALSE)</f>
        <v>andy.knox@gearset.com</v>
      </c>
      <c r="G7" t="str">
        <f>IF(ISNUMBER(FIND("dominos", F7)), "dominos", "-")</f>
        <v>-</v>
      </c>
    </row>
    <row r="8" spans="1:7" x14ac:dyDescent="0.2">
      <c r="A8" s="3">
        <v>9291</v>
      </c>
      <c r="B8" s="4" t="s">
        <v>113</v>
      </c>
      <c r="C8" s="4" t="s">
        <v>123</v>
      </c>
      <c r="D8" s="5">
        <v>62.5</v>
      </c>
      <c r="E8" s="4" t="s">
        <v>124</v>
      </c>
      <c r="F8" t="str">
        <f>VLOOKUP(A8, 'Snipe Hunt Time'!C$2:F$200, 4, FALSE)</f>
        <v>remi.deverclos@albelli.com</v>
      </c>
      <c r="G8" t="str">
        <f>IF(ISNUMBER(FIND("dominos", F8)), "dominos", "-")</f>
        <v>-</v>
      </c>
    </row>
    <row r="9" spans="1:7" x14ac:dyDescent="0.2">
      <c r="A9" s="3">
        <v>9503</v>
      </c>
      <c r="B9" s="4" t="s">
        <v>110</v>
      </c>
      <c r="C9" s="4" t="s">
        <v>113</v>
      </c>
      <c r="D9" s="5">
        <v>62</v>
      </c>
      <c r="E9" s="4" t="s">
        <v>125</v>
      </c>
      <c r="F9" s="37" t="str">
        <f>VLOOKUP(A9, 'Snipe Hunt Time'!C$2:F$200, 4, FALSE)</f>
        <v>kenny.vaughan@gearset.com</v>
      </c>
    </row>
    <row r="10" spans="1:7" x14ac:dyDescent="0.2">
      <c r="A10" s="3">
        <v>9142</v>
      </c>
      <c r="B10" s="4" t="s">
        <v>110</v>
      </c>
      <c r="C10" s="4" t="s">
        <v>116</v>
      </c>
      <c r="D10" s="5">
        <v>60.3</v>
      </c>
      <c r="E10" s="4" t="s">
        <v>126</v>
      </c>
      <c r="F10" t="str">
        <f>VLOOKUP(A10, 'Snipe Hunt Time'!C$2:F$200, 4, FALSE)</f>
        <v>joe.muller@sonic.com</v>
      </c>
      <c r="G10" t="str">
        <f>IF(ISNUMBER(FIND("dominos", F10)), "dominos", "-")</f>
        <v>-</v>
      </c>
    </row>
    <row r="11" spans="1:7" x14ac:dyDescent="0.2">
      <c r="A11" s="3">
        <v>9183</v>
      </c>
      <c r="B11" s="4" t="s">
        <v>110</v>
      </c>
      <c r="C11" s="4" t="s">
        <v>118</v>
      </c>
      <c r="D11" s="5">
        <v>59.5</v>
      </c>
      <c r="E11" s="4" t="s">
        <v>127</v>
      </c>
      <c r="F11" t="str">
        <f>VLOOKUP(A11, 'Snipe Hunt Time'!C$2:F$200, 4, FALSE)</f>
        <v>gabriel@gearset.com</v>
      </c>
      <c r="G11" t="str">
        <f>IF(ISNUMBER(FIND("dominos", F11)), "dominos", "-")</f>
        <v>-</v>
      </c>
    </row>
    <row r="12" spans="1:7" x14ac:dyDescent="0.2">
      <c r="A12" s="3">
        <v>9185</v>
      </c>
      <c r="B12" s="4" t="s">
        <v>110</v>
      </c>
      <c r="C12" s="4" t="s">
        <v>118</v>
      </c>
      <c r="D12" s="5">
        <v>59.5</v>
      </c>
      <c r="E12" s="4" t="s">
        <v>128</v>
      </c>
      <c r="F12" t="str">
        <f>VLOOKUP(A12, 'Snipe Hunt Time'!C$2:F$200, 4, FALSE)</f>
        <v>amy.jeanes@exclaimer.com</v>
      </c>
      <c r="G12" t="str">
        <f>IF(ISNUMBER(FIND("dominos", F12)), "dominos", "-")</f>
        <v>-</v>
      </c>
    </row>
    <row r="13" spans="1:7" x14ac:dyDescent="0.2">
      <c r="A13" s="3">
        <v>9349</v>
      </c>
      <c r="B13" s="4" t="s">
        <v>110</v>
      </c>
      <c r="C13" s="4" t="s">
        <v>118</v>
      </c>
      <c r="D13" s="5">
        <v>59.5</v>
      </c>
      <c r="E13" s="4" t="s">
        <v>129</v>
      </c>
      <c r="F13" s="37" t="str">
        <f>VLOOKUP(A13, 'Snipe Hunt Time'!C$2:F$200, 4, FALSE)</f>
        <v>dennis.verheijden@albelli.com</v>
      </c>
      <c r="G13" t="str">
        <f>IF(ISNUMBER(FIND("dominos", F13)), "dominos", "-")</f>
        <v>-</v>
      </c>
    </row>
    <row r="14" spans="1:7" x14ac:dyDescent="0.2">
      <c r="A14" s="3">
        <v>9465</v>
      </c>
      <c r="B14" s="4" t="s">
        <v>110</v>
      </c>
      <c r="C14" s="4" t="s">
        <v>118</v>
      </c>
      <c r="D14" s="5">
        <v>59.5</v>
      </c>
      <c r="E14" s="4" t="s">
        <v>130</v>
      </c>
      <c r="F14" s="37" t="str">
        <f>VLOOKUP(A14, 'Snipe Hunt Time'!C$2:F$200, 4, FALSE)</f>
        <v>sebastian.eberlein@emnify.com</v>
      </c>
    </row>
    <row r="15" spans="1:7" x14ac:dyDescent="0.2">
      <c r="A15" s="3">
        <v>8771</v>
      </c>
      <c r="B15" s="4" t="s">
        <v>131</v>
      </c>
      <c r="C15" s="4" t="s">
        <v>132</v>
      </c>
      <c r="D15" s="5">
        <v>58.1</v>
      </c>
      <c r="E15" s="4" t="s">
        <v>133</v>
      </c>
      <c r="F15" t="str">
        <f>VLOOKUP(A15, 'Snipe Hunt Time'!C$2:F$200, 4, FALSE)</f>
        <v>baljit.chima@6dg.co.uk</v>
      </c>
      <c r="G15" t="str">
        <f>IF(ISNUMBER(FIND("dominos", F15)), "dominos", "-")</f>
        <v>-</v>
      </c>
    </row>
    <row r="16" spans="1:7" x14ac:dyDescent="0.2">
      <c r="A16" s="3">
        <v>8974</v>
      </c>
      <c r="B16" s="4" t="s">
        <v>110</v>
      </c>
      <c r="C16" s="4" t="s">
        <v>123</v>
      </c>
      <c r="D16" s="5">
        <v>57.8</v>
      </c>
      <c r="E16" s="4" t="s">
        <v>134</v>
      </c>
      <c r="F16" t="str">
        <f>VLOOKUP(A16, 'Snipe Hunt Time'!C$2:F$200, 4, FALSE)</f>
        <v>chris.davis@storiogroup.com</v>
      </c>
      <c r="G16" t="str">
        <f>IF(ISNUMBER(FIND("dominos", F16)), "dominos", "-")</f>
        <v>-</v>
      </c>
    </row>
    <row r="17" spans="1:7" x14ac:dyDescent="0.2">
      <c r="A17" s="3">
        <v>9030</v>
      </c>
      <c r="B17" s="4" t="s">
        <v>131</v>
      </c>
      <c r="C17" s="4" t="s">
        <v>113</v>
      </c>
      <c r="D17" s="5">
        <v>57.3</v>
      </c>
      <c r="E17" s="4" t="s">
        <v>135</v>
      </c>
      <c r="F17" t="str">
        <f>VLOOKUP(A17, 'Snipe Hunt Time'!C$2:F$200, 4, FALSE)</f>
        <v>daniel.cook@thetrainline.com</v>
      </c>
      <c r="G17" t="str">
        <f>IF(ISNUMBER(FIND("dominos", F17)), "dominos", "-")</f>
        <v>-</v>
      </c>
    </row>
    <row r="18" spans="1:7" x14ac:dyDescent="0.2">
      <c r="A18" s="3">
        <v>9267</v>
      </c>
      <c r="B18" s="4" t="s">
        <v>131</v>
      </c>
      <c r="C18" s="4" t="s">
        <v>118</v>
      </c>
      <c r="D18" s="5">
        <v>54.8</v>
      </c>
      <c r="E18" s="4">
        <v>0</v>
      </c>
      <c r="F18" t="str">
        <f>VLOOKUP(A18, 'Snipe Hunt Time'!C$2:F$200, 4, FALSE)</f>
        <v>andrew.mccready@storiogroup.com</v>
      </c>
      <c r="G18" t="str">
        <f>IF(ISNUMBER(FIND("dominos", F18)), "dominos", "-")</f>
        <v>-</v>
      </c>
    </row>
    <row r="19" spans="1:7" x14ac:dyDescent="0.2">
      <c r="A19" s="3">
        <v>8860</v>
      </c>
      <c r="B19" s="4" t="s">
        <v>131</v>
      </c>
      <c r="C19" s="4" t="s">
        <v>118</v>
      </c>
      <c r="D19" s="5">
        <v>54.8</v>
      </c>
      <c r="E19" s="4" t="s">
        <v>136</v>
      </c>
      <c r="F19" s="37" t="str">
        <f>VLOOKUP(A19, 'Snipe Hunt Time'!C$2:F$200, 4, FALSE)</f>
        <v>michael.ward@6dg.co.uk</v>
      </c>
    </row>
    <row r="20" spans="1:7" x14ac:dyDescent="0.2">
      <c r="A20" s="3">
        <v>9082</v>
      </c>
      <c r="B20" s="4" t="s">
        <v>131</v>
      </c>
      <c r="C20" s="4" t="s">
        <v>121</v>
      </c>
      <c r="D20" s="5">
        <v>54</v>
      </c>
      <c r="E20" s="4" t="s">
        <v>137</v>
      </c>
      <c r="F20" t="str">
        <f>VLOOKUP(A20, 'Snipe Hunt Time'!C$2:F$200, 4, FALSE)</f>
        <v>jernej.primcic@thomsonreuters.com</v>
      </c>
      <c r="G20" t="str">
        <f t="shared" ref="G20:G32" si="0">IF(ISNUMBER(FIND("dominos", F20)), "dominos", "-")</f>
        <v>-</v>
      </c>
    </row>
    <row r="21" spans="1:7" x14ac:dyDescent="0.2">
      <c r="A21" s="3">
        <v>8902</v>
      </c>
      <c r="B21" s="4" t="s">
        <v>131</v>
      </c>
      <c r="C21" s="4" t="s">
        <v>121</v>
      </c>
      <c r="D21" s="5">
        <v>54</v>
      </c>
      <c r="E21" s="4" t="s">
        <v>138</v>
      </c>
      <c r="F21" t="str">
        <f>VLOOKUP(A21, 'Snipe Hunt Time'!C$2:F$200, 4, FALSE)</f>
        <v>sam.williams@gearset.com</v>
      </c>
      <c r="G21" t="str">
        <f t="shared" si="0"/>
        <v>-</v>
      </c>
    </row>
    <row r="22" spans="1:7" x14ac:dyDescent="0.2">
      <c r="A22" s="3">
        <v>9229</v>
      </c>
      <c r="B22" s="4" t="s">
        <v>131</v>
      </c>
      <c r="C22" s="4" t="s">
        <v>121</v>
      </c>
      <c r="D22" s="5">
        <v>54</v>
      </c>
      <c r="E22" s="4" t="s">
        <v>139</v>
      </c>
      <c r="F22" t="str">
        <f>VLOOKUP(A22, 'Snipe Hunt Time'!C$2:F$200, 4, FALSE)</f>
        <v>neha.gupta@zomato.com</v>
      </c>
      <c r="G22" t="str">
        <f t="shared" si="0"/>
        <v>-</v>
      </c>
    </row>
    <row r="23" spans="1:7" x14ac:dyDescent="0.2">
      <c r="A23" s="3">
        <v>9080</v>
      </c>
      <c r="B23" s="4" t="s">
        <v>131</v>
      </c>
      <c r="C23" s="4" t="s">
        <v>123</v>
      </c>
      <c r="D23" s="5">
        <v>53.1</v>
      </c>
      <c r="E23" s="4" t="s">
        <v>140</v>
      </c>
      <c r="F23" t="str">
        <f>VLOOKUP(A23, 'Snipe Hunt Time'!C$2:F$200, 4, FALSE)</f>
        <v>alexander.hof@storiogroup.com</v>
      </c>
      <c r="G23" t="str">
        <f t="shared" si="0"/>
        <v>-</v>
      </c>
    </row>
    <row r="24" spans="1:7" x14ac:dyDescent="0.2">
      <c r="A24" s="3">
        <v>9051</v>
      </c>
      <c r="B24" s="4" t="s">
        <v>131</v>
      </c>
      <c r="C24" s="4" t="s">
        <v>123</v>
      </c>
      <c r="D24" s="5">
        <v>53.1</v>
      </c>
      <c r="E24" s="4" t="s">
        <v>141</v>
      </c>
      <c r="F24" t="str">
        <f>VLOOKUP(A24, 'Snipe Hunt Time'!C$2:F$200, 4, FALSE)</f>
        <v>jack.norris@exclaimer.com</v>
      </c>
      <c r="G24" t="str">
        <f t="shared" si="0"/>
        <v>-</v>
      </c>
    </row>
    <row r="25" spans="1:7" x14ac:dyDescent="0.2">
      <c r="A25" s="6">
        <v>9109</v>
      </c>
      <c r="B25" s="7" t="s">
        <v>131</v>
      </c>
      <c r="C25" s="7" t="s">
        <v>123</v>
      </c>
      <c r="D25" s="8">
        <v>53.1</v>
      </c>
      <c r="E25" s="7" t="s">
        <v>142</v>
      </c>
      <c r="F25" t="str">
        <f>VLOOKUP(A25, 'Snipe Hunt Time'!C$2:F$200, 4, FALSE)</f>
        <v>patrick.boyd@gearset.com</v>
      </c>
      <c r="G25" t="str">
        <f t="shared" si="0"/>
        <v>-</v>
      </c>
    </row>
    <row r="26" spans="1:7" x14ac:dyDescent="0.2">
      <c r="A26" s="3">
        <v>9330</v>
      </c>
      <c r="B26" s="4" t="s">
        <v>131</v>
      </c>
      <c r="C26" s="4" t="s">
        <v>123</v>
      </c>
      <c r="D26" s="5">
        <v>53.1</v>
      </c>
      <c r="E26" s="4" t="s">
        <v>143</v>
      </c>
      <c r="F26" t="str">
        <f>VLOOKUP(A26, 'Snipe Hunt Time'!C$2:F$200, 4, FALSE)</f>
        <v>leigh.burton@sonic.com</v>
      </c>
      <c r="G26" t="str">
        <f t="shared" si="0"/>
        <v>-</v>
      </c>
    </row>
    <row r="27" spans="1:7" x14ac:dyDescent="0.2">
      <c r="A27" s="3">
        <v>9355</v>
      </c>
      <c r="B27" s="4" t="s">
        <v>131</v>
      </c>
      <c r="C27" s="4" t="s">
        <v>123</v>
      </c>
      <c r="D27" s="5">
        <v>53.1</v>
      </c>
      <c r="E27" s="4" t="s">
        <v>144</v>
      </c>
      <c r="F27" s="37" t="str">
        <f>VLOOKUP(A27, 'Snipe Hunt Time'!C$2:F$200, 4, FALSE)</f>
        <v>nathaniel.vanderpuye@exclaimer.com</v>
      </c>
      <c r="G27" t="str">
        <f t="shared" si="0"/>
        <v>-</v>
      </c>
    </row>
    <row r="28" spans="1:7" x14ac:dyDescent="0.2">
      <c r="A28" s="3">
        <v>9371</v>
      </c>
      <c r="B28" s="4" t="s">
        <v>131</v>
      </c>
      <c r="C28" s="4" t="s">
        <v>123</v>
      </c>
      <c r="D28" s="5">
        <v>53.1</v>
      </c>
      <c r="E28" s="4" t="s">
        <v>145</v>
      </c>
      <c r="F28" s="37" t="str">
        <f>VLOOKUP(A28, 'Snipe Hunt Time'!C$2:F$200, 4, FALSE)</f>
        <v>antoine.poullet@gearset.com</v>
      </c>
      <c r="G28" t="str">
        <f t="shared" si="0"/>
        <v>-</v>
      </c>
    </row>
    <row r="29" spans="1:7" x14ac:dyDescent="0.2">
      <c r="A29" s="3">
        <v>8930</v>
      </c>
      <c r="B29" s="4" t="s">
        <v>131</v>
      </c>
      <c r="C29" s="4" t="s">
        <v>146</v>
      </c>
      <c r="D29" s="5">
        <v>52.3</v>
      </c>
      <c r="E29" s="4" t="s">
        <v>147</v>
      </c>
      <c r="F29" t="str">
        <f>VLOOKUP(A29, 'Snipe Hunt Time'!C$2:F$200, 4, FALSE)</f>
        <v>julian.wreford@gearset.com</v>
      </c>
      <c r="G29" t="str">
        <f t="shared" si="0"/>
        <v>-</v>
      </c>
    </row>
    <row r="30" spans="1:7" x14ac:dyDescent="0.2">
      <c r="A30" s="3">
        <v>9191</v>
      </c>
      <c r="B30" s="4" t="s">
        <v>131</v>
      </c>
      <c r="C30" s="4" t="s">
        <v>146</v>
      </c>
      <c r="D30" s="5">
        <v>52.3</v>
      </c>
      <c r="E30" s="4" t="s">
        <v>148</v>
      </c>
      <c r="F30" t="str">
        <f>VLOOKUP(A30, 'Snipe Hunt Time'!C$2:F$200, 4, FALSE)</f>
        <v>conor.reed@eso.com</v>
      </c>
      <c r="G30" t="str">
        <f t="shared" si="0"/>
        <v>-</v>
      </c>
    </row>
    <row r="31" spans="1:7" x14ac:dyDescent="0.2">
      <c r="A31" s="3">
        <v>9270</v>
      </c>
      <c r="B31" s="4" t="s">
        <v>131</v>
      </c>
      <c r="C31" s="4" t="s">
        <v>146</v>
      </c>
      <c r="D31" s="5">
        <v>52.3</v>
      </c>
      <c r="E31" s="4" t="s">
        <v>149</v>
      </c>
      <c r="F31" t="str">
        <f>VLOOKUP(A31, 'Snipe Hunt Time'!C$2:F$200, 4, FALSE)</f>
        <v>ohi.james@exclaimer.com</v>
      </c>
      <c r="G31" t="str">
        <f t="shared" si="0"/>
        <v>-</v>
      </c>
    </row>
    <row r="32" spans="1:7" x14ac:dyDescent="0.2">
      <c r="A32" s="3">
        <v>9273</v>
      </c>
      <c r="B32" s="4" t="s">
        <v>131</v>
      </c>
      <c r="C32" s="4" t="s">
        <v>146</v>
      </c>
      <c r="D32" s="5">
        <v>52.3</v>
      </c>
      <c r="E32" s="4" t="s">
        <v>150</v>
      </c>
      <c r="F32" t="str">
        <f>VLOOKUP(A32, 'Snipe Hunt Time'!C$2:F$200, 4, FALSE)</f>
        <v>constant.zomer@albelli.com</v>
      </c>
      <c r="G32" t="str">
        <f t="shared" si="0"/>
        <v>-</v>
      </c>
    </row>
    <row r="33" spans="1:7" x14ac:dyDescent="0.2">
      <c r="A33" s="3">
        <v>9401</v>
      </c>
      <c r="B33" s="4" t="s">
        <v>131</v>
      </c>
      <c r="C33" s="4" t="s">
        <v>146</v>
      </c>
      <c r="D33" s="5">
        <v>52.3</v>
      </c>
      <c r="E33" s="4" t="s">
        <v>151</v>
      </c>
      <c r="F33" s="37" t="str">
        <f>VLOOKUP(A33, 'Snipe Hunt Time'!C$2:F$200, 4, FALSE)</f>
        <v>ciaran.hurley@options-it.com</v>
      </c>
    </row>
    <row r="34" spans="1:7" x14ac:dyDescent="0.2">
      <c r="A34" s="3">
        <v>9423</v>
      </c>
      <c r="B34" s="4" t="s">
        <v>131</v>
      </c>
      <c r="C34" s="4" t="s">
        <v>146</v>
      </c>
      <c r="D34" s="5">
        <v>52.3</v>
      </c>
      <c r="E34" s="4" t="s">
        <v>152</v>
      </c>
      <c r="F34" s="37" t="str">
        <f>VLOOKUP(A34, 'Snipe Hunt Time'!C$2:F$200, 4, FALSE)</f>
        <v>barry@gearset.com</v>
      </c>
    </row>
    <row r="35" spans="1:7" x14ac:dyDescent="0.2">
      <c r="A35" s="3">
        <v>9462</v>
      </c>
      <c r="B35" s="4" t="s">
        <v>131</v>
      </c>
      <c r="C35" s="4" t="s">
        <v>146</v>
      </c>
      <c r="D35" s="5">
        <v>52.3</v>
      </c>
      <c r="E35" s="4" t="s">
        <v>153</v>
      </c>
      <c r="F35" s="37" t="str">
        <f>VLOOKUP(A35, 'Snipe Hunt Time'!C$2:F$200, 4, FALSE)</f>
        <v>eamonn.boyle@gearset.com</v>
      </c>
    </row>
    <row r="36" spans="1:7" x14ac:dyDescent="0.2">
      <c r="A36" s="3">
        <v>9054</v>
      </c>
      <c r="B36" s="4" t="s">
        <v>131</v>
      </c>
      <c r="C36" s="4" t="s">
        <v>154</v>
      </c>
      <c r="D36" s="5">
        <v>51.5</v>
      </c>
      <c r="E36" s="4" t="s">
        <v>155</v>
      </c>
      <c r="F36" t="str">
        <f>VLOOKUP(A36, 'Snipe Hunt Time'!C$2:F$200, 4, FALSE)</f>
        <v>jessica.light@exclaimer.com</v>
      </c>
      <c r="G36" t="str">
        <f t="shared" ref="G36:G41" si="1">IF(ISNUMBER(FIND("dominos", F36)), "dominos", "-")</f>
        <v>-</v>
      </c>
    </row>
    <row r="37" spans="1:7" x14ac:dyDescent="0.2">
      <c r="A37" s="3">
        <v>8986</v>
      </c>
      <c r="B37" s="4" t="s">
        <v>131</v>
      </c>
      <c r="C37" s="4" t="s">
        <v>154</v>
      </c>
      <c r="D37" s="5">
        <v>51.5</v>
      </c>
      <c r="E37" s="4" t="s">
        <v>156</v>
      </c>
      <c r="F37" t="str">
        <f>VLOOKUP(A37, 'Snipe Hunt Time'!C$2:F$200, 4, FALSE)</f>
        <v>oli@gearset.com</v>
      </c>
      <c r="G37" t="str">
        <f t="shared" si="1"/>
        <v>-</v>
      </c>
    </row>
    <row r="38" spans="1:7" x14ac:dyDescent="0.2">
      <c r="A38" s="10">
        <v>9108</v>
      </c>
      <c r="B38" s="7" t="s">
        <v>131</v>
      </c>
      <c r="C38" s="7" t="s">
        <v>154</v>
      </c>
      <c r="D38" s="8">
        <v>51.5</v>
      </c>
      <c r="E38" s="4" t="s">
        <v>157</v>
      </c>
      <c r="F38" t="str">
        <f>VLOOKUP(A38, 'Snipe Hunt Time'!C$2:F$200, 4, FALSE)</f>
        <v>calum.mcdowell@storiogroup.com</v>
      </c>
      <c r="G38" t="str">
        <f t="shared" si="1"/>
        <v>-</v>
      </c>
    </row>
    <row r="39" spans="1:7" x14ac:dyDescent="0.2">
      <c r="A39" s="3">
        <v>9190</v>
      </c>
      <c r="B39" s="4" t="s">
        <v>131</v>
      </c>
      <c r="C39" s="4" t="s">
        <v>154</v>
      </c>
      <c r="D39" s="5">
        <v>51.5</v>
      </c>
      <c r="E39" s="4" t="s">
        <v>158</v>
      </c>
      <c r="F39" t="str">
        <f>VLOOKUP(A39, 'Snipe Hunt Time'!C$2:F$200, 4, FALSE)</f>
        <v>leah.murphy@options-it.com</v>
      </c>
      <c r="G39" t="str">
        <f t="shared" si="1"/>
        <v>-</v>
      </c>
    </row>
    <row r="40" spans="1:7" x14ac:dyDescent="0.2">
      <c r="A40" s="3">
        <v>9280</v>
      </c>
      <c r="B40" s="4" t="s">
        <v>131</v>
      </c>
      <c r="C40" s="4" t="s">
        <v>154</v>
      </c>
      <c r="D40" s="5">
        <v>51.5</v>
      </c>
      <c r="E40" s="4" t="s">
        <v>159</v>
      </c>
      <c r="F40" t="str">
        <f>VLOOKUP(A40, 'Snipe Hunt Time'!C$2:F$200, 4, FALSE)</f>
        <v>lana.m@slice.com</v>
      </c>
      <c r="G40" t="str">
        <f t="shared" si="1"/>
        <v>-</v>
      </c>
    </row>
    <row r="41" spans="1:7" x14ac:dyDescent="0.2">
      <c r="A41" s="3">
        <v>9304</v>
      </c>
      <c r="B41" s="4" t="s">
        <v>131</v>
      </c>
      <c r="C41" s="4" t="s">
        <v>154</v>
      </c>
      <c r="D41" s="5">
        <v>51.5</v>
      </c>
      <c r="E41" s="4" t="s">
        <v>160</v>
      </c>
      <c r="F41" t="str">
        <f>VLOOKUP(A41, 'Snipe Hunt Time'!C$2:F$200, 4, FALSE)</f>
        <v>samantha.wright@exclaimer.com</v>
      </c>
      <c r="G41" t="str">
        <f t="shared" si="1"/>
        <v>-</v>
      </c>
    </row>
    <row r="42" spans="1:7" x14ac:dyDescent="0.2">
      <c r="A42" s="3">
        <v>9424</v>
      </c>
      <c r="B42" s="4" t="s">
        <v>131</v>
      </c>
      <c r="C42" s="4" t="s">
        <v>154</v>
      </c>
      <c r="D42" s="5">
        <v>51.5</v>
      </c>
      <c r="E42" s="4" t="s">
        <v>161</v>
      </c>
      <c r="F42" s="37" t="str">
        <f>VLOOKUP(A42, 'Snipe Hunt Time'!C$2:F$200, 4, FALSE)</f>
        <v>catherine@gearset.com</v>
      </c>
    </row>
    <row r="43" spans="1:7" x14ac:dyDescent="0.2">
      <c r="A43" s="3">
        <v>9430</v>
      </c>
      <c r="B43" s="4" t="s">
        <v>131</v>
      </c>
      <c r="C43" s="4" t="s">
        <v>154</v>
      </c>
      <c r="D43" s="5">
        <v>51.5</v>
      </c>
      <c r="E43" s="4" t="s">
        <v>162</v>
      </c>
      <c r="F43" s="37" t="str">
        <f>VLOOKUP(A43, 'Snipe Hunt Time'!C$2:F$200, 4, FALSE)</f>
        <v>sebastian.eberlein@emnify.com</v>
      </c>
    </row>
    <row r="44" spans="1:7" x14ac:dyDescent="0.2">
      <c r="A44" s="3">
        <v>9457</v>
      </c>
      <c r="B44" s="4" t="s">
        <v>131</v>
      </c>
      <c r="C44" s="4" t="s">
        <v>154</v>
      </c>
      <c r="D44" s="5">
        <v>51.5</v>
      </c>
      <c r="E44" s="4" t="s">
        <v>163</v>
      </c>
      <c r="F44" s="37" t="str">
        <f>VLOOKUP(A44, 'Snipe Hunt Time'!C$2:F$200, 4, FALSE)</f>
        <v>michael.hillman@gearset.com</v>
      </c>
    </row>
    <row r="45" spans="1:7" x14ac:dyDescent="0.2">
      <c r="A45" s="3">
        <v>9458</v>
      </c>
      <c r="B45" s="4" t="s">
        <v>131</v>
      </c>
      <c r="C45" s="4" t="s">
        <v>154</v>
      </c>
      <c r="D45" s="5">
        <v>51.5</v>
      </c>
      <c r="E45" s="4" t="s">
        <v>164</v>
      </c>
      <c r="F45" s="37" t="str">
        <f>VLOOKUP(A45, 'Snipe Hunt Time'!C$2:F$200, 4, FALSE)</f>
        <v>james.sheppy@options-it.com</v>
      </c>
    </row>
    <row r="46" spans="1:7" x14ac:dyDescent="0.2">
      <c r="A46" s="3">
        <v>9475</v>
      </c>
      <c r="B46" s="4" t="s">
        <v>131</v>
      </c>
      <c r="C46" s="4" t="s">
        <v>154</v>
      </c>
      <c r="D46" s="5">
        <v>51.5</v>
      </c>
      <c r="E46" s="4" t="s">
        <v>165</v>
      </c>
      <c r="F46" s="37" t="str">
        <f>VLOOKUP(A46, 'Snipe Hunt Time'!C$2:F$200, 4, FALSE)</f>
        <v>girish.kumar@zomato.com</v>
      </c>
    </row>
    <row r="47" spans="1:7" x14ac:dyDescent="0.2">
      <c r="A47" s="3">
        <v>9059</v>
      </c>
      <c r="B47" s="4" t="s">
        <v>166</v>
      </c>
      <c r="C47" s="4" t="s">
        <v>116</v>
      </c>
      <c r="D47" s="5">
        <v>51</v>
      </c>
      <c r="E47" s="4" t="s">
        <v>167</v>
      </c>
      <c r="F47" t="str">
        <f>VLOOKUP(A47, 'Snipe Hunt Time'!C$2:F$200, 4, FALSE)</f>
        <v>tim.redding@photobox.com</v>
      </c>
      <c r="G47" t="str">
        <f>IF(ISNUMBER(FIND("dominos", F47)), "dominos", "-")</f>
        <v>-</v>
      </c>
    </row>
    <row r="48" spans="1:7" x14ac:dyDescent="0.2">
      <c r="A48" s="3">
        <v>9277</v>
      </c>
      <c r="B48" s="4" t="s">
        <v>166</v>
      </c>
      <c r="C48" s="4" t="s">
        <v>116</v>
      </c>
      <c r="D48" s="5">
        <v>51</v>
      </c>
      <c r="E48" s="4" t="s">
        <v>168</v>
      </c>
      <c r="F48" t="str">
        <f>VLOOKUP(A48, 'Snipe Hunt Time'!C$2:F$200, 4, FALSE)</f>
        <v>conor_mcardle@firstderivative.com</v>
      </c>
      <c r="G48" t="str">
        <f>IF(ISNUMBER(FIND("dominos", F48)), "dominos", "-")</f>
        <v>-</v>
      </c>
    </row>
    <row r="49" spans="1:7" x14ac:dyDescent="0.2">
      <c r="A49" s="3">
        <v>9033</v>
      </c>
      <c r="B49" s="4" t="s">
        <v>131</v>
      </c>
      <c r="C49" s="4" t="s">
        <v>169</v>
      </c>
      <c r="D49" s="5">
        <v>50.6</v>
      </c>
      <c r="E49" s="4" t="s">
        <v>170</v>
      </c>
      <c r="F49" t="str">
        <f>VLOOKUP(A49, 'Snipe Hunt Time'!C$2:F$200, 4, FALSE)</f>
        <v>pim.ewijk@albelli.com</v>
      </c>
      <c r="G49" t="str">
        <f>IF(ISNUMBER(FIND("dominos", F49)), "dominos", "-")</f>
        <v>-</v>
      </c>
    </row>
    <row r="50" spans="1:7" x14ac:dyDescent="0.2">
      <c r="A50" s="3">
        <v>9021</v>
      </c>
      <c r="B50" s="4" t="s">
        <v>131</v>
      </c>
      <c r="C50" s="4" t="s">
        <v>169</v>
      </c>
      <c r="D50" s="5">
        <v>50.6</v>
      </c>
      <c r="E50" s="4" t="s">
        <v>171</v>
      </c>
      <c r="F50" t="str">
        <f>VLOOKUP(A50, 'Snipe Hunt Time'!C$2:F$200, 4, FALSE)</f>
        <v>milisavljevic@rushstreetinteractive.com</v>
      </c>
      <c r="G50" t="str">
        <f>IF(ISNUMBER(FIND("dominos", F50)), "dominos", "-")</f>
        <v>-</v>
      </c>
    </row>
    <row r="51" spans="1:7" x14ac:dyDescent="0.2">
      <c r="A51" s="3">
        <v>9046</v>
      </c>
      <c r="B51" s="4" t="s">
        <v>166</v>
      </c>
      <c r="C51" s="4" t="s">
        <v>121</v>
      </c>
      <c r="D51" s="5">
        <v>49.4</v>
      </c>
      <c r="E51" s="4" t="s">
        <v>172</v>
      </c>
      <c r="F51" t="str">
        <f>VLOOKUP(A51, 'Snipe Hunt Time'!C$2:F$200, 4, FALSE)</f>
        <v>mark.mcgarry@options-it.com</v>
      </c>
      <c r="G51" t="str">
        <f>IF(ISNUMBER(FIND("dominos", F51)), "dominos", "-")</f>
        <v>-</v>
      </c>
    </row>
    <row r="52" spans="1:7" s="9" customFormat="1" x14ac:dyDescent="0.2">
      <c r="A52" s="29">
        <v>9514</v>
      </c>
      <c r="B52" s="30" t="s">
        <v>166</v>
      </c>
      <c r="C52" s="30" t="s">
        <v>121</v>
      </c>
      <c r="D52" s="45">
        <v>49.4</v>
      </c>
      <c r="E52" s="30" t="s">
        <v>173</v>
      </c>
      <c r="F52" s="37" t="str">
        <f>VLOOKUP(A52, 'Snipe Hunt Time'!C$2:F$200, 4, FALSE)</f>
        <v>david.rant@gearset.com</v>
      </c>
      <c r="G52"/>
    </row>
    <row r="53" spans="1:7" x14ac:dyDescent="0.2">
      <c r="A53" s="6">
        <v>9096</v>
      </c>
      <c r="B53" s="7" t="s">
        <v>166</v>
      </c>
      <c r="C53" s="7" t="s">
        <v>123</v>
      </c>
      <c r="D53" s="8">
        <v>48.5</v>
      </c>
      <c r="E53" s="7" t="s">
        <v>174</v>
      </c>
      <c r="F53" t="str">
        <f>VLOOKUP(A53, 'Snipe Hunt Time'!C$2:F$200, 4, FALSE)</f>
        <v>anjali.sharma@ig.com</v>
      </c>
      <c r="G53" t="str">
        <f>IF(ISNUMBER(FIND("dominos", F53)), "dominos", "-")</f>
        <v>-</v>
      </c>
    </row>
    <row r="54" spans="1:7" x14ac:dyDescent="0.2">
      <c r="A54" s="3">
        <v>9044</v>
      </c>
      <c r="B54" s="4" t="s">
        <v>166</v>
      </c>
      <c r="C54" s="4" t="s">
        <v>123</v>
      </c>
      <c r="D54" s="5">
        <v>48.5</v>
      </c>
      <c r="E54" s="4" t="s">
        <v>175</v>
      </c>
      <c r="F54" t="str">
        <f>VLOOKUP(A54, 'Snipe Hunt Time'!C$2:F$200, 4, FALSE)</f>
        <v>sakib.malik@zomato.com</v>
      </c>
      <c r="G54" t="str">
        <f>IF(ISNUMBER(FIND("dominos", F54)), "dominos", "-")</f>
        <v>-</v>
      </c>
    </row>
    <row r="55" spans="1:7" x14ac:dyDescent="0.2">
      <c r="A55" s="3">
        <v>8923</v>
      </c>
      <c r="B55" s="4" t="s">
        <v>166</v>
      </c>
      <c r="C55" s="4" t="s">
        <v>123</v>
      </c>
      <c r="D55" s="5">
        <v>48.5</v>
      </c>
      <c r="E55" s="4" t="s">
        <v>176</v>
      </c>
      <c r="F55" t="str">
        <f>VLOOKUP(A55, 'Snipe Hunt Time'!C$2:F$200, 4, FALSE)</f>
        <v>william.vanduynhoven@thomsonreuters.com</v>
      </c>
      <c r="G55" t="str">
        <f>IF(ISNUMBER(FIND("dominos", F55)), "dominos", "-")</f>
        <v>-</v>
      </c>
    </row>
    <row r="56" spans="1:7" x14ac:dyDescent="0.2">
      <c r="A56" s="3">
        <v>9455</v>
      </c>
      <c r="B56" s="4" t="s">
        <v>166</v>
      </c>
      <c r="C56" s="4" t="s">
        <v>123</v>
      </c>
      <c r="D56" s="5">
        <v>48.5</v>
      </c>
      <c r="E56" s="4" t="s">
        <v>177</v>
      </c>
      <c r="F56" s="37" t="str">
        <f>VLOOKUP(A56, 'Snipe Hunt Time'!C$2:F$200, 4, FALSE)</f>
        <v>ritchie.mcgrath@options-it.com</v>
      </c>
    </row>
    <row r="57" spans="1:7" x14ac:dyDescent="0.2">
      <c r="A57" s="3">
        <v>8993</v>
      </c>
      <c r="B57" s="4" t="s">
        <v>166</v>
      </c>
      <c r="C57" s="4" t="s">
        <v>146</v>
      </c>
      <c r="D57" s="5">
        <v>47.7</v>
      </c>
      <c r="E57" s="4" t="s">
        <v>178</v>
      </c>
      <c r="F57" t="str">
        <f>VLOOKUP(A57, 'Snipe Hunt Time'!C$2:F$200, 4, FALSE)</f>
        <v>sangeetha.niranjan@thetrainline.com</v>
      </c>
      <c r="G57" t="str">
        <f>IF(ISNUMBER(FIND("dominos", F57)), "dominos", "-")</f>
        <v>-</v>
      </c>
    </row>
    <row r="58" spans="1:7" x14ac:dyDescent="0.2">
      <c r="A58" s="3">
        <v>9234</v>
      </c>
      <c r="B58" s="4" t="s">
        <v>166</v>
      </c>
      <c r="C58" s="4" t="s">
        <v>146</v>
      </c>
      <c r="D58" s="5">
        <v>47.7</v>
      </c>
      <c r="E58" s="4" t="s">
        <v>179</v>
      </c>
      <c r="F58" t="str">
        <f>VLOOKUP(A58, 'Snipe Hunt Time'!C$2:F$200, 4, FALSE)</f>
        <v>chakshu.ahuja@zomato.com</v>
      </c>
      <c r="G58" t="str">
        <f>IF(ISNUMBER(FIND("dominos", F58)), "dominos", "-")</f>
        <v>-</v>
      </c>
    </row>
    <row r="59" spans="1:7" x14ac:dyDescent="0.2">
      <c r="A59" s="3">
        <v>9461</v>
      </c>
      <c r="B59" s="4" t="s">
        <v>166</v>
      </c>
      <c r="C59" s="4" t="s">
        <v>146</v>
      </c>
      <c r="D59" s="5">
        <v>47.7</v>
      </c>
      <c r="E59" s="4" t="s">
        <v>180</v>
      </c>
      <c r="F59" s="37" t="str">
        <f>VLOOKUP(A59, 'Snipe Hunt Time'!C$2:F$200, 4, FALSE)</f>
        <v>john.dilley@gearset.com</v>
      </c>
    </row>
    <row r="60" spans="1:7" x14ac:dyDescent="0.2">
      <c r="A60" s="3">
        <v>9071</v>
      </c>
      <c r="B60" s="4" t="s">
        <v>166</v>
      </c>
      <c r="C60" s="4" t="s">
        <v>154</v>
      </c>
      <c r="D60" s="5">
        <v>46.9</v>
      </c>
      <c r="E60" s="4" t="s">
        <v>181</v>
      </c>
      <c r="F60" t="str">
        <f>VLOOKUP(A60, 'Snipe Hunt Time'!C$2:F$200, 4, FALSE)</f>
        <v>chauhan.gaurav@zomato.com</v>
      </c>
      <c r="G60" t="str">
        <f t="shared" ref="G60:G81" si="2">IF(ISNUMBER(FIND("dominos", F60)), "dominos", "-")</f>
        <v>-</v>
      </c>
    </row>
    <row r="61" spans="1:7" x14ac:dyDescent="0.2">
      <c r="A61" s="3">
        <v>8936</v>
      </c>
      <c r="B61" s="4" t="s">
        <v>166</v>
      </c>
      <c r="C61" s="4" t="s">
        <v>154</v>
      </c>
      <c r="D61" s="5">
        <v>46.9</v>
      </c>
      <c r="E61" s="4" t="s">
        <v>182</v>
      </c>
      <c r="F61" t="str">
        <f>VLOOKUP(A61, 'Snipe Hunt Time'!C$2:F$200, 4, FALSE)</f>
        <v>peter.graham@options-it.com</v>
      </c>
      <c r="G61" t="str">
        <f t="shared" si="2"/>
        <v>-</v>
      </c>
    </row>
    <row r="62" spans="1:7" x14ac:dyDescent="0.2">
      <c r="A62" s="3">
        <v>9115</v>
      </c>
      <c r="B62" s="4" t="s">
        <v>166</v>
      </c>
      <c r="C62" s="4" t="s">
        <v>154</v>
      </c>
      <c r="D62" s="5">
        <v>46.9</v>
      </c>
      <c r="E62" s="4" t="s">
        <v>183</v>
      </c>
      <c r="F62" t="str">
        <f>VLOOKUP(A62, 'Snipe Hunt Time'!C$2:F$200, 4, FALSE)</f>
        <v>chandan.nagaraja@thomsonreuters.com</v>
      </c>
      <c r="G62" t="str">
        <f t="shared" si="2"/>
        <v>-</v>
      </c>
    </row>
    <row r="63" spans="1:7" x14ac:dyDescent="0.2">
      <c r="A63" s="3">
        <v>9148</v>
      </c>
      <c r="B63" s="4" t="s">
        <v>166</v>
      </c>
      <c r="C63" s="4" t="s">
        <v>154</v>
      </c>
      <c r="D63" s="5">
        <v>46.9</v>
      </c>
      <c r="E63" s="4" t="s">
        <v>184</v>
      </c>
      <c r="F63" t="str">
        <f>VLOOKUP(A63, 'Snipe Hunt Time'!C$2:F$200, 4, FALSE)</f>
        <v>divyanshu.mahajan@zomato.com</v>
      </c>
      <c r="G63" t="str">
        <f t="shared" si="2"/>
        <v>-</v>
      </c>
    </row>
    <row r="64" spans="1:7" x14ac:dyDescent="0.2">
      <c r="A64" s="3">
        <v>9176</v>
      </c>
      <c r="B64" s="4" t="s">
        <v>166</v>
      </c>
      <c r="C64" s="4" t="s">
        <v>154</v>
      </c>
      <c r="D64" s="5">
        <v>46.9</v>
      </c>
      <c r="E64" s="4" t="s">
        <v>185</v>
      </c>
      <c r="F64" t="str">
        <f>VLOOKUP(A64, 'Snipe Hunt Time'!C$2:F$200, 4, FALSE)</f>
        <v>hamish.dewar@exclaimer.com</v>
      </c>
      <c r="G64" t="str">
        <f t="shared" si="2"/>
        <v>-</v>
      </c>
    </row>
    <row r="65" spans="1:7" x14ac:dyDescent="0.2">
      <c r="A65" s="3">
        <v>9177</v>
      </c>
      <c r="B65" s="4" t="s">
        <v>166</v>
      </c>
      <c r="C65" s="4" t="s">
        <v>154</v>
      </c>
      <c r="D65" s="5">
        <v>46.9</v>
      </c>
      <c r="E65" s="4" t="s">
        <v>186</v>
      </c>
      <c r="F65" t="str">
        <f>VLOOKUP(A65, 'Snipe Hunt Time'!C$2:F$200, 4, FALSE)</f>
        <v>aoife.breen@options-it.com</v>
      </c>
      <c r="G65" t="str">
        <f t="shared" si="2"/>
        <v>-</v>
      </c>
    </row>
    <row r="66" spans="1:7" x14ac:dyDescent="0.2">
      <c r="A66" s="3">
        <v>9235</v>
      </c>
      <c r="B66" s="4" t="s">
        <v>166</v>
      </c>
      <c r="C66" s="4" t="s">
        <v>154</v>
      </c>
      <c r="D66" s="5">
        <v>46.9</v>
      </c>
      <c r="E66" s="4" t="s">
        <v>187</v>
      </c>
      <c r="F66" t="str">
        <f>VLOOKUP(A66, 'Snipe Hunt Time'!C$2:F$200, 4, FALSE)</f>
        <v>martijn.mol@albelli.com</v>
      </c>
      <c r="G66" t="str">
        <f t="shared" si="2"/>
        <v>-</v>
      </c>
    </row>
    <row r="67" spans="1:7" x14ac:dyDescent="0.2">
      <c r="A67" s="3">
        <v>9257</v>
      </c>
      <c r="B67" s="4" t="s">
        <v>166</v>
      </c>
      <c r="C67" s="4" t="s">
        <v>154</v>
      </c>
      <c r="D67" s="5">
        <v>46.9</v>
      </c>
      <c r="E67" s="4" t="s">
        <v>188</v>
      </c>
      <c r="F67" t="str">
        <f>VLOOKUP(A67, 'Snipe Hunt Time'!C$2:F$200, 4, FALSE)</f>
        <v>daniel.betancur@albelli.com</v>
      </c>
      <c r="G67" t="str">
        <f t="shared" si="2"/>
        <v>-</v>
      </c>
    </row>
    <row r="68" spans="1:7" x14ac:dyDescent="0.2">
      <c r="A68" s="3">
        <v>9390</v>
      </c>
      <c r="B68" s="4" t="s">
        <v>166</v>
      </c>
      <c r="C68" s="4" t="s">
        <v>154</v>
      </c>
      <c r="D68" s="5">
        <v>46.9</v>
      </c>
      <c r="E68" s="4" t="s">
        <v>189</v>
      </c>
      <c r="F68" s="37" t="str">
        <f>VLOOKUP(A68, 'Snipe Hunt Time'!C$2:F$200, 4, FALSE)</f>
        <v>jamie.dow@options-it.com</v>
      </c>
      <c r="G68" t="str">
        <f t="shared" si="2"/>
        <v>-</v>
      </c>
    </row>
    <row r="69" spans="1:7" x14ac:dyDescent="0.2">
      <c r="A69" s="3">
        <v>9196</v>
      </c>
      <c r="B69" s="4" t="s">
        <v>166</v>
      </c>
      <c r="C69" s="4" t="s">
        <v>154</v>
      </c>
      <c r="D69" s="5">
        <v>46.9</v>
      </c>
      <c r="E69" s="4" t="s">
        <v>190</v>
      </c>
      <c r="F69" t="str">
        <f>VLOOKUP(A69, 'Snipe Hunt Time'!C$2:F$200, 4, FALSE)</f>
        <v>chris.watts@dominos.co.uk</v>
      </c>
      <c r="G69" t="str">
        <f t="shared" si="2"/>
        <v>dominos</v>
      </c>
    </row>
    <row r="70" spans="1:7" x14ac:dyDescent="0.2">
      <c r="A70" s="6">
        <v>9101</v>
      </c>
      <c r="B70" s="7" t="s">
        <v>166</v>
      </c>
      <c r="C70" s="7" t="s">
        <v>169</v>
      </c>
      <c r="D70" s="8">
        <v>46</v>
      </c>
      <c r="E70" s="7" t="s">
        <v>191</v>
      </c>
      <c r="F70" t="str">
        <f>VLOOKUP(A70, 'Snipe Hunt Time'!C$2:F$200, 4, FALSE)</f>
        <v>a.strakovich@gmail.com</v>
      </c>
      <c r="G70" t="str">
        <f t="shared" si="2"/>
        <v>-</v>
      </c>
    </row>
    <row r="71" spans="1:7" x14ac:dyDescent="0.2">
      <c r="A71" s="3">
        <v>9025</v>
      </c>
      <c r="B71" s="4" t="s">
        <v>166</v>
      </c>
      <c r="C71" s="4" t="s">
        <v>169</v>
      </c>
      <c r="D71" s="5">
        <v>46</v>
      </c>
      <c r="E71" s="4" t="s">
        <v>192</v>
      </c>
      <c r="F71" t="str">
        <f>VLOOKUP(A71, 'Snipe Hunt Time'!C$2:F$200, 4, FALSE)</f>
        <v>lakshminarayanan.sridhar@ig.com</v>
      </c>
      <c r="G71" t="str">
        <f t="shared" si="2"/>
        <v>-</v>
      </c>
    </row>
    <row r="72" spans="1:7" x14ac:dyDescent="0.2">
      <c r="A72" s="3">
        <v>9392</v>
      </c>
      <c r="B72" s="4" t="s">
        <v>166</v>
      </c>
      <c r="C72" s="4" t="s">
        <v>169</v>
      </c>
      <c r="D72" s="5">
        <v>46</v>
      </c>
      <c r="E72" s="4" t="s">
        <v>193</v>
      </c>
      <c r="F72" s="37" t="str">
        <f>VLOOKUP(A72, 'Snipe Hunt Time'!C$2:F$200, 4, FALSE)</f>
        <v>ryan.allen@6dg.co.uk</v>
      </c>
      <c r="G72" t="str">
        <f t="shared" si="2"/>
        <v>-</v>
      </c>
    </row>
    <row r="73" spans="1:7" x14ac:dyDescent="0.2">
      <c r="A73" s="3">
        <v>9317</v>
      </c>
      <c r="B73" s="4" t="s">
        <v>166</v>
      </c>
      <c r="C73" s="4" t="s">
        <v>169</v>
      </c>
      <c r="D73" s="5">
        <v>46</v>
      </c>
      <c r="E73" s="4" t="s">
        <v>194</v>
      </c>
      <c r="F73" t="str">
        <f>VLOOKUP(A73, 'Snipe Hunt Time'!C$2:F$200, 4, FALSE)</f>
        <v>swetha.nayudu@dominos.co.uk</v>
      </c>
      <c r="G73" t="str">
        <f t="shared" si="2"/>
        <v>dominos</v>
      </c>
    </row>
    <row r="74" spans="1:7" x14ac:dyDescent="0.2">
      <c r="A74" s="6">
        <v>9103</v>
      </c>
      <c r="B74" s="7" t="s">
        <v>166</v>
      </c>
      <c r="C74" s="7" t="s">
        <v>195</v>
      </c>
      <c r="D74" s="8">
        <v>44.4</v>
      </c>
      <c r="E74" s="7" t="s">
        <v>196</v>
      </c>
      <c r="F74" t="str">
        <f>VLOOKUP(A74, 'Snipe Hunt Time'!C$2:F$200, 4, FALSE)</f>
        <v>contact@quincy.dev</v>
      </c>
      <c r="G74" t="str">
        <f t="shared" si="2"/>
        <v>-</v>
      </c>
    </row>
    <row r="75" spans="1:7" x14ac:dyDescent="0.2">
      <c r="A75" s="3">
        <v>9121</v>
      </c>
      <c r="B75" s="4" t="s">
        <v>166</v>
      </c>
      <c r="C75" s="4" t="s">
        <v>195</v>
      </c>
      <c r="D75" s="5">
        <v>44.4</v>
      </c>
      <c r="E75" s="4" t="s">
        <v>197</v>
      </c>
      <c r="F75" t="str">
        <f>VLOOKUP(A75, 'Snipe Hunt Time'!C$2:F$200, 4, FALSE)</f>
        <v>ellie.walsh@options-it.com</v>
      </c>
      <c r="G75" t="str">
        <f t="shared" si="2"/>
        <v>-</v>
      </c>
    </row>
    <row r="76" spans="1:7" x14ac:dyDescent="0.2">
      <c r="A76" s="3">
        <v>9052</v>
      </c>
      <c r="B76" s="4" t="s">
        <v>198</v>
      </c>
      <c r="C76" s="4" t="s">
        <v>123</v>
      </c>
      <c r="D76" s="5">
        <v>43.8</v>
      </c>
      <c r="E76" s="4" t="s">
        <v>199</v>
      </c>
      <c r="F76" t="str">
        <f>VLOOKUP(A76, 'Snipe Hunt Time'!C$2:F$200, 4, FALSE)</f>
        <v>sankalp.bartariya@thetrainline.com</v>
      </c>
      <c r="G76" t="str">
        <f t="shared" si="2"/>
        <v>-</v>
      </c>
    </row>
    <row r="77" spans="1:7" x14ac:dyDescent="0.2">
      <c r="A77" s="3">
        <v>9083</v>
      </c>
      <c r="B77" s="4" t="s">
        <v>198</v>
      </c>
      <c r="C77" s="4" t="s">
        <v>154</v>
      </c>
      <c r="D77" s="5">
        <v>42.2</v>
      </c>
      <c r="E77" s="4" t="s">
        <v>200</v>
      </c>
      <c r="F77" t="str">
        <f>VLOOKUP(A77, 'Snipe Hunt Time'!C$2:F$200, 4, FALSE)</f>
        <v>naveed.khan@6dg.co.uk</v>
      </c>
      <c r="G77" t="str">
        <f t="shared" si="2"/>
        <v>-</v>
      </c>
    </row>
    <row r="78" spans="1:7" x14ac:dyDescent="0.2">
      <c r="A78" s="3">
        <v>9171</v>
      </c>
      <c r="B78" s="4" t="s">
        <v>198</v>
      </c>
      <c r="C78" s="4" t="s">
        <v>154</v>
      </c>
      <c r="D78" s="5">
        <v>42.2</v>
      </c>
      <c r="E78" s="4" t="s">
        <v>201</v>
      </c>
      <c r="F78" t="str">
        <f>VLOOKUP(A78, 'Snipe Hunt Time'!C$2:F$200, 4, FALSE)</f>
        <v>donnchadh.tierney@options-it.com</v>
      </c>
      <c r="G78" t="str">
        <f t="shared" si="2"/>
        <v>-</v>
      </c>
    </row>
    <row r="79" spans="1:7" x14ac:dyDescent="0.2">
      <c r="A79" s="3">
        <v>9266</v>
      </c>
      <c r="B79" s="4" t="s">
        <v>198</v>
      </c>
      <c r="C79" s="4" t="s">
        <v>154</v>
      </c>
      <c r="D79" s="5">
        <v>42.2</v>
      </c>
      <c r="E79" s="4" t="s">
        <v>202</v>
      </c>
      <c r="F79" t="str">
        <f>VLOOKUP(A79, 'Snipe Hunt Time'!C$2:F$200, 4, FALSE)</f>
        <v>arpit.varshneya@zomato.com</v>
      </c>
      <c r="G79" t="str">
        <f t="shared" si="2"/>
        <v>-</v>
      </c>
    </row>
    <row r="80" spans="1:7" x14ac:dyDescent="0.2">
      <c r="A80" s="3">
        <v>9348</v>
      </c>
      <c r="B80" s="4" t="s">
        <v>198</v>
      </c>
      <c r="C80" s="4" t="s">
        <v>154</v>
      </c>
      <c r="D80" s="5">
        <v>42.2</v>
      </c>
      <c r="E80" s="4" t="s">
        <v>203</v>
      </c>
      <c r="F80" s="37" t="str">
        <f>VLOOKUP(A80, 'Snipe Hunt Time'!C$2:F$200, 4, FALSE)</f>
        <v>jamie.mardell@withersworldwide.com</v>
      </c>
      <c r="G80" t="str">
        <f t="shared" si="2"/>
        <v>-</v>
      </c>
    </row>
    <row r="81" spans="1:7" x14ac:dyDescent="0.2">
      <c r="A81" s="3">
        <v>9368</v>
      </c>
      <c r="B81" s="4" t="s">
        <v>198</v>
      </c>
      <c r="C81" s="4" t="s">
        <v>154</v>
      </c>
      <c r="D81" s="5">
        <v>42.2</v>
      </c>
      <c r="E81" s="4" t="s">
        <v>204</v>
      </c>
      <c r="F81" s="37" t="str">
        <f>VLOOKUP(A81, 'Snipe Hunt Time'!C$2:F$200, 4, FALSE)</f>
        <v>suraj.singhdadwal@ig.com</v>
      </c>
      <c r="G81" t="str">
        <f t="shared" si="2"/>
        <v>-</v>
      </c>
    </row>
    <row r="82" spans="1:7" x14ac:dyDescent="0.2">
      <c r="A82" s="3">
        <v>9496</v>
      </c>
      <c r="B82" s="4" t="s">
        <v>198</v>
      </c>
      <c r="C82" s="4" t="s">
        <v>154</v>
      </c>
      <c r="D82" s="5">
        <v>42.2</v>
      </c>
      <c r="E82" s="4" t="s">
        <v>205</v>
      </c>
      <c r="F82" s="37" t="str">
        <f>VLOOKUP(A82, 'Snipe Hunt Time'!C$2:F$200, 4, FALSE)</f>
        <v>lucy.mccormack@options-it.com</v>
      </c>
    </row>
    <row r="83" spans="1:7" x14ac:dyDescent="0.2">
      <c r="A83" s="3">
        <v>9057</v>
      </c>
      <c r="B83" s="4" t="s">
        <v>198</v>
      </c>
      <c r="C83" s="4" t="s">
        <v>169</v>
      </c>
      <c r="D83" s="5">
        <v>41.3</v>
      </c>
      <c r="E83" s="4" t="s">
        <v>206</v>
      </c>
      <c r="F83" t="str">
        <f>VLOOKUP(A83, 'Snipe Hunt Time'!C$2:F$200, 4, FALSE)</f>
        <v>soumya.jk@thetrainline.com</v>
      </c>
      <c r="G83" t="str">
        <f>IF(ISNUMBER(FIND("dominos", F83)), "dominos", "-")</f>
        <v>-</v>
      </c>
    </row>
    <row r="84" spans="1:7" x14ac:dyDescent="0.2">
      <c r="A84" s="3">
        <v>9154</v>
      </c>
      <c r="B84" s="4" t="s">
        <v>198</v>
      </c>
      <c r="C84" s="4" t="s">
        <v>169</v>
      </c>
      <c r="D84" s="5">
        <v>41.3</v>
      </c>
      <c r="E84" s="4" t="s">
        <v>207</v>
      </c>
      <c r="F84" t="str">
        <f>VLOOKUP(A84, 'Snipe Hunt Time'!C$2:F$200, 4, FALSE)</f>
        <v>mayank.dhillon@zomato.com</v>
      </c>
      <c r="G84" t="str">
        <f>IF(ISNUMBER(FIND("dominos", F84)), "dominos", "-")</f>
        <v>-</v>
      </c>
    </row>
    <row r="85" spans="1:7" x14ac:dyDescent="0.2">
      <c r="A85" s="3">
        <v>9389</v>
      </c>
      <c r="B85" s="4" t="s">
        <v>198</v>
      </c>
      <c r="C85" s="4" t="s">
        <v>169</v>
      </c>
      <c r="D85" s="5">
        <v>41.3</v>
      </c>
      <c r="E85" s="4" t="s">
        <v>208</v>
      </c>
      <c r="F85" s="37" t="str">
        <f>VLOOKUP(A85, 'Snipe Hunt Time'!C$2:F$200, 4, FALSE)</f>
        <v>saikrishnajami60@gmail.com</v>
      </c>
      <c r="G85" t="str">
        <f>IF(ISNUMBER(FIND("dominos", F85)), "dominos", "-")</f>
        <v>-</v>
      </c>
    </row>
    <row r="86" spans="1:7" x14ac:dyDescent="0.2">
      <c r="A86" s="3">
        <v>9173</v>
      </c>
      <c r="B86" s="4" t="s">
        <v>198</v>
      </c>
      <c r="C86" s="4" t="s">
        <v>209</v>
      </c>
      <c r="D86" s="5">
        <v>40.5</v>
      </c>
      <c r="E86" s="4" t="s">
        <v>210</v>
      </c>
      <c r="F86" t="str">
        <f>VLOOKUP(A86, 'Snipe Hunt Time'!C$2:F$200, 4, FALSE)</f>
        <v>amelia.horwood@options-it.com</v>
      </c>
      <c r="G86" t="str">
        <f>IF(ISNUMBER(FIND("dominos", F86)), "dominos", "-")</f>
        <v>-</v>
      </c>
    </row>
    <row r="87" spans="1:7" x14ac:dyDescent="0.2">
      <c r="A87" s="3">
        <v>9502</v>
      </c>
      <c r="B87" s="4" t="s">
        <v>198</v>
      </c>
      <c r="C87" s="4" t="s">
        <v>209</v>
      </c>
      <c r="D87" s="5">
        <v>40.5</v>
      </c>
      <c r="E87" s="4" t="s">
        <v>211</v>
      </c>
      <c r="F87" s="37" t="str">
        <f>VLOOKUP(A87, 'Snipe Hunt Time'!C$2:F$200, 4, FALSE)</f>
        <v>harsh.mohan@gearset.com</v>
      </c>
    </row>
    <row r="88" spans="1:7" x14ac:dyDescent="0.2">
      <c r="A88" s="6">
        <v>9062</v>
      </c>
      <c r="B88" s="7" t="s">
        <v>212</v>
      </c>
      <c r="C88" s="7" t="s">
        <v>121</v>
      </c>
      <c r="D88" s="8">
        <v>40</v>
      </c>
      <c r="E88" s="7" t="s">
        <v>213</v>
      </c>
      <c r="F88" t="str">
        <f>VLOOKUP(A88, 'Snipe Hunt Time'!C$2:F$200, 4, FALSE)</f>
        <v>leigh.burton@sonic.com</v>
      </c>
      <c r="G88" t="str">
        <f t="shared" ref="G88:G97" si="3">IF(ISNUMBER(FIND("dominos", F88)), "dominos", "-")</f>
        <v>-</v>
      </c>
    </row>
    <row r="89" spans="1:7" x14ac:dyDescent="0.2">
      <c r="A89" s="3">
        <v>9050</v>
      </c>
      <c r="B89" s="4" t="s">
        <v>198</v>
      </c>
      <c r="C89" s="4" t="s">
        <v>195</v>
      </c>
      <c r="D89" s="5">
        <v>39.700000000000003</v>
      </c>
      <c r="E89" s="4" t="s">
        <v>214</v>
      </c>
      <c r="F89" t="str">
        <f>VLOOKUP(A89, 'Snipe Hunt Time'!C$2:F$200, 4, FALSE)</f>
        <v>caoimhe.kelly@options-it.com</v>
      </c>
      <c r="G89" t="str">
        <f t="shared" si="3"/>
        <v>-</v>
      </c>
    </row>
    <row r="90" spans="1:7" x14ac:dyDescent="0.2">
      <c r="A90" s="3">
        <v>9085</v>
      </c>
      <c r="B90" s="4" t="s">
        <v>212</v>
      </c>
      <c r="C90" s="4" t="s">
        <v>123</v>
      </c>
      <c r="D90" s="5">
        <v>39.1</v>
      </c>
      <c r="E90" s="4" t="s">
        <v>215</v>
      </c>
      <c r="F90" t="str">
        <f>VLOOKUP(A90, 'Snipe Hunt Time'!C$2:F$200, 4, FALSE)</f>
        <v>eveline.sparreboom@albelli.com</v>
      </c>
      <c r="G90" t="str">
        <f t="shared" si="3"/>
        <v>-</v>
      </c>
    </row>
    <row r="91" spans="1:7" x14ac:dyDescent="0.2">
      <c r="A91" s="3">
        <v>9130</v>
      </c>
      <c r="B91" s="4" t="s">
        <v>198</v>
      </c>
      <c r="C91" s="4" t="s">
        <v>216</v>
      </c>
      <c r="D91" s="5">
        <v>38.799999999999997</v>
      </c>
      <c r="E91" s="4" t="s">
        <v>217</v>
      </c>
      <c r="F91" t="str">
        <f>VLOOKUP(A91, 'Snipe Hunt Time'!C$2:F$200, 4, FALSE)</f>
        <v>abdulkadir.hussein@6dg.co.uk</v>
      </c>
      <c r="G91" t="str">
        <f t="shared" si="3"/>
        <v>-</v>
      </c>
    </row>
    <row r="92" spans="1:7" x14ac:dyDescent="0.2">
      <c r="A92" s="3">
        <v>9188</v>
      </c>
      <c r="B92" s="4" t="s">
        <v>198</v>
      </c>
      <c r="C92" s="4" t="s">
        <v>216</v>
      </c>
      <c r="D92" s="5">
        <v>38.799999999999997</v>
      </c>
      <c r="E92" s="4" t="s">
        <v>218</v>
      </c>
      <c r="F92" t="str">
        <f>VLOOKUP(A92, 'Snipe Hunt Time'!C$2:F$200, 4, FALSE)</f>
        <v>adriana.sukhanova@albelli.com</v>
      </c>
      <c r="G92" t="str">
        <f t="shared" si="3"/>
        <v>-</v>
      </c>
    </row>
    <row r="93" spans="1:7" x14ac:dyDescent="0.2">
      <c r="A93" s="3">
        <v>9361</v>
      </c>
      <c r="B93" s="4" t="s">
        <v>212</v>
      </c>
      <c r="C93" s="4" t="s">
        <v>146</v>
      </c>
      <c r="D93" s="5">
        <v>38.299999999999997</v>
      </c>
      <c r="E93" s="4" t="s">
        <v>219</v>
      </c>
      <c r="F93" s="37" t="str">
        <f>VLOOKUP(A93, 'Snipe Hunt Time'!C$2:F$200, 4, FALSE)</f>
        <v>manuj.grover@zomato.com</v>
      </c>
      <c r="G93" t="str">
        <f t="shared" si="3"/>
        <v>-</v>
      </c>
    </row>
    <row r="94" spans="1:7" x14ac:dyDescent="0.2">
      <c r="A94" s="3">
        <v>9377</v>
      </c>
      <c r="B94" s="4" t="s">
        <v>212</v>
      </c>
      <c r="C94" s="4" t="s">
        <v>146</v>
      </c>
      <c r="D94" s="5">
        <v>38.299999999999997</v>
      </c>
      <c r="E94" s="4" t="s">
        <v>220</v>
      </c>
      <c r="F94" t="str">
        <f>VLOOKUP(A94, 'Snipe Hunt Time'!C$2:F$200, 4, FALSE)</f>
        <v>akshat.goel@zomato.com</v>
      </c>
      <c r="G94" t="str">
        <f t="shared" si="3"/>
        <v>-</v>
      </c>
    </row>
    <row r="95" spans="1:7" x14ac:dyDescent="0.2">
      <c r="A95" s="3">
        <v>9112</v>
      </c>
      <c r="B95" s="4" t="s">
        <v>198</v>
      </c>
      <c r="C95" s="4" t="s">
        <v>212</v>
      </c>
      <c r="D95" s="5">
        <v>38</v>
      </c>
      <c r="E95" s="4" t="s">
        <v>221</v>
      </c>
      <c r="F95" t="str">
        <f>VLOOKUP(A95, 'Snipe Hunt Time'!C$2:F$200, 4, FALSE)</f>
        <v>kalp.jain@zomato.com</v>
      </c>
      <c r="G95" t="str">
        <f t="shared" si="3"/>
        <v>-</v>
      </c>
    </row>
    <row r="96" spans="1:7" x14ac:dyDescent="0.2">
      <c r="A96" s="3">
        <v>9395</v>
      </c>
      <c r="B96" s="4" t="s">
        <v>198</v>
      </c>
      <c r="C96" s="4" t="s">
        <v>212</v>
      </c>
      <c r="D96" s="5">
        <v>38</v>
      </c>
      <c r="E96" s="4" t="s">
        <v>222</v>
      </c>
      <c r="F96" s="37" t="str">
        <f>VLOOKUP(A96, 'Snipe Hunt Time'!C$2:F$200, 4, FALSE)</f>
        <v>r.enchill-balogun@6dg.co.uk</v>
      </c>
      <c r="G96" t="str">
        <f t="shared" si="3"/>
        <v>-</v>
      </c>
    </row>
    <row r="97" spans="1:7" x14ac:dyDescent="0.2">
      <c r="A97" s="3">
        <v>9056</v>
      </c>
      <c r="B97" s="4" t="s">
        <v>212</v>
      </c>
      <c r="C97" s="4" t="s">
        <v>154</v>
      </c>
      <c r="D97" s="5">
        <v>37.5</v>
      </c>
      <c r="E97" s="4" t="s">
        <v>223</v>
      </c>
      <c r="F97" t="str">
        <f>VLOOKUP(A97, 'Snipe Hunt Time'!C$2:F$200, 4, FALSE)</f>
        <v>jas.sahi@6dg.co.uk</v>
      </c>
      <c r="G97" t="str">
        <f t="shared" si="3"/>
        <v>-</v>
      </c>
    </row>
    <row r="98" spans="1:7" x14ac:dyDescent="0.2">
      <c r="A98" s="3">
        <v>9531</v>
      </c>
      <c r="B98" s="4" t="s">
        <v>212</v>
      </c>
      <c r="C98" s="4" t="s">
        <v>154</v>
      </c>
      <c r="D98" s="5">
        <v>37.5</v>
      </c>
      <c r="E98" s="4" t="s">
        <v>224</v>
      </c>
      <c r="F98" s="37" t="str">
        <f>VLOOKUP(A98, 'Snipe Hunt Time'!C$2:F$200, 4, FALSE)</f>
        <v>lew.radam@withersworldwide.com</v>
      </c>
    </row>
    <row r="99" spans="1:7" x14ac:dyDescent="0.2">
      <c r="A99" s="3">
        <v>8969</v>
      </c>
      <c r="B99" s="4" t="s">
        <v>198</v>
      </c>
      <c r="C99" s="4" t="s">
        <v>225</v>
      </c>
      <c r="D99" s="5">
        <v>37.200000000000003</v>
      </c>
      <c r="E99" s="4" t="s">
        <v>226</v>
      </c>
      <c r="F99" t="e">
        <f>VLOOKUP(A99, 'Snipe Hunt Time'!C$2:F$200, 4, FALSE)</f>
        <v>#N/A</v>
      </c>
      <c r="G99" t="str">
        <f>IF(ISNUMBER(FIND("dominos", F99)), "dominos", "-")</f>
        <v>-</v>
      </c>
    </row>
    <row r="100" spans="1:7" x14ac:dyDescent="0.2">
      <c r="A100" s="3">
        <v>9181</v>
      </c>
      <c r="B100" s="4" t="s">
        <v>198</v>
      </c>
      <c r="C100" s="4" t="s">
        <v>225</v>
      </c>
      <c r="D100" s="5">
        <v>37.200000000000003</v>
      </c>
      <c r="E100" s="4" t="s">
        <v>227</v>
      </c>
      <c r="F100" t="str">
        <f>VLOOKUP(A100, 'Snipe Hunt Time'!C$2:F$200, 4, FALSE)</f>
        <v>nilotpal.pramanik@zomato.com</v>
      </c>
      <c r="G100" t="str">
        <f>IF(ISNUMBER(FIND("dominos", F100)), "dominos", "-")</f>
        <v>-</v>
      </c>
    </row>
    <row r="101" spans="1:7" x14ac:dyDescent="0.2">
      <c r="A101" s="3">
        <v>9351</v>
      </c>
      <c r="B101" s="4" t="s">
        <v>198</v>
      </c>
      <c r="C101" s="4" t="s">
        <v>225</v>
      </c>
      <c r="D101" s="5">
        <v>37.200000000000003</v>
      </c>
      <c r="E101" s="4" t="s">
        <v>228</v>
      </c>
      <c r="F101" s="37" t="str">
        <f>VLOOKUP(A101, 'Snipe Hunt Time'!C$2:F$200, 4, FALSE)</f>
        <v>omokova.otaru@6dg.co.uk</v>
      </c>
      <c r="G101" t="str">
        <f>IF(ISNUMBER(FIND("dominos", F101)), "dominos", "-")</f>
        <v>-</v>
      </c>
    </row>
    <row r="102" spans="1:7" x14ac:dyDescent="0.2">
      <c r="A102" s="3">
        <v>9357</v>
      </c>
      <c r="B102" s="4" t="s">
        <v>198</v>
      </c>
      <c r="C102" s="4" t="s">
        <v>225</v>
      </c>
      <c r="D102" s="5">
        <v>37.200000000000003</v>
      </c>
      <c r="E102" s="4" t="s">
        <v>229</v>
      </c>
      <c r="F102" s="37" t="str">
        <f>VLOOKUP(A102, 'Snipe Hunt Time'!C$2:F$200, 4, FALSE)</f>
        <v>carlos.ramos@thomsonreuters.com</v>
      </c>
      <c r="G102" t="str">
        <f>IF(ISNUMBER(FIND("dominos", F102)), "dominos", "-")</f>
        <v>-</v>
      </c>
    </row>
    <row r="103" spans="1:7" x14ac:dyDescent="0.2">
      <c r="A103" s="3">
        <v>9527</v>
      </c>
      <c r="B103" s="4" t="s">
        <v>198</v>
      </c>
      <c r="C103" s="4" t="s">
        <v>225</v>
      </c>
      <c r="D103" s="5">
        <v>37.200000000000003</v>
      </c>
      <c r="E103" s="4" t="s">
        <v>230</v>
      </c>
      <c r="F103" s="37" t="str">
        <f>VLOOKUP(A103, 'Snipe Hunt Time'!C$2:F$200, 4, FALSE)</f>
        <v>patrick.guckian@withersworldwide.com</v>
      </c>
    </row>
    <row r="104" spans="1:7" x14ac:dyDescent="0.2">
      <c r="A104" s="3">
        <v>9378</v>
      </c>
      <c r="B104" s="4" t="s">
        <v>212</v>
      </c>
      <c r="C104" s="4" t="s">
        <v>169</v>
      </c>
      <c r="D104" s="5">
        <v>36.6</v>
      </c>
      <c r="E104" s="4" t="s">
        <v>231</v>
      </c>
      <c r="F104" t="str">
        <f>VLOOKUP(A104, 'Snipe Hunt Time'!C$2:F$200, 4, FALSE)</f>
        <v>patrick.collins@options-it.com</v>
      </c>
      <c r="G104" t="str">
        <f>IF(ISNUMBER(FIND("dominos", F104)), "dominos", "-")</f>
        <v>-</v>
      </c>
    </row>
    <row r="105" spans="1:7" x14ac:dyDescent="0.2">
      <c r="A105" s="3">
        <v>9491</v>
      </c>
      <c r="B105" s="4" t="s">
        <v>212</v>
      </c>
      <c r="C105" s="4" t="s">
        <v>169</v>
      </c>
      <c r="D105" s="5">
        <v>36.6</v>
      </c>
      <c r="E105" s="4" t="s">
        <v>232</v>
      </c>
      <c r="F105" s="37" t="str">
        <f>VLOOKUP(A105, 'Snipe Hunt Time'!C$2:F$200, 4, FALSE)</f>
        <v>okba@functionhealth.com</v>
      </c>
    </row>
    <row r="106" spans="1:7" x14ac:dyDescent="0.2">
      <c r="A106" s="39">
        <v>9537</v>
      </c>
      <c r="B106" s="40" t="s">
        <v>198</v>
      </c>
      <c r="C106" s="40" t="s">
        <v>233</v>
      </c>
      <c r="D106" s="41">
        <v>36.299999999999997</v>
      </c>
      <c r="E106" s="40" t="s">
        <v>234</v>
      </c>
      <c r="F106" s="37" t="e">
        <f>VLOOKUP(A106, 'Snipe Hunt Time'!C$2:F$200, 4, FALSE)</f>
        <v>#N/A</v>
      </c>
    </row>
    <row r="107" spans="1:7" x14ac:dyDescent="0.2">
      <c r="A107" s="3">
        <v>9120</v>
      </c>
      <c r="B107" s="4" t="s">
        <v>212</v>
      </c>
      <c r="C107" s="4" t="s">
        <v>209</v>
      </c>
      <c r="D107" s="5">
        <v>35.799999999999997</v>
      </c>
      <c r="E107" s="4" t="s">
        <v>235</v>
      </c>
      <c r="F107" t="str">
        <f>VLOOKUP(A107, 'Snipe Hunt Time'!C$2:F$200, 4, FALSE)</f>
        <v>prashanta.agarwala@zomato.com</v>
      </c>
      <c r="G107" t="str">
        <f>IF(ISNUMBER(FIND("dominos", F107)), "dominos", "-")</f>
        <v>-</v>
      </c>
    </row>
    <row r="108" spans="1:7" x14ac:dyDescent="0.2">
      <c r="A108" s="3">
        <v>9226</v>
      </c>
      <c r="B108" s="4" t="s">
        <v>212</v>
      </c>
      <c r="C108" s="4" t="s">
        <v>209</v>
      </c>
      <c r="D108" s="5">
        <v>35.799999999999997</v>
      </c>
      <c r="E108" s="4" t="s">
        <v>236</v>
      </c>
      <c r="F108" t="str">
        <f>VLOOKUP(A108, 'Snipe Hunt Time'!C$2:F$200, 4, FALSE)</f>
        <v>sameer.saxena@zomato.com</v>
      </c>
      <c r="G108" t="str">
        <f>IF(ISNUMBER(FIND("dominos", F108)), "dominos", "-")</f>
        <v>-</v>
      </c>
    </row>
    <row r="109" spans="1:7" x14ac:dyDescent="0.2">
      <c r="A109" s="3">
        <v>9278</v>
      </c>
      <c r="B109" s="4" t="s">
        <v>212</v>
      </c>
      <c r="C109" s="4" t="s">
        <v>209</v>
      </c>
      <c r="D109" s="5">
        <v>35.799999999999997</v>
      </c>
      <c r="E109" s="4" t="s">
        <v>237</v>
      </c>
      <c r="F109" t="str">
        <f>VLOOKUP(A109, 'Snipe Hunt Time'!C$2:F$200, 4, FALSE)</f>
        <v>dylan.coombes@exclaimer.com</v>
      </c>
      <c r="G109" t="str">
        <f>IF(ISNUMBER(FIND("dominos", F109)), "dominos", "-")</f>
        <v>-</v>
      </c>
    </row>
    <row r="110" spans="1:7" x14ac:dyDescent="0.2">
      <c r="A110" s="3">
        <v>9376</v>
      </c>
      <c r="B110" s="4" t="s">
        <v>212</v>
      </c>
      <c r="C110" s="4" t="s">
        <v>209</v>
      </c>
      <c r="D110" s="5">
        <v>35.799999999999997</v>
      </c>
      <c r="E110" s="4" t="s">
        <v>238</v>
      </c>
      <c r="F110" t="str">
        <f>VLOOKUP(A110, 'Snipe Hunt Time'!C$2:F$200, 4, FALSE)</f>
        <v>akshat.goel@zomato.com</v>
      </c>
      <c r="G110" t="str">
        <f>IF(ISNUMBER(FIND("dominos", F110)), "dominos", "-")</f>
        <v>-</v>
      </c>
    </row>
    <row r="111" spans="1:7" x14ac:dyDescent="0.2">
      <c r="A111" s="3">
        <v>9386</v>
      </c>
      <c r="B111" s="4" t="s">
        <v>212</v>
      </c>
      <c r="C111" s="4" t="s">
        <v>209</v>
      </c>
      <c r="D111" s="5">
        <v>35.799999999999997</v>
      </c>
      <c r="E111" s="4" t="s">
        <v>239</v>
      </c>
      <c r="F111" s="37" t="str">
        <f>VLOOKUP(A111, 'Snipe Hunt Time'!C$2:F$200, 4, FALSE)</f>
        <v>subhaan.ahmed@6dg.co.uk</v>
      </c>
      <c r="G111" t="str">
        <f>IF(ISNUMBER(FIND("dominos", F111)), "dominos", "-")</f>
        <v>-</v>
      </c>
    </row>
    <row r="112" spans="1:7" x14ac:dyDescent="0.2">
      <c r="A112" s="3">
        <v>9421</v>
      </c>
      <c r="B112" s="4" t="s">
        <v>212</v>
      </c>
      <c r="C112" s="4" t="s">
        <v>209</v>
      </c>
      <c r="D112" s="5">
        <v>35.799999999999997</v>
      </c>
      <c r="E112" s="4" t="s">
        <v>240</v>
      </c>
      <c r="F112" s="37" t="str">
        <f>VLOOKUP(A112, 'Snipe Hunt Time'!C$2:F$200, 4, FALSE)</f>
        <v>latif.khan@dominos.co.uk</v>
      </c>
    </row>
    <row r="113" spans="1:7" x14ac:dyDescent="0.2">
      <c r="A113" s="3">
        <v>8998</v>
      </c>
      <c r="B113" s="4" t="s">
        <v>198</v>
      </c>
      <c r="C113" s="4" t="s">
        <v>241</v>
      </c>
      <c r="D113" s="5">
        <v>35.5</v>
      </c>
      <c r="E113" s="4" t="s">
        <v>242</v>
      </c>
      <c r="F113" t="str">
        <f>VLOOKUP(A113, 'Snipe Hunt Time'!C$2:F$200, 4, FALSE)</f>
        <v>naeem.khan@6dg.co.uk</v>
      </c>
      <c r="G113" t="str">
        <f>IF(ISNUMBER(FIND("dominos", F113)), "dominos", "-")</f>
        <v>-</v>
      </c>
    </row>
    <row r="114" spans="1:7" x14ac:dyDescent="0.2">
      <c r="A114" s="3">
        <v>9306</v>
      </c>
      <c r="B114" s="4" t="s">
        <v>212</v>
      </c>
      <c r="C114" s="4" t="s">
        <v>195</v>
      </c>
      <c r="D114" s="5">
        <v>35</v>
      </c>
      <c r="E114" s="4" t="s">
        <v>243</v>
      </c>
      <c r="F114" t="str">
        <f>VLOOKUP(A114, 'Snipe Hunt Time'!C$2:F$200, 4, FALSE)</f>
        <v>shivanand.hebballi@thetrainline.com</v>
      </c>
      <c r="G114" t="str">
        <f>IF(ISNUMBER(FIND("dominos", F114)), "dominos", "-")</f>
        <v>-</v>
      </c>
    </row>
    <row r="115" spans="1:7" x14ac:dyDescent="0.2">
      <c r="A115" s="3">
        <v>9367</v>
      </c>
      <c r="B115" s="4" t="s">
        <v>212</v>
      </c>
      <c r="C115" s="4" t="s">
        <v>195</v>
      </c>
      <c r="D115" s="5">
        <v>35</v>
      </c>
      <c r="E115" s="4" t="s">
        <v>244</v>
      </c>
      <c r="F115" s="37" t="str">
        <f>VLOOKUP(A115, 'Snipe Hunt Time'!C$2:F$200, 4, FALSE)</f>
        <v>divyanshu.sahu@zomato.com</v>
      </c>
      <c r="G115" t="str">
        <f>IF(ISNUMBER(FIND("dominos", F115)), "dominos", "-")</f>
        <v>-</v>
      </c>
    </row>
    <row r="116" spans="1:7" x14ac:dyDescent="0.2">
      <c r="A116" s="3">
        <v>9427</v>
      </c>
      <c r="B116" s="4" t="s">
        <v>212</v>
      </c>
      <c r="C116" s="4" t="s">
        <v>195</v>
      </c>
      <c r="D116" s="5">
        <v>35</v>
      </c>
      <c r="E116" s="4" t="s">
        <v>245</v>
      </c>
      <c r="F116" s="37" t="str">
        <f>VLOOKUP(A116, 'Snipe Hunt Time'!C$2:F$200, 4, FALSE)</f>
        <v>emma.allsopp@options-it.com</v>
      </c>
    </row>
    <row r="117" spans="1:7" x14ac:dyDescent="0.2">
      <c r="A117" s="3">
        <v>8969</v>
      </c>
      <c r="B117" s="4" t="s">
        <v>212</v>
      </c>
      <c r="C117" s="4" t="s">
        <v>216</v>
      </c>
      <c r="D117" s="5">
        <v>34.1</v>
      </c>
      <c r="E117" s="4" t="s">
        <v>246</v>
      </c>
      <c r="F117" t="e">
        <f>VLOOKUP(A117, 'Snipe Hunt Time'!C$2:F$200, 4, FALSE)</f>
        <v>#N/A</v>
      </c>
      <c r="G117" t="str">
        <f>IF(ISNUMBER(FIND("dominos", F117)), "dominos", "-")</f>
        <v>-</v>
      </c>
    </row>
    <row r="118" spans="1:7" x14ac:dyDescent="0.2">
      <c r="A118" s="3">
        <v>9428</v>
      </c>
      <c r="B118" s="4" t="s">
        <v>212</v>
      </c>
      <c r="C118" s="4" t="s">
        <v>216</v>
      </c>
      <c r="D118" s="5">
        <v>34.1</v>
      </c>
      <c r="E118" s="4" t="s">
        <v>247</v>
      </c>
      <c r="F118" s="37" t="str">
        <f>VLOOKUP(A118, 'Snipe Hunt Time'!C$2:F$200, 4, FALSE)</f>
        <v>bhavia.raj@zomato.com</v>
      </c>
    </row>
    <row r="119" spans="1:7" x14ac:dyDescent="0.2">
      <c r="A119" s="3">
        <v>9443</v>
      </c>
      <c r="B119" s="4" t="s">
        <v>212</v>
      </c>
      <c r="C119" s="4" t="s">
        <v>216</v>
      </c>
      <c r="D119" s="5">
        <v>34.1</v>
      </c>
      <c r="E119" s="4" t="s">
        <v>248</v>
      </c>
      <c r="F119" s="37" t="str">
        <f>VLOOKUP(A119, 'Snipe Hunt Time'!C$2:F$200, 4, FALSE)</f>
        <v>shreya.rao@ig.com</v>
      </c>
    </row>
    <row r="120" spans="1:7" x14ac:dyDescent="0.2">
      <c r="A120" s="3">
        <v>8936</v>
      </c>
      <c r="B120" s="4" t="s">
        <v>249</v>
      </c>
      <c r="C120" s="4" t="s">
        <v>146</v>
      </c>
      <c r="D120" s="5">
        <v>33.700000000000003</v>
      </c>
      <c r="E120" s="4" t="s">
        <v>250</v>
      </c>
      <c r="F120" t="str">
        <f>VLOOKUP(A120, 'Snipe Hunt Time'!C$2:F$200, 4, FALSE)</f>
        <v>peter.graham@options-it.com</v>
      </c>
      <c r="G120" t="str">
        <f t="shared" ref="G120:G133" si="4">IF(ISNUMBER(FIND("dominos", F120)), "dominos", "-")</f>
        <v>-</v>
      </c>
    </row>
    <row r="121" spans="1:7" x14ac:dyDescent="0.2">
      <c r="A121" s="3">
        <v>8918</v>
      </c>
      <c r="B121" s="4" t="s">
        <v>212</v>
      </c>
      <c r="C121" s="4" t="s">
        <v>212</v>
      </c>
      <c r="D121" s="5">
        <v>33.299999999999997</v>
      </c>
      <c r="E121" s="4" t="s">
        <v>251</v>
      </c>
      <c r="F121" t="e">
        <f>VLOOKUP(A121, 'Snipe Hunt Time'!C$2:F$200, 4, FALSE)</f>
        <v>#N/A</v>
      </c>
      <c r="G121" t="str">
        <f t="shared" si="4"/>
        <v>-</v>
      </c>
    </row>
    <row r="122" spans="1:7" x14ac:dyDescent="0.2">
      <c r="A122" s="3">
        <v>9155</v>
      </c>
      <c r="B122" s="4" t="s">
        <v>212</v>
      </c>
      <c r="C122" s="4" t="s">
        <v>212</v>
      </c>
      <c r="D122" s="5">
        <v>33.299999999999997</v>
      </c>
      <c r="E122" s="4" t="s">
        <v>252</v>
      </c>
      <c r="F122" t="str">
        <f>VLOOKUP(A122, 'Snipe Hunt Time'!C$2:F$200, 4, FALSE)</f>
        <v>roberta.roccia@thetrainline.com</v>
      </c>
      <c r="G122" t="str">
        <f t="shared" si="4"/>
        <v>-</v>
      </c>
    </row>
    <row r="123" spans="1:7" x14ac:dyDescent="0.2">
      <c r="A123" s="3">
        <v>9159</v>
      </c>
      <c r="B123" s="4" t="s">
        <v>249</v>
      </c>
      <c r="C123" s="4" t="s">
        <v>154</v>
      </c>
      <c r="D123" s="5">
        <v>32.9</v>
      </c>
      <c r="E123" s="4" t="s">
        <v>253</v>
      </c>
      <c r="F123" t="str">
        <f>VLOOKUP(A123, 'Snipe Hunt Time'!C$2:F$200, 4, FALSE)</f>
        <v>seth.lohr@sonic.com</v>
      </c>
      <c r="G123" t="str">
        <f t="shared" si="4"/>
        <v>-</v>
      </c>
    </row>
    <row r="124" spans="1:7" x14ac:dyDescent="0.2">
      <c r="A124" s="3">
        <v>9228</v>
      </c>
      <c r="B124" s="4" t="s">
        <v>249</v>
      </c>
      <c r="C124" s="4" t="s">
        <v>154</v>
      </c>
      <c r="D124" s="5">
        <v>32.9</v>
      </c>
      <c r="E124" s="4" t="s">
        <v>254</v>
      </c>
      <c r="F124" t="str">
        <f>VLOOKUP(A124, 'Snipe Hunt Time'!C$2:F$200, 4, FALSE)</f>
        <v>nikhil.p@zomato.com</v>
      </c>
      <c r="G124" t="str">
        <f t="shared" si="4"/>
        <v>-</v>
      </c>
    </row>
    <row r="125" spans="1:7" x14ac:dyDescent="0.2">
      <c r="A125" s="3">
        <v>9087</v>
      </c>
      <c r="B125" s="4" t="s">
        <v>212</v>
      </c>
      <c r="C125" s="4" t="s">
        <v>225</v>
      </c>
      <c r="D125" s="5">
        <v>32.5</v>
      </c>
      <c r="E125" s="4" t="s">
        <v>255</v>
      </c>
      <c r="F125" t="str">
        <f>VLOOKUP(A125, 'Snipe Hunt Time'!C$2:F$200, 4, FALSE)</f>
        <v>zishan.sohail@6dg.co.uk</v>
      </c>
      <c r="G125" t="str">
        <f t="shared" si="4"/>
        <v>-</v>
      </c>
    </row>
    <row r="126" spans="1:7" x14ac:dyDescent="0.2">
      <c r="A126" s="3">
        <v>9175</v>
      </c>
      <c r="B126" s="4" t="s">
        <v>212</v>
      </c>
      <c r="C126" s="4" t="s">
        <v>225</v>
      </c>
      <c r="D126" s="5">
        <v>32.5</v>
      </c>
      <c r="E126" s="4" t="s">
        <v>256</v>
      </c>
      <c r="F126" t="str">
        <f>VLOOKUP(A126, 'Snipe Hunt Time'!C$2:F$200, 4, FALSE)</f>
        <v>akshat.goel@zomato.com</v>
      </c>
      <c r="G126" t="str">
        <f t="shared" si="4"/>
        <v>-</v>
      </c>
    </row>
    <row r="127" spans="1:7" x14ac:dyDescent="0.2">
      <c r="A127" s="3">
        <v>9227</v>
      </c>
      <c r="B127" s="4" t="s">
        <v>212</v>
      </c>
      <c r="C127" s="4" t="s">
        <v>225</v>
      </c>
      <c r="D127" s="5">
        <v>32.5</v>
      </c>
      <c r="E127" s="4" t="s">
        <v>257</v>
      </c>
      <c r="F127" t="str">
        <f>VLOOKUP(A127, 'Snipe Hunt Time'!C$2:F$200, 4, FALSE)</f>
        <v>ravikiran.s@zomato.com</v>
      </c>
      <c r="G127" t="str">
        <f t="shared" si="4"/>
        <v>-</v>
      </c>
    </row>
    <row r="128" spans="1:7" x14ac:dyDescent="0.2">
      <c r="A128" s="3">
        <v>9397</v>
      </c>
      <c r="B128" s="4" t="s">
        <v>212</v>
      </c>
      <c r="C128" s="4" t="s">
        <v>225</v>
      </c>
      <c r="D128" s="5">
        <v>32.5</v>
      </c>
      <c r="E128" s="4" t="s">
        <v>258</v>
      </c>
      <c r="F128" s="37" t="str">
        <f>VLOOKUP(A128, 'Snipe Hunt Time'!C$2:F$200, 4, FALSE)</f>
        <v>pradeep.c@dominos.co.uk</v>
      </c>
      <c r="G128" t="str">
        <f t="shared" si="4"/>
        <v>dominos</v>
      </c>
    </row>
    <row r="129" spans="1:7" x14ac:dyDescent="0.2">
      <c r="A129" s="6">
        <v>9107</v>
      </c>
      <c r="B129" s="7" t="s">
        <v>249</v>
      </c>
      <c r="C129" s="7" t="s">
        <v>169</v>
      </c>
      <c r="D129" s="8">
        <v>32</v>
      </c>
      <c r="E129" s="7" t="s">
        <v>259</v>
      </c>
      <c r="F129" t="str">
        <f>VLOOKUP(A129, 'Snipe Hunt Time'!C$2:F$200, 4, FALSE)</f>
        <v>raunak.shamnani@zomato.com</v>
      </c>
      <c r="G129" t="str">
        <f t="shared" si="4"/>
        <v>-</v>
      </c>
    </row>
    <row r="130" spans="1:7" x14ac:dyDescent="0.2">
      <c r="A130" s="3">
        <v>9077</v>
      </c>
      <c r="B130" s="4" t="s">
        <v>249</v>
      </c>
      <c r="C130" s="4" t="s">
        <v>169</v>
      </c>
      <c r="D130" s="5">
        <v>32</v>
      </c>
      <c r="E130" s="4" t="s">
        <v>260</v>
      </c>
      <c r="F130" t="str">
        <f>VLOOKUP(A130, 'Snipe Hunt Time'!C$2:F$200, 4, FALSE)</f>
        <v>venkatmohan.kumar@ig.com</v>
      </c>
      <c r="G130" t="str">
        <f t="shared" si="4"/>
        <v>-</v>
      </c>
    </row>
    <row r="131" spans="1:7" x14ac:dyDescent="0.2">
      <c r="A131" s="3">
        <v>9268</v>
      </c>
      <c r="B131" s="4" t="s">
        <v>249</v>
      </c>
      <c r="C131" s="4" t="s">
        <v>169</v>
      </c>
      <c r="D131" s="5">
        <v>32</v>
      </c>
      <c r="E131" s="4" t="s">
        <v>261</v>
      </c>
      <c r="F131" t="str">
        <f>VLOOKUP(A131, 'Snipe Hunt Time'!C$2:F$200, 4, FALSE)</f>
        <v>jaime.holland@gearset.com</v>
      </c>
      <c r="G131" t="str">
        <f t="shared" si="4"/>
        <v>-</v>
      </c>
    </row>
    <row r="132" spans="1:7" x14ac:dyDescent="0.2">
      <c r="A132" s="3">
        <v>9302</v>
      </c>
      <c r="B132" s="4" t="s">
        <v>249</v>
      </c>
      <c r="C132" s="4" t="s">
        <v>169</v>
      </c>
      <c r="D132" s="5">
        <v>32</v>
      </c>
      <c r="E132" s="4" t="s">
        <v>262</v>
      </c>
      <c r="F132" t="e">
        <f>VLOOKUP(A132, 'Snipe Hunt Time'!C$2:F$200, 4, FALSE)</f>
        <v>#N/A</v>
      </c>
      <c r="G132" t="str">
        <f t="shared" si="4"/>
        <v>-</v>
      </c>
    </row>
    <row r="133" spans="1:7" x14ac:dyDescent="0.2">
      <c r="A133" s="3">
        <v>9053</v>
      </c>
      <c r="B133" s="4" t="s">
        <v>212</v>
      </c>
      <c r="C133" s="4" t="s">
        <v>233</v>
      </c>
      <c r="D133" s="5">
        <v>31.6</v>
      </c>
      <c r="E133" s="4" t="s">
        <v>263</v>
      </c>
      <c r="F133" t="str">
        <f>VLOOKUP(A133, 'Snipe Hunt Time'!C$2:F$200, 4, FALSE)</f>
        <v>divagar.durai@6dg.co.uk</v>
      </c>
      <c r="G133" t="str">
        <f t="shared" si="4"/>
        <v>-</v>
      </c>
    </row>
    <row r="134" spans="1:7" x14ac:dyDescent="0.2">
      <c r="A134" s="3">
        <v>9451</v>
      </c>
      <c r="B134" s="4" t="s">
        <v>212</v>
      </c>
      <c r="C134" s="4" t="s">
        <v>233</v>
      </c>
      <c r="D134" s="5">
        <v>31.6</v>
      </c>
      <c r="E134" s="4" t="s">
        <v>264</v>
      </c>
      <c r="F134" s="37" t="str">
        <f>VLOOKUP(A134, 'Snipe Hunt Time'!C$2:F$200, 4, FALSE)</f>
        <v>qasim.altaf@6dg.co.uk</v>
      </c>
    </row>
    <row r="135" spans="1:7" x14ac:dyDescent="0.2">
      <c r="A135" s="3">
        <v>8750</v>
      </c>
      <c r="B135" s="4" t="s">
        <v>249</v>
      </c>
      <c r="C135" s="4" t="s">
        <v>209</v>
      </c>
      <c r="D135" s="5">
        <v>31.2</v>
      </c>
      <c r="E135" s="4" t="s">
        <v>265</v>
      </c>
      <c r="F135" t="str">
        <f>VLOOKUP(A135, 'Snipe Hunt Time'!C$2:F$200, 4, FALSE)</f>
        <v>kritika.iyer30@gmail.com</v>
      </c>
      <c r="G135" t="str">
        <f>IF(ISNUMBER(FIND("dominos", F135)), "dominos", "-")</f>
        <v>-</v>
      </c>
    </row>
    <row r="136" spans="1:7" x14ac:dyDescent="0.2">
      <c r="A136" s="3">
        <v>9058</v>
      </c>
      <c r="B136" s="4" t="s">
        <v>212</v>
      </c>
      <c r="C136" s="4" t="s">
        <v>241</v>
      </c>
      <c r="D136" s="5">
        <v>30.8</v>
      </c>
      <c r="E136" s="4" t="s">
        <v>266</v>
      </c>
      <c r="F136" t="str">
        <f>VLOOKUP(A136, 'Snipe Hunt Time'!C$2:F$200, 4, FALSE)</f>
        <v>swetha.nayudu@dominos.co.uk</v>
      </c>
      <c r="G136" t="str">
        <f>IF(ISNUMBER(FIND("dominos", F136)), "dominos", "-")</f>
        <v>dominos</v>
      </c>
    </row>
    <row r="137" spans="1:7" x14ac:dyDescent="0.2">
      <c r="A137" s="3">
        <v>9202</v>
      </c>
      <c r="B137" s="4" t="s">
        <v>212</v>
      </c>
      <c r="C137" s="4" t="s">
        <v>241</v>
      </c>
      <c r="D137" s="5">
        <v>30.8</v>
      </c>
      <c r="E137" s="4" t="s">
        <v>267</v>
      </c>
      <c r="F137" t="str">
        <f>VLOOKUP(A137, 'Snipe Hunt Time'!C$2:F$200, 4, FALSE)</f>
        <v>umar.farooque@6dg.co.uk</v>
      </c>
      <c r="G137" t="str">
        <f>IF(ISNUMBER(FIND("dominos", F137)), "dominos", "-")</f>
        <v>-</v>
      </c>
    </row>
    <row r="138" spans="1:7" x14ac:dyDescent="0.2">
      <c r="A138" s="3">
        <v>9298</v>
      </c>
      <c r="B138" s="4" t="s">
        <v>249</v>
      </c>
      <c r="C138" s="4" t="s">
        <v>195</v>
      </c>
      <c r="D138" s="5">
        <v>30.4</v>
      </c>
      <c r="E138" s="4" t="s">
        <v>268</v>
      </c>
      <c r="F138" t="str">
        <f>VLOOKUP(A138, 'Snipe Hunt Time'!C$2:F$200, 4, FALSE)</f>
        <v>matt.warwick@6dg.co.uk</v>
      </c>
      <c r="G138" t="str">
        <f>IF(ISNUMBER(FIND("dominos", F138)), "dominos", "-")</f>
        <v>-</v>
      </c>
    </row>
    <row r="139" spans="1:7" x14ac:dyDescent="0.2">
      <c r="A139" s="3">
        <v>9536</v>
      </c>
      <c r="B139" s="4" t="s">
        <v>249</v>
      </c>
      <c r="C139" s="4" t="s">
        <v>195</v>
      </c>
      <c r="D139" s="5">
        <v>30.4</v>
      </c>
      <c r="E139" s="4" t="s">
        <v>269</v>
      </c>
      <c r="F139" s="37" t="str">
        <f>VLOOKUP(A139, 'Snipe Hunt Time'!C$2:F$200, 4, FALSE)</f>
        <v>graham.desouza@exclaimer.com</v>
      </c>
    </row>
    <row r="140" spans="1:7" x14ac:dyDescent="0.2">
      <c r="A140" s="3">
        <v>9048</v>
      </c>
      <c r="B140" s="4" t="s">
        <v>249</v>
      </c>
      <c r="C140" s="4" t="s">
        <v>216</v>
      </c>
      <c r="D140" s="5">
        <v>29.5</v>
      </c>
      <c r="E140" s="4" t="s">
        <v>270</v>
      </c>
      <c r="F140" t="str">
        <f>VLOOKUP(A140, 'Snipe Hunt Time'!C$2:F$200, 4, FALSE)</f>
        <v>aamir.kapasi@albelli.com</v>
      </c>
      <c r="G140" t="str">
        <f>IF(ISNUMBER(FIND("dominos", F140)), "dominos", "-")</f>
        <v>-</v>
      </c>
    </row>
    <row r="141" spans="1:7" x14ac:dyDescent="0.2">
      <c r="A141" s="3">
        <v>8997</v>
      </c>
      <c r="B141" s="4" t="s">
        <v>249</v>
      </c>
      <c r="C141" s="4" t="s">
        <v>216</v>
      </c>
      <c r="D141" s="5">
        <v>29.5</v>
      </c>
      <c r="E141" s="4" t="s">
        <v>271</v>
      </c>
      <c r="F141" t="str">
        <f>VLOOKUP(A141, 'Snipe Hunt Time'!C$2:F$200, 4, FALSE)</f>
        <v>fraser.gillies@thetrainline.com</v>
      </c>
      <c r="G141" t="str">
        <f>IF(ISNUMBER(FIND("dominos", F141)), "dominos", "-")</f>
        <v>-</v>
      </c>
    </row>
    <row r="142" spans="1:7" x14ac:dyDescent="0.2">
      <c r="A142" s="3">
        <v>9519</v>
      </c>
      <c r="B142" s="4" t="s">
        <v>249</v>
      </c>
      <c r="C142" s="4" t="s">
        <v>216</v>
      </c>
      <c r="D142" s="5">
        <v>29.5</v>
      </c>
      <c r="E142" s="4" t="s">
        <v>272</v>
      </c>
      <c r="F142" s="37" t="str">
        <f>VLOOKUP(A142, 'Snipe Hunt Time'!C$2:F$200, 4, FALSE)</f>
        <v>avinash.krishnankv@ig.com</v>
      </c>
    </row>
    <row r="143" spans="1:7" x14ac:dyDescent="0.2">
      <c r="A143" s="39">
        <v>9538</v>
      </c>
      <c r="B143" s="40" t="s">
        <v>212</v>
      </c>
      <c r="C143" s="40" t="s">
        <v>273</v>
      </c>
      <c r="D143" s="41">
        <v>29.1</v>
      </c>
      <c r="E143" s="40" t="s">
        <v>274</v>
      </c>
      <c r="F143" s="37" t="e">
        <f>VLOOKUP(A143, 'Snipe Hunt Time'!C$2:F$200, 4, FALSE)</f>
        <v>#N/A</v>
      </c>
    </row>
    <row r="144" spans="1:7" x14ac:dyDescent="0.2">
      <c r="A144" s="3">
        <v>9221</v>
      </c>
      <c r="B144" s="4" t="s">
        <v>249</v>
      </c>
      <c r="C144" s="4" t="s">
        <v>212</v>
      </c>
      <c r="D144" s="5">
        <v>28.7</v>
      </c>
      <c r="E144" s="4" t="s">
        <v>275</v>
      </c>
      <c r="F144" t="str">
        <f>VLOOKUP(A144, 'Snipe Hunt Time'!C$2:F$200, 4, FALSE)</f>
        <v>venkat.raopotala@thetrainline.com</v>
      </c>
      <c r="G144" t="str">
        <f>IF(ISNUMBER(FIND("dominos", F144)), "dominos", "-")</f>
        <v>-</v>
      </c>
    </row>
    <row r="145" spans="1:7" x14ac:dyDescent="0.2">
      <c r="A145" s="3">
        <v>9380</v>
      </c>
      <c r="B145" s="4" t="s">
        <v>249</v>
      </c>
      <c r="C145" s="4" t="s">
        <v>212</v>
      </c>
      <c r="D145" s="5">
        <v>28.7</v>
      </c>
      <c r="E145" s="4" t="s">
        <v>276</v>
      </c>
      <c r="F145" t="str">
        <f>VLOOKUP(A145, 'Snipe Hunt Time'!C$2:F$200, 4, FALSE)</f>
        <v>vaishnavi.b@dominos.co.uk</v>
      </c>
      <c r="G145" t="str">
        <f>IF(ISNUMBER(FIND("dominos", F145)), "dominos", "-")</f>
        <v>dominos</v>
      </c>
    </row>
    <row r="146" spans="1:7" x14ac:dyDescent="0.2">
      <c r="A146" s="3">
        <v>9150</v>
      </c>
      <c r="B146" s="4" t="s">
        <v>249</v>
      </c>
      <c r="C146" s="4" t="s">
        <v>225</v>
      </c>
      <c r="D146" s="5">
        <v>27.9</v>
      </c>
      <c r="E146" s="4" t="s">
        <v>277</v>
      </c>
      <c r="F146" t="str">
        <f>VLOOKUP(A146, 'Snipe Hunt Time'!C$2:F$200, 4, FALSE)</f>
        <v>vallabh.vyas@dominos.co.uk</v>
      </c>
      <c r="G146" t="str">
        <f>IF(ISNUMBER(FIND("dominos", F146)), "dominos", "-")</f>
        <v>dominos</v>
      </c>
    </row>
    <row r="147" spans="1:7" x14ac:dyDescent="0.2">
      <c r="A147" s="3">
        <v>9324</v>
      </c>
      <c r="B147" s="4" t="s">
        <v>249</v>
      </c>
      <c r="C147" s="4" t="s">
        <v>233</v>
      </c>
      <c r="D147" s="5">
        <v>27</v>
      </c>
      <c r="E147" s="4" t="s">
        <v>278</v>
      </c>
      <c r="F147" t="str">
        <f>VLOOKUP(A147, 'Snipe Hunt Time'!C$2:F$200, 4, FALSE)</f>
        <v>mohammed.haveliwala@6dg.co.uk</v>
      </c>
      <c r="G147" t="str">
        <f>IF(ISNUMBER(FIND("dominos", F147)), "dominos", "-")</f>
        <v>-</v>
      </c>
    </row>
    <row r="148" spans="1:7" x14ac:dyDescent="0.2">
      <c r="A148" s="3">
        <v>9418</v>
      </c>
      <c r="B148" s="4" t="s">
        <v>249</v>
      </c>
      <c r="C148" s="4" t="s">
        <v>233</v>
      </c>
      <c r="D148" s="5">
        <v>27</v>
      </c>
      <c r="E148" s="4" t="s">
        <v>279</v>
      </c>
      <c r="F148" s="37" t="str">
        <f>VLOOKUP(A148, 'Snipe Hunt Time'!C$2:F$200, 4, FALSE)</f>
        <v>praveen.sadul@dominos.co.uk</v>
      </c>
    </row>
    <row r="149" spans="1:7" x14ac:dyDescent="0.2">
      <c r="A149" s="3">
        <v>9060</v>
      </c>
      <c r="B149" s="4" t="s">
        <v>249</v>
      </c>
      <c r="C149" s="4" t="s">
        <v>241</v>
      </c>
      <c r="D149" s="5">
        <v>26.2</v>
      </c>
      <c r="E149" s="4" t="s">
        <v>280</v>
      </c>
      <c r="F149" t="str">
        <f>VLOOKUP(A149, 'Snipe Hunt Time'!C$2:F$200, 4, FALSE)</f>
        <v>meera.nadigadda@exclaimer.com</v>
      </c>
      <c r="G149" t="str">
        <f t="shared" ref="G149:G156" si="5">IF(ISNUMBER(FIND("dominos", F149)), "dominos", "-")</f>
        <v>-</v>
      </c>
    </row>
    <row r="150" spans="1:7" x14ac:dyDescent="0.2">
      <c r="A150" s="3">
        <v>8817</v>
      </c>
      <c r="B150" s="4" t="s">
        <v>249</v>
      </c>
      <c r="C150" s="4" t="s">
        <v>241</v>
      </c>
      <c r="D150" s="5">
        <v>26.2</v>
      </c>
      <c r="E150" s="4" t="s">
        <v>281</v>
      </c>
      <c r="F150" t="str">
        <f>VLOOKUP(A150, 'Snipe Hunt Time'!C$2:F$200, 4, FALSE)</f>
        <v>vdubey26@gmail.com</v>
      </c>
      <c r="G150" t="str">
        <f t="shared" si="5"/>
        <v>-</v>
      </c>
    </row>
    <row r="151" spans="1:7" x14ac:dyDescent="0.2">
      <c r="A151" s="3">
        <v>9258</v>
      </c>
      <c r="B151" s="4" t="s">
        <v>249</v>
      </c>
      <c r="C151" s="4" t="s">
        <v>241</v>
      </c>
      <c r="D151" s="5">
        <v>26.2</v>
      </c>
      <c r="E151" s="4" t="s">
        <v>282</v>
      </c>
      <c r="F151" t="str">
        <f>VLOOKUP(A151, 'Snipe Hunt Time'!C$2:F$200, 4, FALSE)</f>
        <v>shea_hoey@firstderivative.com</v>
      </c>
      <c r="G151" t="str">
        <f t="shared" si="5"/>
        <v>-</v>
      </c>
    </row>
    <row r="152" spans="1:7" x14ac:dyDescent="0.2">
      <c r="A152" s="3">
        <v>9305</v>
      </c>
      <c r="B152" s="4" t="s">
        <v>249</v>
      </c>
      <c r="C152" s="4" t="s">
        <v>283</v>
      </c>
      <c r="D152" s="5">
        <v>25.4</v>
      </c>
      <c r="E152" s="4" t="s">
        <v>284</v>
      </c>
      <c r="F152" t="str">
        <f>VLOOKUP(A152, 'Snipe Hunt Time'!C$2:F$200, 4, FALSE)</f>
        <v>shea_mcsorley@firstderivative.com</v>
      </c>
      <c r="G152" t="str">
        <f t="shared" si="5"/>
        <v>-</v>
      </c>
    </row>
    <row r="153" spans="1:7" x14ac:dyDescent="0.2">
      <c r="A153" s="3">
        <v>8791</v>
      </c>
      <c r="B153" s="4" t="s">
        <v>241</v>
      </c>
      <c r="C153" s="4" t="s">
        <v>241</v>
      </c>
      <c r="D153" s="5">
        <v>25</v>
      </c>
      <c r="E153" s="4" t="s">
        <v>285</v>
      </c>
      <c r="F153" t="str">
        <f>VLOOKUP(A153, 'Snipe Hunt Time'!C$2:F$200, 4, FALSE)</f>
        <v>jamie.buchanan@thetrainline.com</v>
      </c>
      <c r="G153" t="str">
        <f t="shared" si="5"/>
        <v>-</v>
      </c>
    </row>
    <row r="154" spans="1:7" x14ac:dyDescent="0.2">
      <c r="A154" s="3">
        <v>9032</v>
      </c>
      <c r="B154" s="4" t="s">
        <v>286</v>
      </c>
      <c r="C154" s="4" t="s">
        <v>216</v>
      </c>
      <c r="D154" s="5">
        <v>24.8</v>
      </c>
      <c r="E154" s="4" t="s">
        <v>287</v>
      </c>
      <c r="F154" t="str">
        <f>VLOOKUP(A154, 'Snipe Hunt Time'!C$2:F$200, 4, FALSE)</f>
        <v>armin400@live.com</v>
      </c>
      <c r="G154" t="str">
        <f t="shared" si="5"/>
        <v>-</v>
      </c>
    </row>
    <row r="155" spans="1:7" x14ac:dyDescent="0.2">
      <c r="A155" s="3">
        <v>9311</v>
      </c>
      <c r="B155" s="4" t="s">
        <v>286</v>
      </c>
      <c r="C155" s="4" t="s">
        <v>233</v>
      </c>
      <c r="D155" s="5">
        <v>22.3</v>
      </c>
      <c r="E155" s="4" t="s">
        <v>288</v>
      </c>
      <c r="F155" t="str">
        <f>VLOOKUP(A155, 'Snipe Hunt Time'!C$2:F$200, 4, FALSE)</f>
        <v>swetha.nayudu@dominos.co.uk</v>
      </c>
      <c r="G155" t="str">
        <f t="shared" si="5"/>
        <v>dominos</v>
      </c>
    </row>
    <row r="156" spans="1:7" x14ac:dyDescent="0.2">
      <c r="A156" s="3">
        <v>9162</v>
      </c>
      <c r="B156" s="4" t="s">
        <v>286</v>
      </c>
      <c r="C156" s="4" t="s">
        <v>241</v>
      </c>
      <c r="D156" s="5">
        <v>21.5</v>
      </c>
      <c r="E156" s="4" t="s">
        <v>289</v>
      </c>
      <c r="F156" t="str">
        <f>VLOOKUP(A156, 'Snipe Hunt Time'!C$2:F$200, 4, FALSE)</f>
        <v>arek.jadwiszczak@thomsonreuters.com</v>
      </c>
      <c r="G156" t="str">
        <f t="shared" si="5"/>
        <v>-</v>
      </c>
    </row>
    <row r="157" spans="1:7" x14ac:dyDescent="0.2">
      <c r="A157" s="3">
        <v>9445</v>
      </c>
      <c r="B157" s="4" t="s">
        <v>286</v>
      </c>
      <c r="C157" s="4" t="s">
        <v>290</v>
      </c>
      <c r="D157" s="5">
        <v>19</v>
      </c>
      <c r="E157" s="4" t="s">
        <v>291</v>
      </c>
      <c r="F157" s="37" t="str">
        <f>VLOOKUP(A157, 'Snipe Hunt Time'!C$2:F$200, 4, FALSE)</f>
        <v>suraj.jajoo@ig.com</v>
      </c>
    </row>
    <row r="158" spans="1:7" x14ac:dyDescent="0.2">
      <c r="A158" s="3">
        <v>9520</v>
      </c>
      <c r="B158" s="4" t="s">
        <v>290</v>
      </c>
      <c r="C158" s="4" t="s">
        <v>292</v>
      </c>
      <c r="D158" s="5">
        <v>18.100000000000001</v>
      </c>
      <c r="E158" s="4" t="s">
        <v>293</v>
      </c>
      <c r="F158" s="37" t="str">
        <f>VLOOKUP(A158, 'Snipe Hunt Time'!C$2:F$200, 4, FALSE)</f>
        <v>andrew.carter@withersworldwide.com</v>
      </c>
    </row>
  </sheetData>
  <autoFilter ref="A1:A129" xr:uid="{00000000-0001-0000-0000-000000000000}"/>
  <sortState xmlns:xlrd2="http://schemas.microsoft.com/office/spreadsheetml/2017/richdata2" ref="A2:G158">
    <sortCondition descending="1" ref="D2:D15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51246-53D0-4A23-B81C-CE1DD17B3EE0}">
  <dimension ref="A1:H155"/>
  <sheetViews>
    <sheetView workbookViewId="0">
      <selection activeCell="F27" sqref="F27"/>
    </sheetView>
  </sheetViews>
  <sheetFormatPr baseColWidth="10" defaultColWidth="8.83203125" defaultRowHeight="15" x14ac:dyDescent="0.2"/>
  <cols>
    <col min="1" max="1" width="10.83203125"/>
    <col min="2" max="2" width="24.1640625" customWidth="1"/>
    <col min="3" max="5" width="10.83203125"/>
    <col min="6" max="6" width="24.1640625" customWidth="1"/>
  </cols>
  <sheetData>
    <row r="1" spans="1:8" s="35" customFormat="1" x14ac:dyDescent="0.2">
      <c r="A1" s="35" t="s">
        <v>1</v>
      </c>
      <c r="B1" s="35" t="s">
        <v>2</v>
      </c>
      <c r="C1" s="35" t="s">
        <v>0</v>
      </c>
      <c r="D1" s="35" t="s">
        <v>3</v>
      </c>
      <c r="E1" s="35" t="s">
        <v>4</v>
      </c>
      <c r="F1" s="35" t="s">
        <v>294</v>
      </c>
      <c r="G1" s="35" t="s">
        <v>295</v>
      </c>
      <c r="H1" s="35" t="s">
        <v>296</v>
      </c>
    </row>
    <row r="2" spans="1:8" x14ac:dyDescent="0.2">
      <c r="A2" t="s">
        <v>297</v>
      </c>
      <c r="B2" s="27">
        <v>46178.55741898148</v>
      </c>
      <c r="C2">
        <v>9368</v>
      </c>
      <c r="F2" t="s">
        <v>297</v>
      </c>
      <c r="G2">
        <v>1</v>
      </c>
      <c r="H2">
        <v>1</v>
      </c>
    </row>
    <row r="3" spans="1:8" x14ac:dyDescent="0.2">
      <c r="A3" t="s">
        <v>298</v>
      </c>
      <c r="B3" s="27">
        <v>46168.379502314812</v>
      </c>
      <c r="C3">
        <v>9120</v>
      </c>
      <c r="F3" t="s">
        <v>298</v>
      </c>
      <c r="G3">
        <v>1</v>
      </c>
      <c r="H3">
        <v>1</v>
      </c>
    </row>
    <row r="4" spans="1:8" x14ac:dyDescent="0.2">
      <c r="A4" t="s">
        <v>299</v>
      </c>
      <c r="B4" s="27">
        <v>46184.306469907409</v>
      </c>
      <c r="C4">
        <v>9418</v>
      </c>
      <c r="F4" t="s">
        <v>299</v>
      </c>
      <c r="G4">
        <v>1</v>
      </c>
      <c r="H4">
        <v>1</v>
      </c>
    </row>
    <row r="5" spans="1:8" x14ac:dyDescent="0.2">
      <c r="A5" t="s">
        <v>300</v>
      </c>
      <c r="B5" s="27">
        <v>46185.586875000001</v>
      </c>
      <c r="C5">
        <v>9451</v>
      </c>
      <c r="F5" t="s">
        <v>300</v>
      </c>
      <c r="G5">
        <v>2</v>
      </c>
      <c r="H5">
        <v>1</v>
      </c>
    </row>
    <row r="6" spans="1:8" x14ac:dyDescent="0.2">
      <c r="A6" t="s">
        <v>301</v>
      </c>
      <c r="B6" s="27">
        <v>46182.506550925929</v>
      </c>
      <c r="C6">
        <v>9395</v>
      </c>
      <c r="F6" t="s">
        <v>301</v>
      </c>
      <c r="G6">
        <v>1</v>
      </c>
      <c r="H6">
        <v>1</v>
      </c>
    </row>
    <row r="7" spans="1:8" x14ac:dyDescent="0.2">
      <c r="A7" t="s">
        <v>302</v>
      </c>
      <c r="B7" s="27">
        <v>46174.466423611113</v>
      </c>
      <c r="C7">
        <v>9227</v>
      </c>
      <c r="F7" t="s">
        <v>302</v>
      </c>
      <c r="G7">
        <v>1</v>
      </c>
      <c r="H7">
        <v>1</v>
      </c>
    </row>
    <row r="8" spans="1:8" x14ac:dyDescent="0.2">
      <c r="A8" t="s">
        <v>303</v>
      </c>
      <c r="B8" s="27">
        <v>46176.379803240743</v>
      </c>
      <c r="C8">
        <v>9291</v>
      </c>
      <c r="F8" t="s">
        <v>303</v>
      </c>
      <c r="G8">
        <v>1</v>
      </c>
      <c r="H8">
        <v>1</v>
      </c>
    </row>
    <row r="9" spans="1:8" x14ac:dyDescent="0.2">
      <c r="A9" t="s">
        <v>304</v>
      </c>
      <c r="B9" s="27">
        <v>46182.379502314812</v>
      </c>
      <c r="C9">
        <v>9392</v>
      </c>
      <c r="F9" t="s">
        <v>304</v>
      </c>
      <c r="G9">
        <v>1</v>
      </c>
      <c r="H9">
        <v>1</v>
      </c>
    </row>
    <row r="10" spans="1:8" x14ac:dyDescent="0.2">
      <c r="A10" t="s">
        <v>305</v>
      </c>
      <c r="B10" s="27">
        <v>46182.319467592592</v>
      </c>
      <c r="C10">
        <v>9389</v>
      </c>
      <c r="F10" t="s">
        <v>305</v>
      </c>
      <c r="G10">
        <v>1</v>
      </c>
      <c r="H10">
        <v>1</v>
      </c>
    </row>
    <row r="11" spans="1:8" x14ac:dyDescent="0.2">
      <c r="A11" t="s">
        <v>306</v>
      </c>
      <c r="B11" s="27">
        <v>46176.46261574074</v>
      </c>
      <c r="C11">
        <v>9304</v>
      </c>
      <c r="F11" t="s">
        <v>306</v>
      </c>
      <c r="G11">
        <v>1</v>
      </c>
      <c r="H11">
        <v>1</v>
      </c>
    </row>
    <row r="12" spans="1:8" x14ac:dyDescent="0.2">
      <c r="A12" t="s">
        <v>307</v>
      </c>
      <c r="B12" s="27">
        <v>46176.466111111113</v>
      </c>
      <c r="C12">
        <v>9305</v>
      </c>
      <c r="F12" t="s">
        <v>307</v>
      </c>
      <c r="G12">
        <v>1</v>
      </c>
      <c r="H12">
        <v>1</v>
      </c>
    </row>
    <row r="13" spans="1:8" x14ac:dyDescent="0.2">
      <c r="A13" t="s">
        <v>308</v>
      </c>
      <c r="B13" s="27">
        <v>46162.378738425927</v>
      </c>
      <c r="C13">
        <v>9048</v>
      </c>
      <c r="F13" t="s">
        <v>308</v>
      </c>
      <c r="G13">
        <v>1</v>
      </c>
      <c r="H13">
        <v>1</v>
      </c>
    </row>
    <row r="14" spans="1:8" x14ac:dyDescent="0.2">
      <c r="A14" t="s">
        <v>309</v>
      </c>
      <c r="B14" s="27">
        <v>46162.548900462964</v>
      </c>
      <c r="C14">
        <v>9058</v>
      </c>
      <c r="F14" t="s">
        <v>309</v>
      </c>
      <c r="G14">
        <v>3</v>
      </c>
      <c r="H14">
        <v>1</v>
      </c>
    </row>
    <row r="15" spans="1:8" x14ac:dyDescent="0.2">
      <c r="A15" t="s">
        <v>309</v>
      </c>
      <c r="B15" s="27">
        <v>46176.530312499999</v>
      </c>
      <c r="C15">
        <v>9311</v>
      </c>
      <c r="F15" t="s">
        <v>309</v>
      </c>
      <c r="G15">
        <v>3</v>
      </c>
      <c r="H15">
        <v>2</v>
      </c>
    </row>
    <row r="16" spans="1:8" x14ac:dyDescent="0.2">
      <c r="A16" t="s">
        <v>310</v>
      </c>
      <c r="B16" s="27">
        <v>46162.549351851849</v>
      </c>
      <c r="C16">
        <v>9059</v>
      </c>
      <c r="F16" t="s">
        <v>310</v>
      </c>
      <c r="G16">
        <v>1</v>
      </c>
      <c r="H16">
        <v>1</v>
      </c>
    </row>
    <row r="17" spans="1:8" x14ac:dyDescent="0.2">
      <c r="A17" t="s">
        <v>311</v>
      </c>
      <c r="B17" s="27">
        <v>46171.471608796295</v>
      </c>
      <c r="C17">
        <v>9202</v>
      </c>
      <c r="F17" t="s">
        <v>311</v>
      </c>
      <c r="G17">
        <v>1</v>
      </c>
      <c r="H17">
        <v>1</v>
      </c>
    </row>
    <row r="18" spans="1:8" x14ac:dyDescent="0.2">
      <c r="A18" t="s">
        <v>312</v>
      </c>
      <c r="B18" s="27">
        <v>46181.473541666666</v>
      </c>
      <c r="C18">
        <v>9380</v>
      </c>
      <c r="F18" t="s">
        <v>312</v>
      </c>
      <c r="G18">
        <v>1</v>
      </c>
      <c r="H18">
        <v>1</v>
      </c>
    </row>
    <row r="19" spans="1:8" x14ac:dyDescent="0.2">
      <c r="A19" t="s">
        <v>313</v>
      </c>
      <c r="B19" s="27">
        <v>46163.424791666665</v>
      </c>
      <c r="C19">
        <v>9077</v>
      </c>
      <c r="F19" t="s">
        <v>313</v>
      </c>
      <c r="G19">
        <v>1</v>
      </c>
      <c r="H19">
        <v>1</v>
      </c>
    </row>
    <row r="20" spans="1:8" x14ac:dyDescent="0.2">
      <c r="A20" t="s">
        <v>314</v>
      </c>
      <c r="B20" s="27">
        <v>46156.635381944441</v>
      </c>
      <c r="C20">
        <v>8923</v>
      </c>
      <c r="F20" t="s">
        <v>314</v>
      </c>
      <c r="G20">
        <v>1</v>
      </c>
      <c r="H20">
        <v>1</v>
      </c>
    </row>
    <row r="21" spans="1:8" x14ac:dyDescent="0.2">
      <c r="A21" t="s">
        <v>315</v>
      </c>
      <c r="B21" s="27">
        <v>46163.587071759262</v>
      </c>
      <c r="C21">
        <v>9087</v>
      </c>
      <c r="F21" t="s">
        <v>315</v>
      </c>
      <c r="G21">
        <v>1</v>
      </c>
      <c r="H21">
        <v>1</v>
      </c>
    </row>
    <row r="22" spans="1:8" x14ac:dyDescent="0.2">
      <c r="A22" t="s">
        <v>316</v>
      </c>
      <c r="B22" s="27">
        <v>46164.463078703702</v>
      </c>
      <c r="C22">
        <v>9101</v>
      </c>
      <c r="F22" t="s">
        <v>316</v>
      </c>
      <c r="G22">
        <v>1</v>
      </c>
      <c r="H22">
        <v>1</v>
      </c>
    </row>
    <row r="23" spans="1:8" x14ac:dyDescent="0.2">
      <c r="A23" t="s">
        <v>317</v>
      </c>
      <c r="B23" s="27">
        <v>46175.627013888887</v>
      </c>
      <c r="C23">
        <v>9278</v>
      </c>
      <c r="F23" t="s">
        <v>317</v>
      </c>
      <c r="G23">
        <v>1</v>
      </c>
      <c r="H23">
        <v>1</v>
      </c>
    </row>
    <row r="24" spans="1:8" x14ac:dyDescent="0.2">
      <c r="A24" t="s">
        <v>318</v>
      </c>
      <c r="B24" s="27">
        <v>46182.554120370369</v>
      </c>
      <c r="C24">
        <v>9397</v>
      </c>
      <c r="F24" t="s">
        <v>318</v>
      </c>
      <c r="G24">
        <v>1</v>
      </c>
      <c r="H24">
        <v>1</v>
      </c>
    </row>
    <row r="25" spans="1:8" x14ac:dyDescent="0.2">
      <c r="A25" t="s">
        <v>319</v>
      </c>
      <c r="B25" s="27">
        <v>46168.460868055554</v>
      </c>
      <c r="C25">
        <v>9130</v>
      </c>
      <c r="F25" t="s">
        <v>319</v>
      </c>
      <c r="G25">
        <v>1</v>
      </c>
      <c r="H25">
        <v>1</v>
      </c>
    </row>
    <row r="26" spans="1:8" x14ac:dyDescent="0.2">
      <c r="A26" t="s">
        <v>320</v>
      </c>
      <c r="B26" s="27">
        <v>46170.586226851854</v>
      </c>
      <c r="C26">
        <v>9188</v>
      </c>
      <c r="F26" t="s">
        <v>320</v>
      </c>
      <c r="G26">
        <v>1</v>
      </c>
      <c r="H26">
        <v>1</v>
      </c>
    </row>
    <row r="27" spans="1:8" x14ac:dyDescent="0.2">
      <c r="A27" t="s">
        <v>321</v>
      </c>
      <c r="B27" s="27">
        <v>46191.530312499999</v>
      </c>
      <c r="C27">
        <v>9520</v>
      </c>
      <c r="F27" t="s">
        <v>321</v>
      </c>
      <c r="G27">
        <v>1</v>
      </c>
      <c r="H27">
        <v>1</v>
      </c>
    </row>
    <row r="28" spans="1:8" x14ac:dyDescent="0.2">
      <c r="A28" t="s">
        <v>322</v>
      </c>
      <c r="B28" s="27">
        <v>46162.632754629631</v>
      </c>
      <c r="C28">
        <v>9063</v>
      </c>
      <c r="F28" t="s">
        <v>322</v>
      </c>
      <c r="G28">
        <v>1</v>
      </c>
      <c r="H28">
        <v>1</v>
      </c>
    </row>
    <row r="29" spans="1:8" x14ac:dyDescent="0.2">
      <c r="A29" t="s">
        <v>323</v>
      </c>
      <c r="B29" s="27">
        <v>46149.629513888889</v>
      </c>
      <c r="C29">
        <v>8771</v>
      </c>
      <c r="F29" t="s">
        <v>323</v>
      </c>
      <c r="G29">
        <v>1</v>
      </c>
      <c r="H29">
        <v>1</v>
      </c>
    </row>
    <row r="30" spans="1:8" x14ac:dyDescent="0.2">
      <c r="A30" t="s">
        <v>324</v>
      </c>
      <c r="B30" s="27">
        <v>46192.420555555553</v>
      </c>
      <c r="C30">
        <v>9536</v>
      </c>
      <c r="F30" t="s">
        <v>324</v>
      </c>
      <c r="G30">
        <v>1</v>
      </c>
      <c r="H30">
        <v>1</v>
      </c>
    </row>
    <row r="31" spans="1:8" x14ac:dyDescent="0.2">
      <c r="A31" t="s">
        <v>325</v>
      </c>
      <c r="B31" s="27">
        <v>46190.768136574072</v>
      </c>
      <c r="C31">
        <v>9509</v>
      </c>
      <c r="F31" t="s">
        <v>325</v>
      </c>
      <c r="G31">
        <v>1</v>
      </c>
      <c r="H31">
        <v>1</v>
      </c>
    </row>
    <row r="32" spans="1:8" x14ac:dyDescent="0.2">
      <c r="A32" t="s">
        <v>326</v>
      </c>
      <c r="B32" s="27">
        <v>46185.63385416667</v>
      </c>
      <c r="C32">
        <v>9458</v>
      </c>
      <c r="F32" t="s">
        <v>326</v>
      </c>
      <c r="G32">
        <v>1</v>
      </c>
      <c r="H32">
        <v>1</v>
      </c>
    </row>
    <row r="33" spans="1:8" x14ac:dyDescent="0.2">
      <c r="A33" t="s">
        <v>327</v>
      </c>
      <c r="B33" s="27">
        <v>46177.544189814813</v>
      </c>
      <c r="C33">
        <v>9351</v>
      </c>
      <c r="F33" t="s">
        <v>327</v>
      </c>
      <c r="G33">
        <v>1</v>
      </c>
      <c r="H33">
        <v>1</v>
      </c>
    </row>
    <row r="34" spans="1:8" x14ac:dyDescent="0.2">
      <c r="A34" t="s">
        <v>328</v>
      </c>
      <c r="B34" s="27">
        <v>46181.423333333332</v>
      </c>
      <c r="C34">
        <v>9378</v>
      </c>
      <c r="F34" t="s">
        <v>328</v>
      </c>
      <c r="G34">
        <v>1</v>
      </c>
      <c r="H34">
        <v>1</v>
      </c>
    </row>
    <row r="35" spans="1:8" x14ac:dyDescent="0.2">
      <c r="A35" t="s">
        <v>329</v>
      </c>
      <c r="B35" s="27">
        <v>46150.633796296293</v>
      </c>
      <c r="C35">
        <v>8791</v>
      </c>
      <c r="F35" t="s">
        <v>329</v>
      </c>
      <c r="G35">
        <v>1</v>
      </c>
      <c r="H35">
        <v>1</v>
      </c>
    </row>
    <row r="36" spans="1:8" x14ac:dyDescent="0.2">
      <c r="A36" t="s">
        <v>330</v>
      </c>
      <c r="B36" s="27">
        <v>46160.640532407408</v>
      </c>
      <c r="C36">
        <v>8998</v>
      </c>
      <c r="F36" t="s">
        <v>330</v>
      </c>
      <c r="G36">
        <v>1</v>
      </c>
      <c r="H36">
        <v>1</v>
      </c>
    </row>
    <row r="37" spans="1:8" x14ac:dyDescent="0.2">
      <c r="A37" t="s">
        <v>331</v>
      </c>
      <c r="B37" s="27">
        <v>46176.610763888886</v>
      </c>
      <c r="C37">
        <v>9324</v>
      </c>
      <c r="F37" t="s">
        <v>331</v>
      </c>
      <c r="G37">
        <v>1</v>
      </c>
      <c r="H37">
        <v>1</v>
      </c>
    </row>
    <row r="38" spans="1:8" x14ac:dyDescent="0.2">
      <c r="A38" t="s">
        <v>332</v>
      </c>
      <c r="B38" s="27">
        <v>46189.606828703705</v>
      </c>
      <c r="C38">
        <v>9483</v>
      </c>
      <c r="F38" t="s">
        <v>332</v>
      </c>
      <c r="G38">
        <v>1</v>
      </c>
      <c r="H38">
        <v>1</v>
      </c>
    </row>
    <row r="39" spans="1:8" x14ac:dyDescent="0.2">
      <c r="A39" t="s">
        <v>333</v>
      </c>
      <c r="B39" s="27">
        <v>46190.387465277781</v>
      </c>
      <c r="C39">
        <v>9496</v>
      </c>
      <c r="F39" t="s">
        <v>333</v>
      </c>
      <c r="G39">
        <v>1</v>
      </c>
      <c r="H39">
        <v>1</v>
      </c>
    </row>
    <row r="40" spans="1:8" x14ac:dyDescent="0.2">
      <c r="A40" t="s">
        <v>334</v>
      </c>
      <c r="B40" s="27">
        <v>46192.092511574076</v>
      </c>
      <c r="C40">
        <v>9531</v>
      </c>
      <c r="F40" t="s">
        <v>334</v>
      </c>
      <c r="G40">
        <v>2</v>
      </c>
      <c r="H40">
        <v>1</v>
      </c>
    </row>
    <row r="41" spans="1:8" x14ac:dyDescent="0.2">
      <c r="A41" t="s">
        <v>335</v>
      </c>
      <c r="B41" s="27">
        <v>46162.629641203705</v>
      </c>
      <c r="C41">
        <v>9062</v>
      </c>
      <c r="F41" t="s">
        <v>335</v>
      </c>
      <c r="G41">
        <v>2</v>
      </c>
      <c r="H41">
        <v>1</v>
      </c>
    </row>
    <row r="42" spans="1:8" x14ac:dyDescent="0.2">
      <c r="A42" t="s">
        <v>336</v>
      </c>
      <c r="B42" s="27">
        <v>46162.504675925928</v>
      </c>
      <c r="C42">
        <v>9054</v>
      </c>
      <c r="F42" t="s">
        <v>336</v>
      </c>
      <c r="G42">
        <v>1</v>
      </c>
      <c r="H42">
        <v>1</v>
      </c>
    </row>
    <row r="43" spans="1:8" x14ac:dyDescent="0.2">
      <c r="A43" t="s">
        <v>98</v>
      </c>
      <c r="B43" s="27">
        <v>46180.613379629627</v>
      </c>
      <c r="C43">
        <v>9377</v>
      </c>
      <c r="D43">
        <v>15</v>
      </c>
      <c r="E43" t="s">
        <v>337</v>
      </c>
      <c r="F43" t="s">
        <v>98</v>
      </c>
      <c r="G43">
        <v>3</v>
      </c>
      <c r="H43">
        <v>3</v>
      </c>
    </row>
    <row r="44" spans="1:8" x14ac:dyDescent="0.2">
      <c r="A44" t="s">
        <v>338</v>
      </c>
      <c r="B44" s="27">
        <v>46186.660231481481</v>
      </c>
      <c r="C44">
        <v>9465</v>
      </c>
      <c r="D44">
        <v>17</v>
      </c>
      <c r="E44" t="s">
        <v>339</v>
      </c>
      <c r="F44" t="s">
        <v>338</v>
      </c>
      <c r="G44">
        <v>2</v>
      </c>
      <c r="H44">
        <v>2</v>
      </c>
    </row>
    <row r="45" spans="1:8" x14ac:dyDescent="0.2">
      <c r="A45" t="s">
        <v>50</v>
      </c>
      <c r="B45" s="27">
        <v>46162.547685185185</v>
      </c>
      <c r="C45">
        <v>9057</v>
      </c>
      <c r="D45">
        <v>20</v>
      </c>
      <c r="E45" t="s">
        <v>51</v>
      </c>
      <c r="F45" t="s">
        <v>50</v>
      </c>
      <c r="G45">
        <v>1</v>
      </c>
      <c r="H45">
        <v>1</v>
      </c>
    </row>
    <row r="46" spans="1:8" x14ac:dyDescent="0.2">
      <c r="A46" t="s">
        <v>340</v>
      </c>
      <c r="B46" s="27">
        <v>46170.544583333336</v>
      </c>
      <c r="C46">
        <v>9185</v>
      </c>
      <c r="D46">
        <v>20</v>
      </c>
      <c r="E46" t="s">
        <v>341</v>
      </c>
      <c r="F46" t="s">
        <v>340</v>
      </c>
      <c r="G46">
        <v>1</v>
      </c>
      <c r="H46">
        <v>1</v>
      </c>
    </row>
    <row r="47" spans="1:8" x14ac:dyDescent="0.2">
      <c r="A47" t="s">
        <v>309</v>
      </c>
      <c r="B47" s="27">
        <v>46176.56653935185</v>
      </c>
      <c r="C47">
        <v>9317</v>
      </c>
      <c r="D47">
        <v>20</v>
      </c>
      <c r="E47" t="s">
        <v>342</v>
      </c>
      <c r="F47" t="s">
        <v>309</v>
      </c>
      <c r="G47">
        <v>3</v>
      </c>
      <c r="H47">
        <v>3</v>
      </c>
    </row>
    <row r="48" spans="1:8" x14ac:dyDescent="0.2">
      <c r="A48" t="s">
        <v>343</v>
      </c>
      <c r="B48" s="27">
        <v>46178.402928240743</v>
      </c>
      <c r="C48">
        <v>9361</v>
      </c>
      <c r="D48">
        <v>21</v>
      </c>
      <c r="E48" t="s">
        <v>344</v>
      </c>
      <c r="F48" t="s">
        <v>343</v>
      </c>
      <c r="G48">
        <v>1</v>
      </c>
      <c r="H48">
        <v>1</v>
      </c>
    </row>
    <row r="49" spans="1:8" x14ac:dyDescent="0.2">
      <c r="A49" t="s">
        <v>338</v>
      </c>
      <c r="B49" s="27">
        <v>46184.592418981483</v>
      </c>
      <c r="C49">
        <v>9430</v>
      </c>
      <c r="D49">
        <v>21</v>
      </c>
      <c r="E49" t="s">
        <v>345</v>
      </c>
      <c r="F49" t="s">
        <v>338</v>
      </c>
      <c r="G49">
        <v>2</v>
      </c>
      <c r="H49">
        <v>1</v>
      </c>
    </row>
    <row r="50" spans="1:8" x14ac:dyDescent="0.2">
      <c r="A50" t="s">
        <v>98</v>
      </c>
      <c r="B50" s="27">
        <v>46180.594282407408</v>
      </c>
      <c r="C50">
        <v>9376</v>
      </c>
      <c r="D50">
        <v>22</v>
      </c>
      <c r="E50" t="s">
        <v>346</v>
      </c>
      <c r="F50" t="s">
        <v>98</v>
      </c>
      <c r="G50">
        <v>3</v>
      </c>
      <c r="H50">
        <v>2</v>
      </c>
    </row>
    <row r="51" spans="1:8" x14ac:dyDescent="0.2">
      <c r="A51" t="s">
        <v>96</v>
      </c>
      <c r="B51" s="27">
        <v>46170.384606481479</v>
      </c>
      <c r="C51">
        <v>9173</v>
      </c>
      <c r="D51">
        <v>22</v>
      </c>
      <c r="E51" t="s">
        <v>97</v>
      </c>
      <c r="F51" t="s">
        <v>96</v>
      </c>
      <c r="G51">
        <v>1</v>
      </c>
      <c r="H51">
        <v>1</v>
      </c>
    </row>
    <row r="52" spans="1:8" x14ac:dyDescent="0.2">
      <c r="A52" t="s">
        <v>36</v>
      </c>
      <c r="B52" s="27">
        <v>46162.282094907408</v>
      </c>
      <c r="C52">
        <v>9044</v>
      </c>
      <c r="D52">
        <v>22</v>
      </c>
      <c r="E52" t="s">
        <v>37</v>
      </c>
      <c r="F52" t="s">
        <v>36</v>
      </c>
      <c r="G52">
        <v>1</v>
      </c>
      <c r="H52">
        <v>1</v>
      </c>
    </row>
    <row r="53" spans="1:8" x14ac:dyDescent="0.2">
      <c r="A53" t="s">
        <v>20</v>
      </c>
      <c r="B53" s="27">
        <v>46160.548657407409</v>
      </c>
      <c r="C53">
        <v>8986</v>
      </c>
      <c r="D53">
        <v>23</v>
      </c>
      <c r="E53" t="s">
        <v>21</v>
      </c>
      <c r="F53" t="s">
        <v>20</v>
      </c>
      <c r="G53">
        <v>1</v>
      </c>
      <c r="H53">
        <v>1</v>
      </c>
    </row>
    <row r="54" spans="1:8" x14ac:dyDescent="0.2">
      <c r="A54" t="s">
        <v>70</v>
      </c>
      <c r="B54" s="27">
        <v>46164.545266203706</v>
      </c>
      <c r="C54">
        <v>9107</v>
      </c>
      <c r="D54">
        <v>23</v>
      </c>
      <c r="E54" t="s">
        <v>71</v>
      </c>
      <c r="F54" t="s">
        <v>70</v>
      </c>
      <c r="G54">
        <v>1</v>
      </c>
      <c r="H54">
        <v>1</v>
      </c>
    </row>
    <row r="55" spans="1:8" x14ac:dyDescent="0.2">
      <c r="A55" t="s">
        <v>347</v>
      </c>
      <c r="B55" s="27">
        <v>46175.630868055552</v>
      </c>
      <c r="C55">
        <v>9280</v>
      </c>
      <c r="D55">
        <v>23</v>
      </c>
      <c r="E55" t="s">
        <v>348</v>
      </c>
      <c r="F55" t="s">
        <v>347</v>
      </c>
      <c r="G55">
        <v>1</v>
      </c>
      <c r="H55">
        <v>1</v>
      </c>
    </row>
    <row r="56" spans="1:8" x14ac:dyDescent="0.2">
      <c r="A56" t="s">
        <v>349</v>
      </c>
      <c r="B56" s="27">
        <v>46175.456701388888</v>
      </c>
      <c r="C56">
        <v>9258</v>
      </c>
      <c r="D56">
        <v>23</v>
      </c>
      <c r="E56" t="s">
        <v>350</v>
      </c>
      <c r="F56" t="s">
        <v>349</v>
      </c>
      <c r="G56">
        <v>1</v>
      </c>
      <c r="H56">
        <v>1</v>
      </c>
    </row>
    <row r="57" spans="1:8" x14ac:dyDescent="0.2">
      <c r="A57" t="s">
        <v>351</v>
      </c>
      <c r="B57" s="27">
        <v>46181.586967592593</v>
      </c>
      <c r="C57">
        <v>9386</v>
      </c>
      <c r="D57">
        <v>23</v>
      </c>
      <c r="E57" t="s">
        <v>352</v>
      </c>
      <c r="F57" t="s">
        <v>351</v>
      </c>
      <c r="G57">
        <v>1</v>
      </c>
      <c r="H57">
        <v>1</v>
      </c>
    </row>
    <row r="58" spans="1:8" x14ac:dyDescent="0.2">
      <c r="A58" t="s">
        <v>28</v>
      </c>
      <c r="B58" s="27">
        <v>46161.462835648148</v>
      </c>
      <c r="C58">
        <v>9025</v>
      </c>
      <c r="D58">
        <v>24</v>
      </c>
      <c r="E58" t="s">
        <v>29</v>
      </c>
      <c r="F58" t="s">
        <v>28</v>
      </c>
      <c r="G58">
        <v>1</v>
      </c>
      <c r="H58">
        <v>1</v>
      </c>
    </row>
    <row r="59" spans="1:8" x14ac:dyDescent="0.2">
      <c r="A59" t="s">
        <v>300</v>
      </c>
      <c r="B59" s="27">
        <v>46185.643553240741</v>
      </c>
      <c r="C59">
        <v>9456</v>
      </c>
      <c r="D59">
        <v>24</v>
      </c>
      <c r="E59" t="s">
        <v>353</v>
      </c>
      <c r="F59" t="s">
        <v>300</v>
      </c>
      <c r="G59">
        <v>2</v>
      </c>
      <c r="H59">
        <v>2</v>
      </c>
    </row>
    <row r="60" spans="1:8" x14ac:dyDescent="0.2">
      <c r="A60" t="s">
        <v>354</v>
      </c>
      <c r="B60" s="27">
        <v>46178.630011574074</v>
      </c>
      <c r="C60">
        <v>9371</v>
      </c>
      <c r="D60">
        <v>24</v>
      </c>
      <c r="E60" t="s">
        <v>355</v>
      </c>
      <c r="F60" t="s">
        <v>354</v>
      </c>
      <c r="G60">
        <v>1</v>
      </c>
      <c r="H60">
        <v>1</v>
      </c>
    </row>
    <row r="61" spans="1:8" x14ac:dyDescent="0.2">
      <c r="A61" t="s">
        <v>90</v>
      </c>
      <c r="B61" s="27">
        <v>46169.463946759257</v>
      </c>
      <c r="C61">
        <v>9155</v>
      </c>
      <c r="D61">
        <v>24</v>
      </c>
      <c r="E61" t="s">
        <v>91</v>
      </c>
      <c r="F61" t="s">
        <v>90</v>
      </c>
      <c r="G61">
        <v>1</v>
      </c>
      <c r="H61">
        <v>1</v>
      </c>
    </row>
    <row r="62" spans="1:8" x14ac:dyDescent="0.2">
      <c r="A62" t="s">
        <v>356</v>
      </c>
      <c r="B62" s="27">
        <v>46175.506284722222</v>
      </c>
      <c r="C62">
        <v>9267</v>
      </c>
      <c r="D62">
        <v>24</v>
      </c>
      <c r="E62" t="s">
        <v>357</v>
      </c>
      <c r="F62" t="s">
        <v>356</v>
      </c>
      <c r="G62">
        <v>1</v>
      </c>
      <c r="H62">
        <v>1</v>
      </c>
    </row>
    <row r="63" spans="1:8" x14ac:dyDescent="0.2">
      <c r="A63" t="s">
        <v>98</v>
      </c>
      <c r="B63" s="27">
        <v>46170.420185185183</v>
      </c>
      <c r="C63">
        <v>9175</v>
      </c>
      <c r="D63">
        <v>24</v>
      </c>
      <c r="E63" t="s">
        <v>99</v>
      </c>
      <c r="F63" t="s">
        <v>98</v>
      </c>
      <c r="G63">
        <v>3</v>
      </c>
      <c r="H63">
        <v>1</v>
      </c>
    </row>
    <row r="64" spans="1:8" x14ac:dyDescent="0.2">
      <c r="A64" t="s">
        <v>358</v>
      </c>
      <c r="B64" s="27">
        <v>46177.634942129633</v>
      </c>
      <c r="C64">
        <v>9355</v>
      </c>
      <c r="D64">
        <v>24</v>
      </c>
      <c r="E64" t="s">
        <v>359</v>
      </c>
      <c r="F64" t="s">
        <v>358</v>
      </c>
      <c r="G64">
        <v>1</v>
      </c>
      <c r="H64">
        <v>1</v>
      </c>
    </row>
    <row r="65" spans="1:8" x14ac:dyDescent="0.2">
      <c r="A65" t="s">
        <v>360</v>
      </c>
      <c r="B65" s="27">
        <v>46190.587638888886</v>
      </c>
      <c r="C65">
        <v>9502</v>
      </c>
      <c r="D65">
        <v>25</v>
      </c>
      <c r="E65" t="s">
        <v>361</v>
      </c>
      <c r="F65" t="s">
        <v>360</v>
      </c>
      <c r="G65">
        <v>1</v>
      </c>
      <c r="H65">
        <v>1</v>
      </c>
    </row>
    <row r="66" spans="1:8" x14ac:dyDescent="0.2">
      <c r="A66" t="s">
        <v>362</v>
      </c>
      <c r="B66" s="27">
        <v>46185.633298611108</v>
      </c>
      <c r="C66">
        <v>9457</v>
      </c>
      <c r="D66">
        <v>25</v>
      </c>
      <c r="E66" t="s">
        <v>363</v>
      </c>
      <c r="F66" t="s">
        <v>362</v>
      </c>
      <c r="G66">
        <v>1</v>
      </c>
      <c r="H66">
        <v>1</v>
      </c>
    </row>
    <row r="67" spans="1:8" x14ac:dyDescent="0.2">
      <c r="A67" t="s">
        <v>100</v>
      </c>
      <c r="B67" s="27">
        <v>46170.420312499999</v>
      </c>
      <c r="C67">
        <v>9176</v>
      </c>
      <c r="D67">
        <v>25</v>
      </c>
      <c r="E67" t="s">
        <v>101</v>
      </c>
      <c r="F67" t="s">
        <v>100</v>
      </c>
      <c r="G67">
        <v>1</v>
      </c>
      <c r="H67">
        <v>1</v>
      </c>
    </row>
    <row r="68" spans="1:8" x14ac:dyDescent="0.2">
      <c r="A68" t="s">
        <v>364</v>
      </c>
      <c r="B68" s="27">
        <v>46188.627766203703</v>
      </c>
      <c r="C68">
        <v>9475</v>
      </c>
      <c r="D68">
        <v>25</v>
      </c>
      <c r="E68" t="s">
        <v>365</v>
      </c>
      <c r="F68" t="s">
        <v>364</v>
      </c>
      <c r="G68">
        <v>1</v>
      </c>
      <c r="H68">
        <v>1</v>
      </c>
    </row>
    <row r="69" spans="1:8" x14ac:dyDescent="0.2">
      <c r="A69" t="s">
        <v>18</v>
      </c>
      <c r="B69" s="27">
        <v>46160.423645833333</v>
      </c>
      <c r="C69">
        <v>8974</v>
      </c>
      <c r="D69">
        <v>25</v>
      </c>
      <c r="E69" t="s">
        <v>19</v>
      </c>
      <c r="F69" t="s">
        <v>18</v>
      </c>
      <c r="G69">
        <v>1</v>
      </c>
      <c r="H69">
        <v>1</v>
      </c>
    </row>
    <row r="70" spans="1:8" x14ac:dyDescent="0.2">
      <c r="A70" t="s">
        <v>5</v>
      </c>
      <c r="B70" s="27">
        <v>46153.471828703703</v>
      </c>
      <c r="C70">
        <v>8817</v>
      </c>
      <c r="D70">
        <v>26</v>
      </c>
      <c r="E70" t="s">
        <v>9</v>
      </c>
      <c r="F70" t="s">
        <v>5</v>
      </c>
      <c r="G70">
        <v>2</v>
      </c>
      <c r="H70">
        <v>2</v>
      </c>
    </row>
    <row r="71" spans="1:8" x14ac:dyDescent="0.2">
      <c r="A71" t="s">
        <v>48</v>
      </c>
      <c r="B71" s="27">
        <v>46162.544594907406</v>
      </c>
      <c r="C71">
        <v>9056</v>
      </c>
      <c r="D71">
        <v>26</v>
      </c>
      <c r="E71" t="s">
        <v>49</v>
      </c>
      <c r="F71" t="s">
        <v>48</v>
      </c>
      <c r="G71">
        <v>1</v>
      </c>
      <c r="H71">
        <v>1</v>
      </c>
    </row>
    <row r="72" spans="1:8" x14ac:dyDescent="0.2">
      <c r="A72" t="s">
        <v>40</v>
      </c>
      <c r="B72" s="27">
        <v>46162.425763888888</v>
      </c>
      <c r="C72">
        <v>9050</v>
      </c>
      <c r="D72">
        <v>26</v>
      </c>
      <c r="E72" t="s">
        <v>41</v>
      </c>
      <c r="F72" t="s">
        <v>40</v>
      </c>
      <c r="G72">
        <v>1</v>
      </c>
      <c r="H72">
        <v>1</v>
      </c>
    </row>
    <row r="73" spans="1:8" x14ac:dyDescent="0.2">
      <c r="A73" t="s">
        <v>16</v>
      </c>
      <c r="B73" s="27">
        <v>46157.338113425925</v>
      </c>
      <c r="C73">
        <v>8930</v>
      </c>
      <c r="D73">
        <v>26</v>
      </c>
      <c r="E73" t="s">
        <v>17</v>
      </c>
      <c r="F73" t="s">
        <v>16</v>
      </c>
      <c r="G73">
        <v>1</v>
      </c>
      <c r="H73">
        <v>1</v>
      </c>
    </row>
    <row r="74" spans="1:8" x14ac:dyDescent="0.2">
      <c r="A74" t="s">
        <v>366</v>
      </c>
      <c r="B74" s="27">
        <v>46191.381412037037</v>
      </c>
      <c r="C74">
        <v>9514</v>
      </c>
      <c r="D74">
        <v>26</v>
      </c>
      <c r="E74" t="s">
        <v>367</v>
      </c>
      <c r="F74" t="s">
        <v>366</v>
      </c>
      <c r="G74">
        <v>1</v>
      </c>
      <c r="H74">
        <v>1</v>
      </c>
    </row>
    <row r="75" spans="1:8" x14ac:dyDescent="0.2">
      <c r="A75" t="s">
        <v>368</v>
      </c>
      <c r="B75" s="27">
        <v>46175.50880787037</v>
      </c>
      <c r="C75">
        <v>9268</v>
      </c>
      <c r="D75">
        <v>27</v>
      </c>
      <c r="E75" t="s">
        <v>369</v>
      </c>
      <c r="F75" t="s">
        <v>368</v>
      </c>
      <c r="G75">
        <v>1</v>
      </c>
      <c r="H75">
        <v>1</v>
      </c>
    </row>
    <row r="76" spans="1:8" x14ac:dyDescent="0.2">
      <c r="A76" t="s">
        <v>370</v>
      </c>
      <c r="B76" s="27">
        <v>46174.506388888891</v>
      </c>
      <c r="C76">
        <v>9228</v>
      </c>
      <c r="D76">
        <v>27</v>
      </c>
      <c r="E76" t="s">
        <v>371</v>
      </c>
      <c r="F76" t="s">
        <v>370</v>
      </c>
      <c r="G76">
        <v>1</v>
      </c>
      <c r="H76">
        <v>1</v>
      </c>
    </row>
    <row r="77" spans="1:8" x14ac:dyDescent="0.2">
      <c r="A77" t="s">
        <v>60</v>
      </c>
      <c r="B77" s="27">
        <v>46163.503194444442</v>
      </c>
      <c r="C77">
        <v>9083</v>
      </c>
      <c r="D77">
        <v>27</v>
      </c>
      <c r="E77" t="s">
        <v>61</v>
      </c>
      <c r="F77" t="s">
        <v>60</v>
      </c>
      <c r="G77">
        <v>1</v>
      </c>
      <c r="H77">
        <v>1</v>
      </c>
    </row>
    <row r="78" spans="1:8" x14ac:dyDescent="0.2">
      <c r="A78" t="s">
        <v>34</v>
      </c>
      <c r="B78" s="27">
        <v>46161.58934027778</v>
      </c>
      <c r="C78">
        <v>9033</v>
      </c>
      <c r="D78">
        <v>27</v>
      </c>
      <c r="E78" t="s">
        <v>35</v>
      </c>
      <c r="F78" t="s">
        <v>34</v>
      </c>
      <c r="G78">
        <v>1</v>
      </c>
      <c r="H78">
        <v>1</v>
      </c>
    </row>
    <row r="79" spans="1:8" x14ac:dyDescent="0.2">
      <c r="A79" t="s">
        <v>372</v>
      </c>
      <c r="B79" s="27">
        <v>46190.50309027778</v>
      </c>
      <c r="C79">
        <v>9497</v>
      </c>
      <c r="D79">
        <v>27</v>
      </c>
      <c r="E79" t="s">
        <v>373</v>
      </c>
      <c r="F79" t="s">
        <v>372</v>
      </c>
      <c r="G79">
        <v>1</v>
      </c>
      <c r="H79">
        <v>1</v>
      </c>
    </row>
    <row r="80" spans="1:8" x14ac:dyDescent="0.2">
      <c r="A80" t="s">
        <v>88</v>
      </c>
      <c r="B80" s="27">
        <v>46169.445694444446</v>
      </c>
      <c r="C80">
        <v>9154</v>
      </c>
      <c r="D80">
        <v>27</v>
      </c>
      <c r="E80" t="s">
        <v>89</v>
      </c>
      <c r="F80" t="s">
        <v>88</v>
      </c>
      <c r="G80">
        <v>1</v>
      </c>
      <c r="H80">
        <v>1</v>
      </c>
    </row>
    <row r="81" spans="1:8" x14ac:dyDescent="0.2">
      <c r="A81" t="s">
        <v>374</v>
      </c>
      <c r="B81" s="27">
        <v>46175.421712962961</v>
      </c>
      <c r="C81">
        <v>9257</v>
      </c>
      <c r="D81">
        <v>27</v>
      </c>
      <c r="E81" t="s">
        <v>375</v>
      </c>
      <c r="F81" t="s">
        <v>374</v>
      </c>
      <c r="G81">
        <v>1</v>
      </c>
      <c r="H81">
        <v>1</v>
      </c>
    </row>
    <row r="82" spans="1:8" x14ac:dyDescent="0.2">
      <c r="A82" t="s">
        <v>376</v>
      </c>
      <c r="B82" s="27">
        <v>46184.382025462961</v>
      </c>
      <c r="C82">
        <v>9423</v>
      </c>
      <c r="D82">
        <v>28</v>
      </c>
      <c r="E82" t="s">
        <v>377</v>
      </c>
      <c r="F82" t="s">
        <v>376</v>
      </c>
      <c r="G82">
        <v>1</v>
      </c>
      <c r="H82">
        <v>1</v>
      </c>
    </row>
    <row r="83" spans="1:8" x14ac:dyDescent="0.2">
      <c r="A83" t="s">
        <v>378</v>
      </c>
      <c r="B83" s="27">
        <v>46170.637465277781</v>
      </c>
      <c r="C83">
        <v>9191</v>
      </c>
      <c r="D83">
        <v>28</v>
      </c>
      <c r="E83" t="s">
        <v>379</v>
      </c>
      <c r="F83" t="s">
        <v>378</v>
      </c>
      <c r="G83">
        <v>1</v>
      </c>
      <c r="H83">
        <v>1</v>
      </c>
    </row>
    <row r="84" spans="1:8" x14ac:dyDescent="0.2">
      <c r="A84" t="s">
        <v>380</v>
      </c>
      <c r="B84" s="27">
        <v>46191.632696759261</v>
      </c>
      <c r="C84">
        <v>9527</v>
      </c>
      <c r="D84">
        <v>28</v>
      </c>
      <c r="E84" t="s">
        <v>381</v>
      </c>
      <c r="F84" t="s">
        <v>380</v>
      </c>
      <c r="G84">
        <v>1</v>
      </c>
      <c r="H84">
        <v>1</v>
      </c>
    </row>
    <row r="85" spans="1:8" x14ac:dyDescent="0.2">
      <c r="A85" t="s">
        <v>382</v>
      </c>
      <c r="B85" s="27">
        <v>46183.322025462963</v>
      </c>
      <c r="C85">
        <v>9401</v>
      </c>
      <c r="D85">
        <v>28</v>
      </c>
      <c r="E85" t="s">
        <v>383</v>
      </c>
      <c r="F85" t="s">
        <v>382</v>
      </c>
      <c r="G85">
        <v>1</v>
      </c>
      <c r="H85">
        <v>1</v>
      </c>
    </row>
    <row r="86" spans="1:8" x14ac:dyDescent="0.2">
      <c r="A86" t="s">
        <v>384</v>
      </c>
      <c r="B86" s="27">
        <v>46175.547256944446</v>
      </c>
      <c r="C86">
        <v>9273</v>
      </c>
      <c r="D86">
        <v>28</v>
      </c>
      <c r="E86" t="s">
        <v>383</v>
      </c>
      <c r="F86" t="s">
        <v>384</v>
      </c>
      <c r="G86">
        <v>1</v>
      </c>
      <c r="H86">
        <v>1</v>
      </c>
    </row>
    <row r="87" spans="1:8" x14ac:dyDescent="0.2">
      <c r="A87" t="s">
        <v>42</v>
      </c>
      <c r="B87" s="27">
        <v>46162.462118055555</v>
      </c>
      <c r="C87">
        <v>9051</v>
      </c>
      <c r="D87">
        <v>29</v>
      </c>
      <c r="E87" t="s">
        <v>43</v>
      </c>
      <c r="F87" t="s">
        <v>42</v>
      </c>
      <c r="G87">
        <v>1</v>
      </c>
      <c r="H87">
        <v>1</v>
      </c>
    </row>
    <row r="88" spans="1:8" x14ac:dyDescent="0.2">
      <c r="A88" t="s">
        <v>385</v>
      </c>
      <c r="B88" s="27">
        <v>46177.670243055552</v>
      </c>
      <c r="C88">
        <v>9357</v>
      </c>
      <c r="D88">
        <v>29</v>
      </c>
      <c r="E88" t="s">
        <v>386</v>
      </c>
      <c r="F88" t="s">
        <v>385</v>
      </c>
      <c r="G88">
        <v>1</v>
      </c>
      <c r="H88">
        <v>1</v>
      </c>
    </row>
    <row r="89" spans="1:8" x14ac:dyDescent="0.2">
      <c r="A89" t="s">
        <v>387</v>
      </c>
      <c r="B89" s="27">
        <v>46185.658425925925</v>
      </c>
      <c r="C89">
        <v>9462</v>
      </c>
      <c r="D89">
        <v>29</v>
      </c>
      <c r="E89" t="s">
        <v>388</v>
      </c>
      <c r="F89" t="s">
        <v>387</v>
      </c>
      <c r="G89">
        <v>1</v>
      </c>
      <c r="H89">
        <v>1</v>
      </c>
    </row>
    <row r="90" spans="1:8" x14ac:dyDescent="0.2">
      <c r="A90" t="s">
        <v>389</v>
      </c>
      <c r="B90" s="27">
        <v>46171.389502314814</v>
      </c>
      <c r="C90">
        <v>9196</v>
      </c>
      <c r="D90">
        <v>29</v>
      </c>
      <c r="E90" t="s">
        <v>390</v>
      </c>
      <c r="F90" t="s">
        <v>389</v>
      </c>
      <c r="G90">
        <v>1</v>
      </c>
      <c r="H90">
        <v>1</v>
      </c>
    </row>
    <row r="91" spans="1:8" x14ac:dyDescent="0.2">
      <c r="A91" t="s">
        <v>44</v>
      </c>
      <c r="B91" s="27">
        <v>46162.462835648148</v>
      </c>
      <c r="C91">
        <v>9052</v>
      </c>
      <c r="D91">
        <v>30</v>
      </c>
      <c r="E91" t="s">
        <v>45</v>
      </c>
      <c r="F91" t="s">
        <v>44</v>
      </c>
      <c r="G91">
        <v>1</v>
      </c>
      <c r="H91">
        <v>1</v>
      </c>
    </row>
    <row r="92" spans="1:8" x14ac:dyDescent="0.2">
      <c r="A92" t="s">
        <v>12</v>
      </c>
      <c r="B92" s="27">
        <v>46154.588506944441</v>
      </c>
      <c r="C92">
        <v>8860</v>
      </c>
      <c r="D92">
        <v>30</v>
      </c>
      <c r="E92" t="s">
        <v>13</v>
      </c>
      <c r="F92" t="s">
        <v>12</v>
      </c>
      <c r="G92">
        <v>1</v>
      </c>
      <c r="H92">
        <v>1</v>
      </c>
    </row>
    <row r="93" spans="1:8" x14ac:dyDescent="0.2">
      <c r="A93" t="s">
        <v>76</v>
      </c>
      <c r="B93" s="27">
        <v>46164.708252314813</v>
      </c>
      <c r="C93">
        <v>9112</v>
      </c>
      <c r="D93">
        <v>30</v>
      </c>
      <c r="E93" t="s">
        <v>77</v>
      </c>
      <c r="F93" t="s">
        <v>76</v>
      </c>
      <c r="G93">
        <v>1</v>
      </c>
      <c r="H93">
        <v>1</v>
      </c>
    </row>
    <row r="94" spans="1:8" x14ac:dyDescent="0.2">
      <c r="A94" t="s">
        <v>391</v>
      </c>
      <c r="B94" s="27">
        <v>46177.512048611112</v>
      </c>
      <c r="C94">
        <v>9349</v>
      </c>
      <c r="D94">
        <v>30</v>
      </c>
      <c r="E94" t="s">
        <v>392</v>
      </c>
      <c r="F94" t="s">
        <v>391</v>
      </c>
      <c r="G94">
        <v>1</v>
      </c>
      <c r="H94">
        <v>1</v>
      </c>
    </row>
    <row r="95" spans="1:8" x14ac:dyDescent="0.2">
      <c r="A95" t="s">
        <v>102</v>
      </c>
      <c r="B95" s="27">
        <v>46170.420601851853</v>
      </c>
      <c r="C95">
        <v>9177</v>
      </c>
      <c r="D95">
        <v>30</v>
      </c>
      <c r="E95" t="s">
        <v>103</v>
      </c>
      <c r="F95" t="s">
        <v>102</v>
      </c>
      <c r="G95">
        <v>1</v>
      </c>
      <c r="H95">
        <v>1</v>
      </c>
    </row>
    <row r="96" spans="1:8" x14ac:dyDescent="0.2">
      <c r="A96" t="s">
        <v>393</v>
      </c>
      <c r="B96" s="27">
        <v>46176.469710648147</v>
      </c>
      <c r="C96">
        <v>9306</v>
      </c>
      <c r="D96">
        <v>30</v>
      </c>
      <c r="E96" t="s">
        <v>394</v>
      </c>
      <c r="F96" t="s">
        <v>393</v>
      </c>
      <c r="G96">
        <v>1</v>
      </c>
      <c r="H96">
        <v>1</v>
      </c>
    </row>
    <row r="97" spans="1:8" x14ac:dyDescent="0.2">
      <c r="A97" t="s">
        <v>74</v>
      </c>
      <c r="B97" s="27">
        <v>46164.589398148149</v>
      </c>
      <c r="C97">
        <v>9109</v>
      </c>
      <c r="D97">
        <v>31</v>
      </c>
      <c r="E97" t="s">
        <v>75</v>
      </c>
      <c r="F97" t="s">
        <v>74</v>
      </c>
      <c r="G97">
        <v>1</v>
      </c>
      <c r="H97">
        <v>1</v>
      </c>
    </row>
    <row r="98" spans="1:8" x14ac:dyDescent="0.2">
      <c r="A98" t="s">
        <v>72</v>
      </c>
      <c r="B98" s="27">
        <v>46164.552025462966</v>
      </c>
      <c r="C98">
        <v>9108</v>
      </c>
      <c r="D98">
        <v>31</v>
      </c>
      <c r="E98" t="s">
        <v>73</v>
      </c>
      <c r="F98" t="s">
        <v>72</v>
      </c>
      <c r="G98">
        <v>1</v>
      </c>
      <c r="H98">
        <v>1</v>
      </c>
    </row>
    <row r="99" spans="1:8" x14ac:dyDescent="0.2">
      <c r="A99" t="s">
        <v>80</v>
      </c>
      <c r="B99" s="27">
        <v>46168.380659722221</v>
      </c>
      <c r="C99">
        <v>9121</v>
      </c>
      <c r="D99">
        <v>32</v>
      </c>
      <c r="E99" t="s">
        <v>81</v>
      </c>
      <c r="F99" t="s">
        <v>80</v>
      </c>
      <c r="G99">
        <v>1</v>
      </c>
      <c r="H99">
        <v>1</v>
      </c>
    </row>
    <row r="100" spans="1:8" x14ac:dyDescent="0.2">
      <c r="A100" t="s">
        <v>395</v>
      </c>
      <c r="B100" s="27">
        <v>46175.505335648151</v>
      </c>
      <c r="C100">
        <v>9266</v>
      </c>
      <c r="D100">
        <v>32</v>
      </c>
      <c r="E100" t="s">
        <v>396</v>
      </c>
      <c r="F100" t="s">
        <v>395</v>
      </c>
      <c r="G100">
        <v>1</v>
      </c>
      <c r="H100">
        <v>1</v>
      </c>
    </row>
    <row r="101" spans="1:8" x14ac:dyDescent="0.2">
      <c r="A101" t="s">
        <v>397</v>
      </c>
      <c r="B101" s="27">
        <v>46170.511307870373</v>
      </c>
      <c r="C101">
        <v>9183</v>
      </c>
      <c r="D101">
        <v>32</v>
      </c>
      <c r="E101" t="s">
        <v>398</v>
      </c>
      <c r="F101" t="s">
        <v>397</v>
      </c>
      <c r="G101">
        <v>1</v>
      </c>
      <c r="H101">
        <v>1</v>
      </c>
    </row>
    <row r="102" spans="1:8" x14ac:dyDescent="0.2">
      <c r="A102" t="s">
        <v>399</v>
      </c>
      <c r="B102" s="27">
        <v>46178.545960648145</v>
      </c>
      <c r="C102">
        <v>9367</v>
      </c>
      <c r="D102">
        <v>32</v>
      </c>
      <c r="E102" t="s">
        <v>400</v>
      </c>
      <c r="F102" t="s">
        <v>399</v>
      </c>
      <c r="G102">
        <v>1</v>
      </c>
      <c r="H102">
        <v>1</v>
      </c>
    </row>
    <row r="103" spans="1:8" x14ac:dyDescent="0.2">
      <c r="A103" t="s">
        <v>24</v>
      </c>
      <c r="B103" s="27">
        <v>46160.634398148148</v>
      </c>
      <c r="C103">
        <v>8997</v>
      </c>
      <c r="D103">
        <v>32</v>
      </c>
      <c r="E103" t="s">
        <v>25</v>
      </c>
      <c r="F103" t="s">
        <v>24</v>
      </c>
      <c r="G103">
        <v>1</v>
      </c>
      <c r="H103">
        <v>1</v>
      </c>
    </row>
    <row r="104" spans="1:8" x14ac:dyDescent="0.2">
      <c r="A104" t="s">
        <v>54</v>
      </c>
      <c r="B104" s="27">
        <v>46163.342870370368</v>
      </c>
      <c r="C104">
        <v>9071</v>
      </c>
      <c r="D104">
        <v>32</v>
      </c>
      <c r="E104" t="s">
        <v>55</v>
      </c>
      <c r="F104" t="s">
        <v>54</v>
      </c>
      <c r="G104">
        <v>1</v>
      </c>
      <c r="H104">
        <v>1</v>
      </c>
    </row>
    <row r="105" spans="1:8" x14ac:dyDescent="0.2">
      <c r="A105" t="s">
        <v>5</v>
      </c>
      <c r="B105" s="27">
        <v>46148.474872685183</v>
      </c>
      <c r="C105">
        <v>8729</v>
      </c>
      <c r="D105">
        <v>32</v>
      </c>
      <c r="E105" t="s">
        <v>6</v>
      </c>
      <c r="F105" t="s">
        <v>5</v>
      </c>
      <c r="G105">
        <v>2</v>
      </c>
      <c r="H105">
        <v>1</v>
      </c>
    </row>
    <row r="106" spans="1:8" x14ac:dyDescent="0.2">
      <c r="A106" t="s">
        <v>62</v>
      </c>
      <c r="B106" s="27">
        <v>46163.506990740738</v>
      </c>
      <c r="C106">
        <v>9084</v>
      </c>
      <c r="D106">
        <v>33</v>
      </c>
      <c r="E106" t="s">
        <v>63</v>
      </c>
      <c r="F106" t="s">
        <v>62</v>
      </c>
      <c r="G106">
        <v>1</v>
      </c>
      <c r="H106">
        <v>1</v>
      </c>
    </row>
    <row r="107" spans="1:8" x14ac:dyDescent="0.2">
      <c r="A107" t="s">
        <v>401</v>
      </c>
      <c r="B107" s="27">
        <v>46174.465208333335</v>
      </c>
      <c r="C107">
        <v>9226</v>
      </c>
      <c r="D107">
        <v>33</v>
      </c>
      <c r="E107" t="s">
        <v>402</v>
      </c>
      <c r="F107" t="s">
        <v>401</v>
      </c>
      <c r="G107">
        <v>1</v>
      </c>
      <c r="H107">
        <v>1</v>
      </c>
    </row>
    <row r="108" spans="1:8" x14ac:dyDescent="0.2">
      <c r="A108" t="s">
        <v>22</v>
      </c>
      <c r="B108" s="27">
        <v>46160.586643518516</v>
      </c>
      <c r="C108">
        <v>8993</v>
      </c>
      <c r="D108">
        <v>33</v>
      </c>
      <c r="E108" t="s">
        <v>23</v>
      </c>
      <c r="F108" t="s">
        <v>22</v>
      </c>
      <c r="G108">
        <v>1</v>
      </c>
      <c r="H108">
        <v>1</v>
      </c>
    </row>
    <row r="109" spans="1:8" x14ac:dyDescent="0.2">
      <c r="A109" t="s">
        <v>403</v>
      </c>
      <c r="B109" s="27">
        <v>46177.504363425927</v>
      </c>
      <c r="C109">
        <v>9348</v>
      </c>
      <c r="D109">
        <v>33</v>
      </c>
      <c r="E109" t="s">
        <v>404</v>
      </c>
      <c r="F109" t="s">
        <v>403</v>
      </c>
      <c r="G109">
        <v>1</v>
      </c>
      <c r="H109">
        <v>1</v>
      </c>
    </row>
    <row r="110" spans="1:8" x14ac:dyDescent="0.2">
      <c r="A110" t="s">
        <v>405</v>
      </c>
      <c r="B110" s="27">
        <v>46176.42087962963</v>
      </c>
      <c r="C110">
        <v>9298</v>
      </c>
      <c r="D110">
        <v>33</v>
      </c>
      <c r="E110" t="s">
        <v>406</v>
      </c>
      <c r="F110" t="s">
        <v>405</v>
      </c>
      <c r="G110">
        <v>1</v>
      </c>
      <c r="H110">
        <v>1</v>
      </c>
    </row>
    <row r="111" spans="1:8" x14ac:dyDescent="0.2">
      <c r="A111" t="s">
        <v>58</v>
      </c>
      <c r="B111" s="27">
        <v>46163.493356481478</v>
      </c>
      <c r="C111">
        <v>9082</v>
      </c>
      <c r="D111">
        <v>33</v>
      </c>
      <c r="E111" t="s">
        <v>59</v>
      </c>
      <c r="F111" t="s">
        <v>58</v>
      </c>
      <c r="G111">
        <v>1</v>
      </c>
      <c r="H111">
        <v>1</v>
      </c>
    </row>
    <row r="112" spans="1:8" x14ac:dyDescent="0.2">
      <c r="A112" t="s">
        <v>407</v>
      </c>
      <c r="B112" s="27">
        <v>46185.658148148148</v>
      </c>
      <c r="C112">
        <v>9461</v>
      </c>
      <c r="D112">
        <v>33</v>
      </c>
      <c r="E112" t="s">
        <v>408</v>
      </c>
      <c r="F112" t="s">
        <v>407</v>
      </c>
      <c r="G112">
        <v>1</v>
      </c>
      <c r="H112">
        <v>1</v>
      </c>
    </row>
    <row r="113" spans="1:8" x14ac:dyDescent="0.2">
      <c r="A113" t="s">
        <v>409</v>
      </c>
      <c r="B113" s="27">
        <v>46190.628240740742</v>
      </c>
      <c r="C113">
        <v>9503</v>
      </c>
      <c r="D113">
        <v>34</v>
      </c>
      <c r="E113" t="s">
        <v>410</v>
      </c>
      <c r="F113" t="s">
        <v>409</v>
      </c>
      <c r="G113">
        <v>1</v>
      </c>
      <c r="H113">
        <v>1</v>
      </c>
    </row>
    <row r="114" spans="1:8" x14ac:dyDescent="0.2">
      <c r="A114" t="s">
        <v>56</v>
      </c>
      <c r="B114" s="27">
        <v>46163.465266203704</v>
      </c>
      <c r="C114">
        <v>9080</v>
      </c>
      <c r="D114">
        <v>34</v>
      </c>
      <c r="E114" t="s">
        <v>57</v>
      </c>
      <c r="F114" t="s">
        <v>56</v>
      </c>
      <c r="G114">
        <v>1</v>
      </c>
      <c r="H114">
        <v>1</v>
      </c>
    </row>
    <row r="115" spans="1:8" x14ac:dyDescent="0.2">
      <c r="A115" t="s">
        <v>78</v>
      </c>
      <c r="B115" s="27">
        <v>46168.277141203704</v>
      </c>
      <c r="C115">
        <v>9115</v>
      </c>
      <c r="D115">
        <v>34</v>
      </c>
      <c r="E115" t="s">
        <v>79</v>
      </c>
      <c r="F115" t="s">
        <v>78</v>
      </c>
      <c r="G115">
        <v>1</v>
      </c>
      <c r="H115">
        <v>1</v>
      </c>
    </row>
    <row r="116" spans="1:8" x14ac:dyDescent="0.2">
      <c r="A116" t="s">
        <v>66</v>
      </c>
      <c r="B116" s="27">
        <v>46164.318298611113</v>
      </c>
      <c r="C116">
        <v>9096</v>
      </c>
      <c r="D116">
        <v>35</v>
      </c>
      <c r="E116" t="s">
        <v>67</v>
      </c>
      <c r="F116" t="s">
        <v>66</v>
      </c>
      <c r="G116">
        <v>1</v>
      </c>
      <c r="H116">
        <v>1</v>
      </c>
    </row>
    <row r="117" spans="1:8" x14ac:dyDescent="0.2">
      <c r="A117" t="s">
        <v>411</v>
      </c>
      <c r="B117" s="27">
        <v>46174.508981481478</v>
      </c>
      <c r="C117">
        <v>9229</v>
      </c>
      <c r="D117">
        <v>35</v>
      </c>
      <c r="E117" t="s">
        <v>412</v>
      </c>
      <c r="F117" t="s">
        <v>411</v>
      </c>
      <c r="G117">
        <v>1</v>
      </c>
      <c r="H117">
        <v>1</v>
      </c>
    </row>
    <row r="118" spans="1:8" x14ac:dyDescent="0.2">
      <c r="A118" t="s">
        <v>413</v>
      </c>
      <c r="B118" s="27">
        <v>46184.505439814813</v>
      </c>
      <c r="C118">
        <v>9427</v>
      </c>
      <c r="D118">
        <v>35</v>
      </c>
      <c r="E118" t="s">
        <v>412</v>
      </c>
      <c r="F118" t="s">
        <v>413</v>
      </c>
      <c r="G118">
        <v>1</v>
      </c>
      <c r="H118">
        <v>1</v>
      </c>
    </row>
    <row r="119" spans="1:8" x14ac:dyDescent="0.2">
      <c r="A119" t="s">
        <v>414</v>
      </c>
      <c r="B119" s="27">
        <v>46170.630555555559</v>
      </c>
      <c r="C119">
        <v>9190</v>
      </c>
      <c r="D119">
        <v>35</v>
      </c>
      <c r="E119" t="s">
        <v>415</v>
      </c>
      <c r="F119" t="s">
        <v>414</v>
      </c>
      <c r="G119">
        <v>1</v>
      </c>
      <c r="H119">
        <v>1</v>
      </c>
    </row>
    <row r="120" spans="1:8" x14ac:dyDescent="0.2">
      <c r="A120" t="s">
        <v>416</v>
      </c>
      <c r="B120" s="27">
        <v>46184.680462962962</v>
      </c>
      <c r="C120">
        <v>9433</v>
      </c>
      <c r="D120">
        <v>35</v>
      </c>
      <c r="E120" t="s">
        <v>417</v>
      </c>
      <c r="F120" t="s">
        <v>416</v>
      </c>
      <c r="G120">
        <v>1</v>
      </c>
      <c r="H120">
        <v>1</v>
      </c>
    </row>
    <row r="121" spans="1:8" x14ac:dyDescent="0.2">
      <c r="A121" t="s">
        <v>10</v>
      </c>
      <c r="B121" s="27">
        <v>46154.469317129631</v>
      </c>
      <c r="C121">
        <v>8851</v>
      </c>
      <c r="D121">
        <v>35</v>
      </c>
      <c r="E121" t="s">
        <v>11</v>
      </c>
      <c r="F121" t="s">
        <v>10</v>
      </c>
      <c r="G121">
        <v>1</v>
      </c>
      <c r="H121">
        <v>1</v>
      </c>
    </row>
    <row r="122" spans="1:8" x14ac:dyDescent="0.2">
      <c r="A122" t="s">
        <v>418</v>
      </c>
      <c r="B122" s="27">
        <v>46191.464791666665</v>
      </c>
      <c r="C122">
        <v>9519</v>
      </c>
      <c r="D122">
        <v>35</v>
      </c>
      <c r="E122" t="s">
        <v>419</v>
      </c>
      <c r="F122" t="s">
        <v>418</v>
      </c>
      <c r="G122">
        <v>1</v>
      </c>
      <c r="H122">
        <v>1</v>
      </c>
    </row>
    <row r="123" spans="1:8" x14ac:dyDescent="0.2">
      <c r="A123" t="s">
        <v>38</v>
      </c>
      <c r="B123" s="27">
        <v>46162.362164351849</v>
      </c>
      <c r="C123">
        <v>9046</v>
      </c>
      <c r="D123">
        <v>35</v>
      </c>
      <c r="E123" t="s">
        <v>39</v>
      </c>
      <c r="F123" t="s">
        <v>38</v>
      </c>
      <c r="G123">
        <v>1</v>
      </c>
      <c r="H123">
        <v>1</v>
      </c>
    </row>
    <row r="124" spans="1:8" x14ac:dyDescent="0.2">
      <c r="A124" t="s">
        <v>420</v>
      </c>
      <c r="B124" s="27">
        <v>46184.381597222222</v>
      </c>
      <c r="C124">
        <v>9421</v>
      </c>
      <c r="D124">
        <v>35</v>
      </c>
      <c r="E124" t="s">
        <v>421</v>
      </c>
      <c r="F124" t="s">
        <v>420</v>
      </c>
      <c r="G124">
        <v>1</v>
      </c>
      <c r="H124">
        <v>1</v>
      </c>
    </row>
    <row r="125" spans="1:8" x14ac:dyDescent="0.2">
      <c r="A125" t="s">
        <v>68</v>
      </c>
      <c r="B125" s="27">
        <v>46164.464189814818</v>
      </c>
      <c r="C125">
        <v>9103</v>
      </c>
      <c r="D125">
        <v>36</v>
      </c>
      <c r="E125" t="s">
        <v>69</v>
      </c>
      <c r="F125" t="s">
        <v>68</v>
      </c>
      <c r="G125">
        <v>1</v>
      </c>
      <c r="H125">
        <v>1</v>
      </c>
    </row>
    <row r="126" spans="1:8" x14ac:dyDescent="0.2">
      <c r="A126" t="s">
        <v>94</v>
      </c>
      <c r="B126" s="27">
        <v>46170.340555555558</v>
      </c>
      <c r="C126">
        <v>9171</v>
      </c>
      <c r="D126">
        <v>36</v>
      </c>
      <c r="E126" t="s">
        <v>95</v>
      </c>
      <c r="F126" t="s">
        <v>94</v>
      </c>
      <c r="G126">
        <v>1</v>
      </c>
      <c r="H126">
        <v>1</v>
      </c>
    </row>
    <row r="127" spans="1:8" x14ac:dyDescent="0.2">
      <c r="A127" t="s">
        <v>92</v>
      </c>
      <c r="B127" s="27">
        <v>46169.509791666664</v>
      </c>
      <c r="C127">
        <v>9159</v>
      </c>
      <c r="D127">
        <v>36</v>
      </c>
      <c r="E127" t="s">
        <v>93</v>
      </c>
      <c r="F127" t="s">
        <v>92</v>
      </c>
      <c r="G127">
        <v>1</v>
      </c>
      <c r="H127">
        <v>1</v>
      </c>
    </row>
    <row r="128" spans="1:8" x14ac:dyDescent="0.2">
      <c r="A128" t="s">
        <v>422</v>
      </c>
      <c r="B128" s="27">
        <v>46185.63077546296</v>
      </c>
      <c r="C128">
        <v>9455</v>
      </c>
      <c r="D128">
        <v>36</v>
      </c>
      <c r="E128" t="s">
        <v>423</v>
      </c>
      <c r="F128" t="s">
        <v>422</v>
      </c>
      <c r="G128">
        <v>1</v>
      </c>
      <c r="H128">
        <v>1</v>
      </c>
    </row>
    <row r="129" spans="1:8" x14ac:dyDescent="0.2">
      <c r="A129" t="s">
        <v>424</v>
      </c>
      <c r="B129" s="27">
        <v>46174.547893518517</v>
      </c>
      <c r="C129">
        <v>9234</v>
      </c>
      <c r="D129">
        <v>37</v>
      </c>
      <c r="E129" t="s">
        <v>425</v>
      </c>
      <c r="F129" t="s">
        <v>424</v>
      </c>
      <c r="G129">
        <v>1</v>
      </c>
      <c r="H129">
        <v>1</v>
      </c>
    </row>
    <row r="130" spans="1:8" x14ac:dyDescent="0.2">
      <c r="A130" t="s">
        <v>426</v>
      </c>
      <c r="B130" s="27">
        <v>46185.266435185185</v>
      </c>
      <c r="C130">
        <v>9443</v>
      </c>
      <c r="D130">
        <v>37</v>
      </c>
      <c r="E130" t="s">
        <v>427</v>
      </c>
      <c r="F130" t="s">
        <v>426</v>
      </c>
      <c r="G130">
        <v>1</v>
      </c>
      <c r="H130">
        <v>1</v>
      </c>
    </row>
    <row r="131" spans="1:8" x14ac:dyDescent="0.2">
      <c r="A131" t="s">
        <v>334</v>
      </c>
      <c r="B131" s="27">
        <v>46192.12599537037</v>
      </c>
      <c r="C131">
        <v>9532</v>
      </c>
      <c r="D131">
        <v>37</v>
      </c>
      <c r="E131" t="s">
        <v>428</v>
      </c>
      <c r="F131" t="s">
        <v>334</v>
      </c>
      <c r="G131">
        <v>2</v>
      </c>
      <c r="H131">
        <v>2</v>
      </c>
    </row>
    <row r="132" spans="1:8" x14ac:dyDescent="0.2">
      <c r="A132" t="s">
        <v>429</v>
      </c>
      <c r="B132" s="27">
        <v>46174.554710648146</v>
      </c>
      <c r="C132">
        <v>9235</v>
      </c>
      <c r="D132">
        <v>37</v>
      </c>
      <c r="E132" t="s">
        <v>430</v>
      </c>
      <c r="F132" t="s">
        <v>429</v>
      </c>
      <c r="G132">
        <v>1</v>
      </c>
      <c r="H132">
        <v>1</v>
      </c>
    </row>
    <row r="133" spans="1:8" x14ac:dyDescent="0.2">
      <c r="A133" t="s">
        <v>14</v>
      </c>
      <c r="B133" s="27">
        <v>46156.380358796298</v>
      </c>
      <c r="C133">
        <v>8902</v>
      </c>
      <c r="D133">
        <v>38</v>
      </c>
      <c r="E133" t="s">
        <v>15</v>
      </c>
      <c r="F133" t="s">
        <v>14</v>
      </c>
      <c r="G133">
        <v>1</v>
      </c>
      <c r="H133">
        <v>1</v>
      </c>
    </row>
    <row r="134" spans="1:8" x14ac:dyDescent="0.2">
      <c r="A134" t="s">
        <v>431</v>
      </c>
      <c r="B134" s="27">
        <v>46175.511250000003</v>
      </c>
      <c r="C134">
        <v>9270</v>
      </c>
      <c r="D134">
        <v>38</v>
      </c>
      <c r="E134" t="s">
        <v>432</v>
      </c>
      <c r="F134" t="s">
        <v>431</v>
      </c>
      <c r="G134">
        <v>1</v>
      </c>
      <c r="H134">
        <v>1</v>
      </c>
    </row>
    <row r="135" spans="1:8" x14ac:dyDescent="0.2">
      <c r="A135" t="s">
        <v>64</v>
      </c>
      <c r="B135" s="27">
        <v>46163.50608796296</v>
      </c>
      <c r="C135">
        <v>9085</v>
      </c>
      <c r="D135">
        <v>38</v>
      </c>
      <c r="E135" t="s">
        <v>65</v>
      </c>
      <c r="F135" t="s">
        <v>64</v>
      </c>
      <c r="G135">
        <v>1</v>
      </c>
      <c r="H135">
        <v>1</v>
      </c>
    </row>
    <row r="136" spans="1:8" x14ac:dyDescent="0.2">
      <c r="A136" t="s">
        <v>433</v>
      </c>
      <c r="B136" s="27">
        <v>46175.618298611109</v>
      </c>
      <c r="C136">
        <v>9277</v>
      </c>
      <c r="D136">
        <v>38</v>
      </c>
      <c r="E136" t="s">
        <v>434</v>
      </c>
      <c r="F136" t="s">
        <v>433</v>
      </c>
      <c r="G136">
        <v>1</v>
      </c>
      <c r="H136">
        <v>1</v>
      </c>
    </row>
    <row r="137" spans="1:8" x14ac:dyDescent="0.2">
      <c r="A137" t="s">
        <v>84</v>
      </c>
      <c r="B137" s="27">
        <v>46169.384166666663</v>
      </c>
      <c r="C137">
        <v>9148</v>
      </c>
      <c r="D137">
        <v>39</v>
      </c>
      <c r="E137" t="s">
        <v>85</v>
      </c>
      <c r="F137" t="s">
        <v>84</v>
      </c>
      <c r="G137">
        <v>1</v>
      </c>
      <c r="H137">
        <v>1</v>
      </c>
    </row>
    <row r="138" spans="1:8" x14ac:dyDescent="0.2">
      <c r="A138" t="s">
        <v>435</v>
      </c>
      <c r="B138" s="27">
        <v>46184.509004629632</v>
      </c>
      <c r="C138">
        <v>9428</v>
      </c>
      <c r="D138">
        <v>40</v>
      </c>
      <c r="E138" t="s">
        <v>436</v>
      </c>
      <c r="F138" t="s">
        <v>435</v>
      </c>
      <c r="G138">
        <v>1</v>
      </c>
      <c r="H138">
        <v>1</v>
      </c>
    </row>
    <row r="139" spans="1:8" x14ac:dyDescent="0.2">
      <c r="A139" t="s">
        <v>437</v>
      </c>
      <c r="B139" s="27">
        <v>46184.420798611114</v>
      </c>
      <c r="C139">
        <v>9424</v>
      </c>
      <c r="D139">
        <v>40</v>
      </c>
      <c r="E139" t="s">
        <v>438</v>
      </c>
      <c r="F139" t="s">
        <v>437</v>
      </c>
      <c r="G139">
        <v>1</v>
      </c>
      <c r="H139">
        <v>1</v>
      </c>
    </row>
    <row r="140" spans="1:8" x14ac:dyDescent="0.2">
      <c r="A140" t="s">
        <v>30</v>
      </c>
      <c r="B140" s="27">
        <v>46161.547638888886</v>
      </c>
      <c r="C140">
        <v>9030</v>
      </c>
      <c r="D140">
        <v>41</v>
      </c>
      <c r="E140" t="s">
        <v>31</v>
      </c>
      <c r="F140" t="s">
        <v>30</v>
      </c>
      <c r="G140">
        <v>1</v>
      </c>
      <c r="H140">
        <v>1</v>
      </c>
    </row>
    <row r="141" spans="1:8" x14ac:dyDescent="0.2">
      <c r="A141" t="s">
        <v>439</v>
      </c>
      <c r="B141" s="27">
        <v>46185.380428240744</v>
      </c>
      <c r="C141">
        <v>9445</v>
      </c>
      <c r="D141">
        <v>41</v>
      </c>
      <c r="E141" t="s">
        <v>440</v>
      </c>
      <c r="F141" t="s">
        <v>439</v>
      </c>
      <c r="G141">
        <v>1</v>
      </c>
      <c r="H141">
        <v>1</v>
      </c>
    </row>
    <row r="142" spans="1:8" x14ac:dyDescent="0.2">
      <c r="A142" t="s">
        <v>32</v>
      </c>
      <c r="B142" s="27">
        <v>46161.585127314815</v>
      </c>
      <c r="C142">
        <v>9032</v>
      </c>
      <c r="D142">
        <v>41</v>
      </c>
      <c r="E142" t="s">
        <v>33</v>
      </c>
      <c r="F142" t="s">
        <v>32</v>
      </c>
      <c r="G142">
        <v>1</v>
      </c>
      <c r="H142">
        <v>1</v>
      </c>
    </row>
    <row r="143" spans="1:8" x14ac:dyDescent="0.2">
      <c r="A143" t="s">
        <v>86</v>
      </c>
      <c r="B143" s="27">
        <v>46169.421400462961</v>
      </c>
      <c r="C143">
        <v>9150</v>
      </c>
      <c r="D143">
        <v>42</v>
      </c>
      <c r="E143" t="s">
        <v>87</v>
      </c>
      <c r="F143" t="s">
        <v>86</v>
      </c>
      <c r="G143">
        <v>1</v>
      </c>
      <c r="H143">
        <v>1</v>
      </c>
    </row>
    <row r="144" spans="1:8" x14ac:dyDescent="0.2">
      <c r="A144" t="s">
        <v>335</v>
      </c>
      <c r="B144" s="27">
        <v>46176.627800925926</v>
      </c>
      <c r="C144">
        <v>9330</v>
      </c>
      <c r="D144">
        <v>42</v>
      </c>
      <c r="E144" t="s">
        <v>441</v>
      </c>
      <c r="F144" t="s">
        <v>335</v>
      </c>
      <c r="G144">
        <v>2</v>
      </c>
      <c r="H144">
        <v>2</v>
      </c>
    </row>
    <row r="145" spans="1:8" x14ac:dyDescent="0.2">
      <c r="A145" t="s">
        <v>442</v>
      </c>
      <c r="B145" s="27">
        <v>46182.377986111111</v>
      </c>
      <c r="C145">
        <v>9390</v>
      </c>
      <c r="D145">
        <v>42</v>
      </c>
      <c r="E145" t="s">
        <v>443</v>
      </c>
      <c r="F145" t="s">
        <v>442</v>
      </c>
      <c r="G145">
        <v>1</v>
      </c>
      <c r="H145">
        <v>1</v>
      </c>
    </row>
    <row r="146" spans="1:8" x14ac:dyDescent="0.2">
      <c r="A146" t="s">
        <v>444</v>
      </c>
      <c r="B146" s="27">
        <v>46170.47047453704</v>
      </c>
      <c r="C146">
        <v>9181</v>
      </c>
      <c r="D146">
        <v>42</v>
      </c>
      <c r="E146" t="s">
        <v>445</v>
      </c>
      <c r="F146" t="s">
        <v>444</v>
      </c>
      <c r="G146">
        <v>1</v>
      </c>
      <c r="H146">
        <v>1</v>
      </c>
    </row>
    <row r="147" spans="1:8" x14ac:dyDescent="0.2">
      <c r="A147" t="s">
        <v>7</v>
      </c>
      <c r="B147" s="27">
        <v>46149.364166666666</v>
      </c>
      <c r="C147">
        <v>8750</v>
      </c>
      <c r="D147">
        <v>43</v>
      </c>
      <c r="E147" t="s">
        <v>8</v>
      </c>
      <c r="F147" t="s">
        <v>7</v>
      </c>
      <c r="G147">
        <v>1</v>
      </c>
      <c r="H147">
        <v>1</v>
      </c>
    </row>
    <row r="148" spans="1:8" x14ac:dyDescent="0.2">
      <c r="A148" t="s">
        <v>446</v>
      </c>
      <c r="B148" s="27">
        <v>46174.420243055552</v>
      </c>
      <c r="C148">
        <v>9221</v>
      </c>
      <c r="D148">
        <v>43</v>
      </c>
      <c r="E148" t="s">
        <v>447</v>
      </c>
      <c r="F148" t="s">
        <v>446</v>
      </c>
      <c r="G148">
        <v>1</v>
      </c>
      <c r="H148">
        <v>1</v>
      </c>
    </row>
    <row r="149" spans="1:8" x14ac:dyDescent="0.2">
      <c r="A149" t="s">
        <v>52</v>
      </c>
      <c r="B149" s="27">
        <v>46162.586261574077</v>
      </c>
      <c r="C149">
        <v>9060</v>
      </c>
      <c r="D149">
        <v>43</v>
      </c>
      <c r="E149" t="s">
        <v>53</v>
      </c>
      <c r="F149" t="s">
        <v>52</v>
      </c>
      <c r="G149">
        <v>1</v>
      </c>
      <c r="H149">
        <v>1</v>
      </c>
    </row>
    <row r="150" spans="1:8" x14ac:dyDescent="0.2">
      <c r="A150" t="s">
        <v>46</v>
      </c>
      <c r="B150" s="27">
        <v>46162.502928240741</v>
      </c>
      <c r="C150">
        <v>9053</v>
      </c>
      <c r="D150">
        <v>43</v>
      </c>
      <c r="E150" t="s">
        <v>47</v>
      </c>
      <c r="F150" t="s">
        <v>46</v>
      </c>
      <c r="G150">
        <v>1</v>
      </c>
      <c r="H150">
        <v>1</v>
      </c>
    </row>
    <row r="151" spans="1:8" x14ac:dyDescent="0.2">
      <c r="A151" t="s">
        <v>26</v>
      </c>
      <c r="B151" s="27">
        <v>46161.380868055552</v>
      </c>
      <c r="C151">
        <v>9021</v>
      </c>
      <c r="D151">
        <v>44</v>
      </c>
      <c r="E151" t="s">
        <v>27</v>
      </c>
      <c r="F151" t="s">
        <v>26</v>
      </c>
      <c r="G151">
        <v>1</v>
      </c>
      <c r="H151">
        <v>1</v>
      </c>
    </row>
    <row r="152" spans="1:8" x14ac:dyDescent="0.2">
      <c r="A152" t="s">
        <v>448</v>
      </c>
      <c r="B152" s="27">
        <v>46189.714780092596</v>
      </c>
      <c r="C152">
        <v>9491</v>
      </c>
      <c r="D152">
        <v>44</v>
      </c>
      <c r="E152" t="s">
        <v>449</v>
      </c>
      <c r="F152" t="s">
        <v>448</v>
      </c>
      <c r="G152">
        <v>1</v>
      </c>
      <c r="H152">
        <v>1</v>
      </c>
    </row>
    <row r="153" spans="1:8" x14ac:dyDescent="0.2">
      <c r="A153" t="s">
        <v>82</v>
      </c>
      <c r="B153" s="27">
        <v>46168.631874999999</v>
      </c>
      <c r="C153">
        <v>9142</v>
      </c>
      <c r="D153">
        <v>45</v>
      </c>
      <c r="E153" t="s">
        <v>83</v>
      </c>
      <c r="F153" t="s">
        <v>82</v>
      </c>
      <c r="G153">
        <v>1</v>
      </c>
      <c r="H153">
        <v>1</v>
      </c>
    </row>
    <row r="154" spans="1:8" x14ac:dyDescent="0.2">
      <c r="A154" t="s">
        <v>450</v>
      </c>
      <c r="B154" s="27">
        <v>46157.422268518516</v>
      </c>
      <c r="C154">
        <v>8936</v>
      </c>
      <c r="D154">
        <v>45</v>
      </c>
      <c r="E154" t="s">
        <v>451</v>
      </c>
      <c r="F154" t="s">
        <v>450</v>
      </c>
      <c r="G154">
        <v>1</v>
      </c>
      <c r="H154">
        <v>1</v>
      </c>
    </row>
    <row r="155" spans="1:8" x14ac:dyDescent="0.2">
      <c r="A155" t="s">
        <v>452</v>
      </c>
      <c r="B155" s="27">
        <v>46169.549305555556</v>
      </c>
      <c r="C155">
        <v>9162</v>
      </c>
      <c r="D155">
        <v>45</v>
      </c>
      <c r="E155" t="s">
        <v>453</v>
      </c>
      <c r="F155" t="s">
        <v>452</v>
      </c>
      <c r="G155">
        <v>1</v>
      </c>
      <c r="H155">
        <v>1</v>
      </c>
    </row>
  </sheetData>
  <sortState xmlns:xlrd2="http://schemas.microsoft.com/office/spreadsheetml/2017/richdata2" ref="A2:F64">
    <sortCondition ref="E2:E64"/>
  </sortState>
  <conditionalFormatting sqref="A130:A1048576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9E9D-00CD-4245-8F56-6BD77B68679D}">
  <dimension ref="A1:F64"/>
  <sheetViews>
    <sheetView topLeftCell="A59" workbookViewId="0">
      <selection activeCell="F41" sqref="F41"/>
    </sheetView>
  </sheetViews>
  <sheetFormatPr baseColWidth="10" defaultColWidth="8.83203125" defaultRowHeight="15" x14ac:dyDescent="0.2"/>
  <cols>
    <col min="1" max="1" width="42.33203125" bestFit="1" customWidth="1"/>
    <col min="2" max="2" width="16.83203125" bestFit="1" customWidth="1"/>
    <col min="3" max="3" width="25.33203125" customWidth="1"/>
    <col min="4" max="4" width="11.1640625" style="1" customWidth="1"/>
    <col min="5" max="5" width="15.6640625" customWidth="1"/>
    <col min="6" max="6" width="35.5" customWidth="1"/>
  </cols>
  <sheetData>
    <row r="1" spans="1:6" x14ac:dyDescent="0.2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  <c r="F1" s="2" t="s">
        <v>294</v>
      </c>
    </row>
    <row r="2" spans="1:6" ht="27" x14ac:dyDescent="0.2">
      <c r="A2" s="31" t="s">
        <v>323</v>
      </c>
      <c r="B2" s="32">
        <v>46149.629513888889</v>
      </c>
      <c r="C2" s="4">
        <v>8771</v>
      </c>
      <c r="D2" s="13" t="s">
        <v>454</v>
      </c>
      <c r="E2" s="14" t="s">
        <v>454</v>
      </c>
      <c r="F2" s="37" t="str">
        <f t="shared" ref="F2:F64" si="0">A2</f>
        <v>baljit.chima@6dg.co.uk</v>
      </c>
    </row>
    <row r="3" spans="1:6" ht="27" x14ac:dyDescent="0.2">
      <c r="A3" s="31" t="s">
        <v>329</v>
      </c>
      <c r="B3" s="32">
        <v>46150.633796296293</v>
      </c>
      <c r="C3" s="4">
        <v>8791</v>
      </c>
      <c r="D3" s="13" t="s">
        <v>454</v>
      </c>
      <c r="E3" s="14" t="s">
        <v>454</v>
      </c>
      <c r="F3" s="37" t="str">
        <f t="shared" si="0"/>
        <v>jamie.buchanan@thetrainline.com</v>
      </c>
    </row>
    <row r="4" spans="1:6" ht="27" x14ac:dyDescent="0.2">
      <c r="A4" s="31" t="s">
        <v>314</v>
      </c>
      <c r="B4" s="32">
        <v>46156.635381944441</v>
      </c>
      <c r="C4" s="4">
        <v>8923</v>
      </c>
      <c r="D4" s="13" t="s">
        <v>454</v>
      </c>
      <c r="E4" s="14" t="s">
        <v>454</v>
      </c>
      <c r="F4" s="37" t="str">
        <f t="shared" si="0"/>
        <v>william.vanduynhoven@thomsonreuters.com</v>
      </c>
    </row>
    <row r="5" spans="1:6" ht="27" x14ac:dyDescent="0.2">
      <c r="A5" s="31" t="s">
        <v>330</v>
      </c>
      <c r="B5" s="32">
        <v>46160.640532407408</v>
      </c>
      <c r="C5" s="4">
        <v>8998</v>
      </c>
      <c r="D5" s="13" t="s">
        <v>454</v>
      </c>
      <c r="E5" s="14" t="s">
        <v>454</v>
      </c>
      <c r="F5" s="37" t="str">
        <f t="shared" si="0"/>
        <v>naeem.khan@6dg.co.uk</v>
      </c>
    </row>
    <row r="6" spans="1:6" ht="27" x14ac:dyDescent="0.2">
      <c r="A6" s="31" t="s">
        <v>308</v>
      </c>
      <c r="B6" s="32">
        <v>46162.378738425927</v>
      </c>
      <c r="C6" s="4">
        <v>9048</v>
      </c>
      <c r="D6" s="13" t="s">
        <v>454</v>
      </c>
      <c r="E6" s="14" t="s">
        <v>454</v>
      </c>
      <c r="F6" s="37" t="str">
        <f t="shared" si="0"/>
        <v>aamir.kapasi@albelli.com</v>
      </c>
    </row>
    <row r="7" spans="1:6" ht="27" x14ac:dyDescent="0.2">
      <c r="A7" s="31" t="s">
        <v>336</v>
      </c>
      <c r="B7" s="32">
        <v>46162.504675925928</v>
      </c>
      <c r="C7" s="4">
        <v>9054</v>
      </c>
      <c r="D7" s="13" t="s">
        <v>454</v>
      </c>
      <c r="E7" s="14" t="s">
        <v>454</v>
      </c>
      <c r="F7" s="37" t="str">
        <f t="shared" si="0"/>
        <v>jessica.light@exclaimer.com</v>
      </c>
    </row>
    <row r="8" spans="1:6" ht="27" x14ac:dyDescent="0.2">
      <c r="A8" s="31" t="s">
        <v>309</v>
      </c>
      <c r="B8" s="32">
        <v>46162.548900462964</v>
      </c>
      <c r="C8" s="4">
        <v>9058</v>
      </c>
      <c r="D8" s="13" t="s">
        <v>454</v>
      </c>
      <c r="E8" s="14" t="s">
        <v>454</v>
      </c>
      <c r="F8" s="37" t="str">
        <f t="shared" si="0"/>
        <v>swetha.nayudu@dominos.co.uk</v>
      </c>
    </row>
    <row r="9" spans="1:6" ht="27" x14ac:dyDescent="0.2">
      <c r="A9" s="31" t="s">
        <v>310</v>
      </c>
      <c r="B9" s="32">
        <v>46162.549351851849</v>
      </c>
      <c r="C9" s="4">
        <v>9059</v>
      </c>
      <c r="D9" s="13" t="s">
        <v>454</v>
      </c>
      <c r="E9" s="14" t="s">
        <v>454</v>
      </c>
      <c r="F9" s="37" t="str">
        <f t="shared" si="0"/>
        <v>tim.redding@photobox.com</v>
      </c>
    </row>
    <row r="10" spans="1:6" ht="27" x14ac:dyDescent="0.2">
      <c r="A10" s="31" t="s">
        <v>335</v>
      </c>
      <c r="B10" s="32">
        <v>46162.629641203705</v>
      </c>
      <c r="C10" s="4">
        <v>9062</v>
      </c>
      <c r="D10" s="13" t="s">
        <v>454</v>
      </c>
      <c r="E10" s="14" t="s">
        <v>454</v>
      </c>
      <c r="F10" s="37" t="str">
        <f t="shared" si="0"/>
        <v>leigh.burton@sonic.com</v>
      </c>
    </row>
    <row r="11" spans="1:6" ht="27" x14ac:dyDescent="0.2">
      <c r="A11" s="31" t="s">
        <v>322</v>
      </c>
      <c r="B11" s="32">
        <v>46162.632754629631</v>
      </c>
      <c r="C11" s="4">
        <v>9063</v>
      </c>
      <c r="D11" s="13" t="s">
        <v>454</v>
      </c>
      <c r="E11" s="14" t="s">
        <v>454</v>
      </c>
      <c r="F11" s="37" t="str">
        <f t="shared" si="0"/>
        <v>andy.knox@gearset.com</v>
      </c>
    </row>
    <row r="12" spans="1:6" ht="27" x14ac:dyDescent="0.2">
      <c r="A12" s="31" t="s">
        <v>313</v>
      </c>
      <c r="B12" s="32">
        <v>46163.424791666665</v>
      </c>
      <c r="C12" s="4">
        <v>9077</v>
      </c>
      <c r="D12" s="13" t="s">
        <v>454</v>
      </c>
      <c r="E12" s="14" t="s">
        <v>454</v>
      </c>
      <c r="F12" s="37" t="str">
        <f t="shared" si="0"/>
        <v>venkatmohan.kumar@ig.com</v>
      </c>
    </row>
    <row r="13" spans="1:6" ht="27" x14ac:dyDescent="0.2">
      <c r="A13" s="31" t="s">
        <v>315</v>
      </c>
      <c r="B13" s="32">
        <v>46163.587071759262</v>
      </c>
      <c r="C13" s="4">
        <v>9087</v>
      </c>
      <c r="D13" s="13" t="s">
        <v>454</v>
      </c>
      <c r="E13" s="14" t="s">
        <v>454</v>
      </c>
      <c r="F13" s="37" t="str">
        <f t="shared" si="0"/>
        <v>zishan.sohail@6dg.co.uk</v>
      </c>
    </row>
    <row r="14" spans="1:6" x14ac:dyDescent="0.2">
      <c r="A14" s="31" t="s">
        <v>50</v>
      </c>
      <c r="B14" s="32">
        <v>46162.547685185185</v>
      </c>
      <c r="C14" s="4">
        <v>9057</v>
      </c>
      <c r="D14" s="5">
        <v>20</v>
      </c>
      <c r="E14" s="4" t="s">
        <v>51</v>
      </c>
      <c r="F14" s="37" t="str">
        <f t="shared" si="0"/>
        <v>soumya.jk@thetrainline.com</v>
      </c>
    </row>
    <row r="15" spans="1:6" x14ac:dyDescent="0.2">
      <c r="A15" s="18" t="s">
        <v>96</v>
      </c>
      <c r="B15" s="32">
        <v>46170.384606481479</v>
      </c>
      <c r="C15" s="3">
        <v>9173</v>
      </c>
      <c r="D15" s="4">
        <v>22</v>
      </c>
      <c r="E15" s="4" t="s">
        <v>97</v>
      </c>
      <c r="F15" s="24" t="str">
        <f t="shared" si="0"/>
        <v>amelia.horwood@options-it.com</v>
      </c>
    </row>
    <row r="16" spans="1:6" x14ac:dyDescent="0.2">
      <c r="A16" s="31" t="s">
        <v>36</v>
      </c>
      <c r="B16" s="32">
        <v>46162.282094907408</v>
      </c>
      <c r="C16" s="4">
        <v>9044</v>
      </c>
      <c r="D16" s="5">
        <v>22</v>
      </c>
      <c r="E16" s="4" t="s">
        <v>37</v>
      </c>
      <c r="F16" s="37" t="str">
        <f t="shared" si="0"/>
        <v>sakib.malik@zomato.com</v>
      </c>
    </row>
    <row r="17" spans="1:6" x14ac:dyDescent="0.2">
      <c r="A17" s="31" t="s">
        <v>20</v>
      </c>
      <c r="B17" s="32">
        <v>46160.548657407409</v>
      </c>
      <c r="C17" s="4">
        <v>8986</v>
      </c>
      <c r="D17" s="5">
        <v>23</v>
      </c>
      <c r="E17" s="4" t="s">
        <v>21</v>
      </c>
      <c r="F17" s="37" t="str">
        <f t="shared" si="0"/>
        <v>oli@gearset.com</v>
      </c>
    </row>
    <row r="18" spans="1:6" x14ac:dyDescent="0.2">
      <c r="A18" s="18" t="s">
        <v>70</v>
      </c>
      <c r="B18" s="16">
        <v>46164.545266203706</v>
      </c>
      <c r="C18" s="15">
        <v>9107</v>
      </c>
      <c r="D18" s="17">
        <v>23</v>
      </c>
      <c r="E18" s="15" t="s">
        <v>71</v>
      </c>
      <c r="F18" s="24" t="str">
        <f t="shared" si="0"/>
        <v>raunak.shamnani@zomato.com</v>
      </c>
    </row>
    <row r="19" spans="1:6" x14ac:dyDescent="0.2">
      <c r="A19" s="31" t="s">
        <v>28</v>
      </c>
      <c r="B19" s="32">
        <v>46161.462835648148</v>
      </c>
      <c r="C19" s="4">
        <v>9025</v>
      </c>
      <c r="D19" s="5">
        <v>24</v>
      </c>
      <c r="E19" s="4" t="s">
        <v>29</v>
      </c>
      <c r="F19" s="37" t="str">
        <f t="shared" si="0"/>
        <v>lakshminarayanan.sridhar@ig.com</v>
      </c>
    </row>
    <row r="20" spans="1:6" x14ac:dyDescent="0.2">
      <c r="A20" s="18" t="s">
        <v>90</v>
      </c>
      <c r="B20" s="32">
        <v>46169.463946759257</v>
      </c>
      <c r="C20" s="3">
        <v>9155</v>
      </c>
      <c r="D20" s="4">
        <v>24</v>
      </c>
      <c r="E20" s="4" t="s">
        <v>91</v>
      </c>
      <c r="F20" s="24" t="str">
        <f t="shared" si="0"/>
        <v>roberta.roccia@thetrainline.com</v>
      </c>
    </row>
    <row r="21" spans="1:6" x14ac:dyDescent="0.2">
      <c r="A21" s="18" t="s">
        <v>98</v>
      </c>
      <c r="B21" s="32">
        <v>46170.420185185183</v>
      </c>
      <c r="C21" s="3">
        <v>9175</v>
      </c>
      <c r="D21" s="4">
        <v>24</v>
      </c>
      <c r="E21" s="4" t="s">
        <v>99</v>
      </c>
      <c r="F21" s="24" t="str">
        <f t="shared" si="0"/>
        <v>akshat.goel@zomato.com</v>
      </c>
    </row>
    <row r="22" spans="1:6" x14ac:dyDescent="0.2">
      <c r="A22" s="18" t="s">
        <v>100</v>
      </c>
      <c r="B22" s="32">
        <v>46170.420312499999</v>
      </c>
      <c r="C22" s="3">
        <v>9176</v>
      </c>
      <c r="D22" s="4">
        <v>25</v>
      </c>
      <c r="E22" s="4" t="s">
        <v>101</v>
      </c>
      <c r="F22" s="24" t="str">
        <f t="shared" si="0"/>
        <v>hamish.dewar@exclaimer.com</v>
      </c>
    </row>
    <row r="23" spans="1:6" x14ac:dyDescent="0.2">
      <c r="A23" s="31" t="s">
        <v>18</v>
      </c>
      <c r="B23" s="32">
        <v>46160.423645833333</v>
      </c>
      <c r="C23" s="4">
        <v>8974</v>
      </c>
      <c r="D23" s="5">
        <v>25</v>
      </c>
      <c r="E23" s="4" t="s">
        <v>19</v>
      </c>
      <c r="F23" s="37" t="str">
        <f t="shared" si="0"/>
        <v>chris.davis@storiogroup.com</v>
      </c>
    </row>
    <row r="24" spans="1:6" x14ac:dyDescent="0.2">
      <c r="A24" s="31" t="s">
        <v>48</v>
      </c>
      <c r="B24" s="32">
        <v>46162.544594907406</v>
      </c>
      <c r="C24" s="4">
        <v>9056</v>
      </c>
      <c r="D24" s="5">
        <v>26</v>
      </c>
      <c r="E24" s="4" t="s">
        <v>49</v>
      </c>
      <c r="F24" s="37" t="str">
        <f t="shared" si="0"/>
        <v>jas.sahi@6dg.co.uk</v>
      </c>
    </row>
    <row r="25" spans="1:6" x14ac:dyDescent="0.2">
      <c r="A25" s="31" t="s">
        <v>40</v>
      </c>
      <c r="B25" s="32">
        <v>46162.425763888888</v>
      </c>
      <c r="C25" s="4">
        <v>9050</v>
      </c>
      <c r="D25" s="5">
        <v>26</v>
      </c>
      <c r="E25" s="4" t="s">
        <v>41</v>
      </c>
      <c r="F25" s="37" t="str">
        <f t="shared" si="0"/>
        <v>caoimhe.kelly@options-it.com</v>
      </c>
    </row>
    <row r="26" spans="1:6" x14ac:dyDescent="0.2">
      <c r="A26" s="31" t="s">
        <v>16</v>
      </c>
      <c r="B26" s="32">
        <v>46157.338113425925</v>
      </c>
      <c r="C26" s="4">
        <v>8930</v>
      </c>
      <c r="D26" s="5">
        <v>26</v>
      </c>
      <c r="E26" s="4" t="s">
        <v>17</v>
      </c>
      <c r="F26" s="37" t="str">
        <f t="shared" si="0"/>
        <v>julian.wreford@gearset.com</v>
      </c>
    </row>
    <row r="27" spans="1:6" x14ac:dyDescent="0.2">
      <c r="A27" s="31" t="s">
        <v>60</v>
      </c>
      <c r="B27" s="32">
        <v>46163.503194444442</v>
      </c>
      <c r="C27" s="4">
        <v>9083</v>
      </c>
      <c r="D27" s="5">
        <v>27</v>
      </c>
      <c r="E27" s="4" t="s">
        <v>61</v>
      </c>
      <c r="F27" s="37" t="str">
        <f t="shared" si="0"/>
        <v>naveed.khan@6dg.co.uk</v>
      </c>
    </row>
    <row r="28" spans="1:6" x14ac:dyDescent="0.2">
      <c r="A28" s="31" t="s">
        <v>34</v>
      </c>
      <c r="B28" s="32">
        <v>46161.58934027778</v>
      </c>
      <c r="C28" s="4">
        <v>9033</v>
      </c>
      <c r="D28" s="5">
        <v>27</v>
      </c>
      <c r="E28" s="4" t="s">
        <v>35</v>
      </c>
      <c r="F28" s="37" t="str">
        <f t="shared" si="0"/>
        <v>pim.ewijk@albelli.com</v>
      </c>
    </row>
    <row r="29" spans="1:6" x14ac:dyDescent="0.2">
      <c r="A29" s="18" t="s">
        <v>88</v>
      </c>
      <c r="B29" s="32">
        <v>46169.445694444446</v>
      </c>
      <c r="C29" s="3">
        <v>9154</v>
      </c>
      <c r="D29" s="4">
        <v>27</v>
      </c>
      <c r="E29" s="4" t="s">
        <v>89</v>
      </c>
      <c r="F29" s="24" t="str">
        <f t="shared" si="0"/>
        <v>mayank.dhillon@zomato.com</v>
      </c>
    </row>
    <row r="30" spans="1:6" x14ac:dyDescent="0.2">
      <c r="A30" s="31" t="s">
        <v>42</v>
      </c>
      <c r="B30" s="32">
        <v>46162.462118055555</v>
      </c>
      <c r="C30" s="4">
        <v>9051</v>
      </c>
      <c r="D30" s="5">
        <v>29</v>
      </c>
      <c r="E30" s="4" t="s">
        <v>43</v>
      </c>
      <c r="F30" s="37" t="str">
        <f t="shared" si="0"/>
        <v>jack.norris@exclaimer.com</v>
      </c>
    </row>
    <row r="31" spans="1:6" x14ac:dyDescent="0.2">
      <c r="A31" s="31" t="s">
        <v>44</v>
      </c>
      <c r="B31" s="32">
        <v>46162.462835648148</v>
      </c>
      <c r="C31" s="4">
        <v>9052</v>
      </c>
      <c r="D31" s="5">
        <v>30</v>
      </c>
      <c r="E31" s="4" t="s">
        <v>45</v>
      </c>
      <c r="F31" s="37" t="str">
        <f t="shared" si="0"/>
        <v>sankalp.bartariya@thetrainline.com</v>
      </c>
    </row>
    <row r="32" spans="1:6" x14ac:dyDescent="0.2">
      <c r="A32" s="31" t="s">
        <v>12</v>
      </c>
      <c r="B32" s="32">
        <v>46154.588506944441</v>
      </c>
      <c r="C32" s="4">
        <v>8860</v>
      </c>
      <c r="D32" s="5">
        <v>30</v>
      </c>
      <c r="E32" s="4" t="s">
        <v>13</v>
      </c>
      <c r="F32" s="37" t="str">
        <f t="shared" si="0"/>
        <v>michael.ward@6dg.co.uk</v>
      </c>
    </row>
    <row r="33" spans="1:6" x14ac:dyDescent="0.2">
      <c r="A33" s="18" t="s">
        <v>76</v>
      </c>
      <c r="B33" s="32">
        <v>46164.708252314813</v>
      </c>
      <c r="C33" s="3">
        <v>9112</v>
      </c>
      <c r="D33" s="4">
        <v>30</v>
      </c>
      <c r="E33" s="4" t="s">
        <v>77</v>
      </c>
      <c r="F33" s="24" t="str">
        <f t="shared" si="0"/>
        <v>kalp.jain@zomato.com</v>
      </c>
    </row>
    <row r="34" spans="1:6" x14ac:dyDescent="0.2">
      <c r="A34" s="18" t="s">
        <v>102</v>
      </c>
      <c r="B34" s="32">
        <v>46170.420601851853</v>
      </c>
      <c r="C34" s="3">
        <v>9177</v>
      </c>
      <c r="D34" s="4">
        <v>30</v>
      </c>
      <c r="E34" s="4" t="s">
        <v>103</v>
      </c>
      <c r="F34" s="24" t="str">
        <f t="shared" si="0"/>
        <v>aoife.breen@options-it.com</v>
      </c>
    </row>
    <row r="35" spans="1:6" x14ac:dyDescent="0.2">
      <c r="A35" s="18" t="s">
        <v>74</v>
      </c>
      <c r="B35" s="32">
        <v>46164.589398148149</v>
      </c>
      <c r="C35" s="3">
        <v>9109</v>
      </c>
      <c r="D35" s="4">
        <v>31</v>
      </c>
      <c r="E35" s="4" t="s">
        <v>75</v>
      </c>
      <c r="F35" s="24" t="str">
        <f t="shared" si="0"/>
        <v>patrick.boyd@gearset.com</v>
      </c>
    </row>
    <row r="36" spans="1:6" x14ac:dyDescent="0.2">
      <c r="A36" s="15" t="s">
        <v>72</v>
      </c>
      <c r="B36" s="16">
        <v>46164.552025462966</v>
      </c>
      <c r="C36" s="15">
        <v>9108</v>
      </c>
      <c r="D36" s="17">
        <v>31</v>
      </c>
      <c r="E36" s="15" t="s">
        <v>73</v>
      </c>
      <c r="F36" s="24" t="str">
        <f t="shared" si="0"/>
        <v>calum.mcdowell@storiogroup.com</v>
      </c>
    </row>
    <row r="37" spans="1:6" x14ac:dyDescent="0.2">
      <c r="A37" s="18" t="s">
        <v>80</v>
      </c>
      <c r="B37" s="32">
        <v>46168.380659722221</v>
      </c>
      <c r="C37" s="3">
        <v>9121</v>
      </c>
      <c r="D37" s="4">
        <v>32</v>
      </c>
      <c r="E37" s="4" t="s">
        <v>81</v>
      </c>
      <c r="F37" s="24" t="str">
        <f t="shared" si="0"/>
        <v>ellie.walsh@options-it.com</v>
      </c>
    </row>
    <row r="38" spans="1:6" x14ac:dyDescent="0.2">
      <c r="A38" s="31" t="s">
        <v>24</v>
      </c>
      <c r="B38" s="32">
        <v>46160.634398148148</v>
      </c>
      <c r="C38" s="4">
        <v>8997</v>
      </c>
      <c r="D38" s="5">
        <v>32</v>
      </c>
      <c r="E38" s="4" t="s">
        <v>25</v>
      </c>
      <c r="F38" s="37" t="str">
        <f t="shared" si="0"/>
        <v>fraser.gillies@thetrainline.com</v>
      </c>
    </row>
    <row r="39" spans="1:6" x14ac:dyDescent="0.2">
      <c r="A39" s="31" t="s">
        <v>54</v>
      </c>
      <c r="B39" s="32">
        <v>46163.342870370368</v>
      </c>
      <c r="C39" s="4">
        <v>9071</v>
      </c>
      <c r="D39" s="5">
        <v>32</v>
      </c>
      <c r="E39" s="4" t="s">
        <v>55</v>
      </c>
      <c r="F39" s="37" t="str">
        <f t="shared" si="0"/>
        <v>chauhan.gaurav@zomato.com</v>
      </c>
    </row>
    <row r="40" spans="1:6" x14ac:dyDescent="0.2">
      <c r="A40" s="31" t="s">
        <v>5</v>
      </c>
      <c r="B40" s="32">
        <v>46148.474872685183</v>
      </c>
      <c r="C40" s="4">
        <v>8729</v>
      </c>
      <c r="D40" s="5">
        <v>32</v>
      </c>
      <c r="E40" s="4" t="s">
        <v>6</v>
      </c>
      <c r="F40" s="37" t="str">
        <f t="shared" si="0"/>
        <v>vdubey26@gmail.com</v>
      </c>
    </row>
    <row r="41" spans="1:6" x14ac:dyDescent="0.2">
      <c r="A41" s="31" t="s">
        <v>62</v>
      </c>
      <c r="B41" s="32">
        <v>46163.506990740738</v>
      </c>
      <c r="C41" s="4">
        <v>9084</v>
      </c>
      <c r="D41" s="5">
        <v>33</v>
      </c>
      <c r="E41" s="4" t="s">
        <v>63</v>
      </c>
      <c r="F41" s="37" t="str">
        <f t="shared" si="0"/>
        <v>david.emmerson@gearset.com</v>
      </c>
    </row>
    <row r="42" spans="1:6" x14ac:dyDescent="0.2">
      <c r="A42" s="31" t="s">
        <v>22</v>
      </c>
      <c r="B42" s="32">
        <v>46160.586643518516</v>
      </c>
      <c r="C42" s="4">
        <v>8993</v>
      </c>
      <c r="D42" s="5">
        <v>33</v>
      </c>
      <c r="E42" s="4" t="s">
        <v>23</v>
      </c>
      <c r="F42" s="37" t="str">
        <f t="shared" si="0"/>
        <v>sangeetha.niranjan@thetrainline.com</v>
      </c>
    </row>
    <row r="43" spans="1:6" x14ac:dyDescent="0.2">
      <c r="A43" s="31" t="s">
        <v>58</v>
      </c>
      <c r="B43" s="32">
        <v>46163.493356481478</v>
      </c>
      <c r="C43" s="4">
        <v>9082</v>
      </c>
      <c r="D43" s="5">
        <v>33</v>
      </c>
      <c r="E43" s="4" t="s">
        <v>59</v>
      </c>
      <c r="F43" s="37" t="str">
        <f t="shared" si="0"/>
        <v>jernej.primcic@thomsonreuters.com</v>
      </c>
    </row>
    <row r="44" spans="1:6" x14ac:dyDescent="0.2">
      <c r="A44" s="31" t="s">
        <v>56</v>
      </c>
      <c r="B44" s="32">
        <v>46163.465266203704</v>
      </c>
      <c r="C44" s="4">
        <v>9080</v>
      </c>
      <c r="D44" s="5">
        <v>34</v>
      </c>
      <c r="E44" s="4" t="s">
        <v>57</v>
      </c>
      <c r="F44" s="37" t="str">
        <f t="shared" si="0"/>
        <v>alexander.hof@storiogroup.com</v>
      </c>
    </row>
    <row r="45" spans="1:6" x14ac:dyDescent="0.2">
      <c r="A45" s="33" t="s">
        <v>78</v>
      </c>
      <c r="B45" s="34">
        <v>46168.277141203704</v>
      </c>
      <c r="C45" s="29">
        <v>9115</v>
      </c>
      <c r="D45" s="30">
        <v>34</v>
      </c>
      <c r="E45" s="30" t="s">
        <v>79</v>
      </c>
      <c r="F45" s="24" t="str">
        <f t="shared" si="0"/>
        <v>chandan.nagaraja@thomsonreuters.com</v>
      </c>
    </row>
    <row r="46" spans="1:6" x14ac:dyDescent="0.2">
      <c r="A46" s="31" t="s">
        <v>66</v>
      </c>
      <c r="B46" s="32">
        <v>46164.318298611113</v>
      </c>
      <c r="C46" s="4">
        <v>9096</v>
      </c>
      <c r="D46" s="5">
        <v>35</v>
      </c>
      <c r="E46" s="4" t="s">
        <v>67</v>
      </c>
      <c r="F46" s="46" t="str">
        <f t="shared" si="0"/>
        <v>anjali.sharma@ig.com</v>
      </c>
    </row>
    <row r="47" spans="1:6" x14ac:dyDescent="0.2">
      <c r="A47" s="31" t="s">
        <v>10</v>
      </c>
      <c r="B47" s="32">
        <v>46154.469317129631</v>
      </c>
      <c r="C47" s="4">
        <v>8851</v>
      </c>
      <c r="D47" s="5">
        <v>35</v>
      </c>
      <c r="E47" s="4" t="s">
        <v>11</v>
      </c>
      <c r="F47" s="46" t="str">
        <f t="shared" si="0"/>
        <v>angad.sharma@zomato.com</v>
      </c>
    </row>
    <row r="48" spans="1:6" x14ac:dyDescent="0.2">
      <c r="A48" s="31" t="s">
        <v>38</v>
      </c>
      <c r="B48" s="32">
        <v>46162.362164351849</v>
      </c>
      <c r="C48" s="4">
        <v>9046</v>
      </c>
      <c r="D48" s="5">
        <v>35</v>
      </c>
      <c r="E48" s="4" t="s">
        <v>39</v>
      </c>
      <c r="F48" s="46" t="str">
        <f t="shared" si="0"/>
        <v>mark.mcgarry@options-it.com</v>
      </c>
    </row>
    <row r="49" spans="1:6" x14ac:dyDescent="0.2">
      <c r="A49" s="24" t="s">
        <v>68</v>
      </c>
      <c r="B49" s="25">
        <v>46164.464189814818</v>
      </c>
      <c r="C49" s="24">
        <v>9103</v>
      </c>
      <c r="D49" s="26">
        <v>36</v>
      </c>
      <c r="E49" s="24" t="s">
        <v>69</v>
      </c>
      <c r="F49" s="24" t="str">
        <f t="shared" si="0"/>
        <v>contact@quincy.dev</v>
      </c>
    </row>
    <row r="50" spans="1:6" x14ac:dyDescent="0.2">
      <c r="A50" s="18" t="s">
        <v>94</v>
      </c>
      <c r="B50" s="32">
        <v>46170.340555555558</v>
      </c>
      <c r="C50" s="3">
        <v>9171</v>
      </c>
      <c r="D50" s="4">
        <v>36</v>
      </c>
      <c r="E50" s="4" t="s">
        <v>95</v>
      </c>
      <c r="F50" s="24" t="str">
        <f t="shared" si="0"/>
        <v>donnchadh.tierney@options-it.com</v>
      </c>
    </row>
    <row r="51" spans="1:6" x14ac:dyDescent="0.2">
      <c r="A51" s="18" t="s">
        <v>92</v>
      </c>
      <c r="B51" s="32">
        <v>46169.509791666664</v>
      </c>
      <c r="C51" s="3">
        <v>9159</v>
      </c>
      <c r="D51" s="4">
        <v>36</v>
      </c>
      <c r="E51" s="4" t="s">
        <v>93</v>
      </c>
      <c r="F51" s="24" t="str">
        <f t="shared" si="0"/>
        <v>seth.lohr@sonic.com</v>
      </c>
    </row>
    <row r="52" spans="1:6" x14ac:dyDescent="0.2">
      <c r="A52" s="31" t="s">
        <v>14</v>
      </c>
      <c r="B52" s="32">
        <v>46156.380358796298</v>
      </c>
      <c r="C52" s="4">
        <v>8902</v>
      </c>
      <c r="D52" s="5">
        <v>38</v>
      </c>
      <c r="E52" s="4" t="s">
        <v>15</v>
      </c>
      <c r="F52" s="37" t="str">
        <f t="shared" si="0"/>
        <v>sam.williams@gearset.com</v>
      </c>
    </row>
    <row r="53" spans="1:6" x14ac:dyDescent="0.2">
      <c r="A53" s="31" t="s">
        <v>64</v>
      </c>
      <c r="B53" s="32">
        <v>46163.50608796296</v>
      </c>
      <c r="C53" s="4">
        <v>9085</v>
      </c>
      <c r="D53" s="5">
        <v>38</v>
      </c>
      <c r="E53" s="4" t="s">
        <v>65</v>
      </c>
      <c r="F53" s="37" t="str">
        <f t="shared" si="0"/>
        <v>eveline.sparreboom@albelli.com</v>
      </c>
    </row>
    <row r="54" spans="1:6" x14ac:dyDescent="0.2">
      <c r="A54" s="18" t="s">
        <v>84</v>
      </c>
      <c r="B54" s="32">
        <v>46169.384166666663</v>
      </c>
      <c r="C54" s="3">
        <v>9148</v>
      </c>
      <c r="D54" s="4">
        <v>39</v>
      </c>
      <c r="E54" s="4" t="s">
        <v>85</v>
      </c>
      <c r="F54" s="24" t="str">
        <f t="shared" si="0"/>
        <v>divyanshu.mahajan@zomato.com</v>
      </c>
    </row>
    <row r="55" spans="1:6" x14ac:dyDescent="0.2">
      <c r="A55" s="31" t="s">
        <v>30</v>
      </c>
      <c r="B55" s="32">
        <v>46161.547638888886</v>
      </c>
      <c r="C55" s="4">
        <v>9030</v>
      </c>
      <c r="D55" s="5">
        <v>41</v>
      </c>
      <c r="E55" s="4" t="s">
        <v>31</v>
      </c>
      <c r="F55" s="37" t="str">
        <f t="shared" si="0"/>
        <v>daniel.cook@thetrainline.com</v>
      </c>
    </row>
    <row r="56" spans="1:6" x14ac:dyDescent="0.2">
      <c r="A56" s="31" t="s">
        <v>32</v>
      </c>
      <c r="B56" s="32">
        <v>46161.585127314815</v>
      </c>
      <c r="C56" s="4">
        <v>9032</v>
      </c>
      <c r="D56" s="5">
        <v>41</v>
      </c>
      <c r="E56" s="4" t="s">
        <v>33</v>
      </c>
      <c r="F56" s="37" t="str">
        <f t="shared" si="0"/>
        <v>armin400@live.com</v>
      </c>
    </row>
    <row r="57" spans="1:6" x14ac:dyDescent="0.2">
      <c r="A57" s="18" t="s">
        <v>86</v>
      </c>
      <c r="B57" s="32">
        <v>46169.421400462961</v>
      </c>
      <c r="C57" s="3">
        <v>9150</v>
      </c>
      <c r="D57" s="4">
        <v>42</v>
      </c>
      <c r="E57" s="4" t="s">
        <v>87</v>
      </c>
      <c r="F57" s="24" t="str">
        <f t="shared" si="0"/>
        <v>vallabh.vyas@dominos.co.uk</v>
      </c>
    </row>
    <row r="58" spans="1:6" x14ac:dyDescent="0.2">
      <c r="A58" s="31" t="s">
        <v>7</v>
      </c>
      <c r="B58" s="32">
        <v>46149.364166666666</v>
      </c>
      <c r="C58" s="4">
        <v>8750</v>
      </c>
      <c r="D58" s="5">
        <v>43</v>
      </c>
      <c r="E58" s="4" t="s">
        <v>8</v>
      </c>
      <c r="F58" s="37" t="str">
        <f t="shared" si="0"/>
        <v>kritika.iyer30@gmail.com</v>
      </c>
    </row>
    <row r="59" spans="1:6" x14ac:dyDescent="0.2">
      <c r="A59" s="31" t="s">
        <v>52</v>
      </c>
      <c r="B59" s="32">
        <v>46162.586261574077</v>
      </c>
      <c r="C59" s="4">
        <v>9060</v>
      </c>
      <c r="D59" s="5">
        <v>43</v>
      </c>
      <c r="E59" s="4" t="s">
        <v>53</v>
      </c>
      <c r="F59" s="37" t="str">
        <f t="shared" si="0"/>
        <v>meera.nadigadda@exclaimer.com</v>
      </c>
    </row>
    <row r="60" spans="1:6" x14ac:dyDescent="0.2">
      <c r="A60" s="31" t="s">
        <v>46</v>
      </c>
      <c r="B60" s="32">
        <v>46162.502928240741</v>
      </c>
      <c r="C60" s="4">
        <v>9053</v>
      </c>
      <c r="D60" s="5">
        <v>43</v>
      </c>
      <c r="E60" s="4" t="s">
        <v>47</v>
      </c>
      <c r="F60" s="37" t="str">
        <f t="shared" si="0"/>
        <v>divagar.durai@6dg.co.uk</v>
      </c>
    </row>
    <row r="61" spans="1:6" x14ac:dyDescent="0.2">
      <c r="A61" s="31" t="s">
        <v>26</v>
      </c>
      <c r="B61" s="32">
        <v>46161.380868055552</v>
      </c>
      <c r="C61" s="4">
        <v>9021</v>
      </c>
      <c r="D61" s="5">
        <v>44</v>
      </c>
      <c r="E61" s="4" t="s">
        <v>27</v>
      </c>
      <c r="F61" s="37" t="str">
        <f t="shared" si="0"/>
        <v>milisavljevic@rushstreetinteractive.com</v>
      </c>
    </row>
    <row r="62" spans="1:6" x14ac:dyDescent="0.2">
      <c r="A62" s="18" t="s">
        <v>82</v>
      </c>
      <c r="B62" s="32">
        <v>46168.631874999999</v>
      </c>
      <c r="C62" s="3">
        <v>9142</v>
      </c>
      <c r="D62" s="4">
        <v>45</v>
      </c>
      <c r="E62" s="4" t="s">
        <v>83</v>
      </c>
      <c r="F62" s="24" t="str">
        <f t="shared" si="0"/>
        <v>joe.muller@sonic.com</v>
      </c>
    </row>
    <row r="63" spans="1:6" x14ac:dyDescent="0.2">
      <c r="A63" s="31" t="s">
        <v>450</v>
      </c>
      <c r="B63" s="32">
        <v>46157.422268518516</v>
      </c>
      <c r="C63" s="4">
        <v>8936</v>
      </c>
      <c r="D63" s="5">
        <v>45</v>
      </c>
      <c r="E63" s="4" t="s">
        <v>451</v>
      </c>
      <c r="F63" s="37" t="str">
        <f t="shared" si="0"/>
        <v>peter.graham@options-it.com</v>
      </c>
    </row>
    <row r="64" spans="1:6" x14ac:dyDescent="0.2">
      <c r="A64" s="15" t="s">
        <v>316</v>
      </c>
      <c r="B64" s="16">
        <v>46164.463078703702</v>
      </c>
      <c r="C64" s="15">
        <v>9101</v>
      </c>
      <c r="D64" s="17"/>
      <c r="E64" s="15"/>
      <c r="F64" s="24" t="str">
        <f t="shared" si="0"/>
        <v>a.strakovich@gmail.com</v>
      </c>
    </row>
  </sheetData>
  <conditionalFormatting sqref="A1:A1048576">
    <cfRule type="duplicateValues" dxfId="0" priority="1"/>
  </conditionalFormatting>
  <hyperlinks>
    <hyperlink ref="A40" r:id="rId1" xr:uid="{C71FA459-2740-1A41-AF40-3382919FE98F}"/>
    <hyperlink ref="A58" r:id="rId2" xr:uid="{143122EA-CC53-0E43-AEB9-6FF2CA15503E}"/>
    <hyperlink ref="A2" r:id="rId3" xr:uid="{93BCE1EE-CB0B-5842-BE58-F6CC6C92168E}"/>
    <hyperlink ref="A3" r:id="rId4" xr:uid="{EDAD458C-B118-484C-8EFA-455293415D20}"/>
    <hyperlink ref="A47" r:id="rId5" xr:uid="{6BD96693-42B0-DD40-BE2C-0DF3667D713F}"/>
    <hyperlink ref="A32" r:id="rId6" xr:uid="{1C0AE225-9FC9-AB45-AC55-A52E912AB636}"/>
    <hyperlink ref="A52" r:id="rId7" xr:uid="{5F111B2E-59B6-B343-BB9A-D790ED08D2BE}"/>
    <hyperlink ref="A4" r:id="rId8" xr:uid="{A7931DAA-73A5-8642-A03F-7A80C9AC25E6}"/>
    <hyperlink ref="A26" r:id="rId9" xr:uid="{F4B27DDC-A266-9940-880B-B475977871EB}"/>
    <hyperlink ref="A63" r:id="rId10" xr:uid="{09A6C2E5-8812-EC48-8A35-7690011BD613}"/>
    <hyperlink ref="A23" r:id="rId11" xr:uid="{FE8DBE89-AEA8-744D-ACA0-B85AD77B6E51}"/>
    <hyperlink ref="A17" r:id="rId12" xr:uid="{6FA06CDA-251E-3C46-8F7A-2D492EC93CA7}"/>
    <hyperlink ref="A42" r:id="rId13" xr:uid="{B0464187-6DC4-254B-8AB9-0EBE2009D692}"/>
    <hyperlink ref="A38" r:id="rId14" xr:uid="{57568311-11AE-2542-95F5-B4B8417E8E19}"/>
    <hyperlink ref="A5" r:id="rId15" xr:uid="{4CD06520-5A91-A54C-9704-BF7F8388A7EA}"/>
    <hyperlink ref="A61" r:id="rId16" xr:uid="{DD6582AB-FD12-914F-B1CA-F90E0A8FDD4C}"/>
    <hyperlink ref="A19" r:id="rId17" xr:uid="{46ED35DF-6928-6B4B-AA4D-71DAC8D03913}"/>
    <hyperlink ref="A55" r:id="rId18" xr:uid="{C89178D9-07C1-7349-8BAA-83815AA3FC8D}"/>
    <hyperlink ref="A56" r:id="rId19" xr:uid="{9F3035F5-61AC-0143-8B96-2B80F0B4D2A6}"/>
    <hyperlink ref="A28" r:id="rId20" xr:uid="{32AAF860-82F0-6F45-A4D2-3ABCDC1350CC}"/>
    <hyperlink ref="A16" r:id="rId21" xr:uid="{EC444777-000E-994A-986D-0D91D784AF39}"/>
    <hyperlink ref="A48" r:id="rId22" xr:uid="{BAE51BBC-BBA3-9F44-9A3B-B37AD575025B}"/>
    <hyperlink ref="A6" r:id="rId23" xr:uid="{6FC3104B-7431-8849-8BB5-8065D00CE9F2}"/>
    <hyperlink ref="A25" r:id="rId24" xr:uid="{FE8CA837-EC6B-424C-A01A-CB01D813B7CD}"/>
    <hyperlink ref="A30" r:id="rId25" xr:uid="{D3EE82A4-8834-BC4F-B81E-59DFFC2F7E5E}"/>
    <hyperlink ref="A31" r:id="rId26" xr:uid="{3ABEADCC-E04E-BB45-BF60-FD9E44E6F80C}"/>
    <hyperlink ref="A60" r:id="rId27" xr:uid="{E0BDA056-4D14-4541-B43D-90D450CFDFF9}"/>
    <hyperlink ref="A7" r:id="rId28" xr:uid="{50F1DE1F-B058-FC4C-B6D0-AE7BE43383F6}"/>
    <hyperlink ref="A24" r:id="rId29" xr:uid="{F9DFF393-16EA-C645-B0BD-09199B7386C8}"/>
    <hyperlink ref="A14" r:id="rId30" xr:uid="{25D4D3B7-FAEB-CD40-85A0-234F42D5C63F}"/>
    <hyperlink ref="A8" r:id="rId31" xr:uid="{D490B00F-4CFF-2749-B9AD-9E9E09047633}"/>
    <hyperlink ref="A9" r:id="rId32" xr:uid="{64CF492D-42B7-5C49-B07E-6347C003738E}"/>
    <hyperlink ref="A59" r:id="rId33" xr:uid="{F566EFD6-6FE5-B64E-89F0-0B196BCD015B}"/>
    <hyperlink ref="A10" r:id="rId34" xr:uid="{D27F1971-4D10-F243-AE77-733064864D15}"/>
    <hyperlink ref="A11" r:id="rId35" xr:uid="{C463A3AC-19B5-1041-B298-8175A6E0F93A}"/>
    <hyperlink ref="A39" r:id="rId36" xr:uid="{1AD853C7-0B32-664A-B5C6-FA4427246B83}"/>
    <hyperlink ref="A12" r:id="rId37" xr:uid="{4EFC9A48-5C0A-264F-8BB9-02F946CBE8C7}"/>
    <hyperlink ref="A44" r:id="rId38" xr:uid="{1A5D9829-4B60-A742-A988-D29D8F46158D}"/>
    <hyperlink ref="A43" r:id="rId39" xr:uid="{8178B8BC-A139-A84C-B6AF-7CDD441BF0A2}"/>
    <hyperlink ref="A27" r:id="rId40" xr:uid="{286EB5C8-39A8-4A46-A7D5-706E87D0C118}"/>
    <hyperlink ref="A53" r:id="rId41" xr:uid="{D3EFC963-7409-E24A-BC03-32859088FE89}"/>
    <hyperlink ref="A41" r:id="rId42" xr:uid="{58CD242F-3DE4-BC4F-8EAD-36D377CF685C}"/>
    <hyperlink ref="A13" r:id="rId43" xr:uid="{19BEE174-C3A1-C241-AEEF-FB6FF1AE7487}"/>
    <hyperlink ref="A46" r:id="rId44" xr:uid="{728EA722-8B1A-D54A-B212-A7539D2E1731}"/>
    <hyperlink ref="A18" r:id="rId45" xr:uid="{9939538A-DCB1-334B-B169-4B5BA552ED5E}"/>
    <hyperlink ref="A15" r:id="rId46" xr:uid="{09691ECC-8CD1-834A-94A8-FF6495A43924}"/>
    <hyperlink ref="A20" r:id="rId47" xr:uid="{C9BE1B78-DFE7-A54A-8D63-1563B885C7FA}"/>
    <hyperlink ref="A21" r:id="rId48" xr:uid="{9FA3D889-F13D-0547-9016-7D24E1ACA00C}"/>
    <hyperlink ref="A22" r:id="rId49" xr:uid="{5F8460BC-98E2-A541-B971-034ABEA48C5C}"/>
    <hyperlink ref="A29" r:id="rId50" xr:uid="{B143CBFA-3919-0642-95C5-A2C756C38AB5}"/>
    <hyperlink ref="A33" r:id="rId51" xr:uid="{596BD6F5-7B0C-214F-9F39-536A9D14CC67}"/>
    <hyperlink ref="A34" r:id="rId52" xr:uid="{1117B0F7-86EF-FB47-A10B-CA834EA9D7CF}"/>
    <hyperlink ref="A35" r:id="rId53" xr:uid="{BA60623D-31F1-D144-A478-4E73A26725C5}"/>
    <hyperlink ref="A37" r:id="rId54" xr:uid="{C36951C2-5704-9149-809D-2A44E96C838A}"/>
    <hyperlink ref="A45" r:id="rId55" xr:uid="{1EE5D0F3-91D6-0941-84D9-BCC4D4A058AE}"/>
    <hyperlink ref="A50" r:id="rId56" xr:uid="{41171A33-0041-DE4B-AFC4-1D97BAE12420}"/>
    <hyperlink ref="A51" r:id="rId57" xr:uid="{ED341C42-509A-5745-AF9E-107CDE317569}"/>
    <hyperlink ref="A54" r:id="rId58" xr:uid="{CF86897A-3990-4143-9F3B-4ECD68A3D6A4}"/>
    <hyperlink ref="A57" r:id="rId59" xr:uid="{CF0D0B53-1540-A74E-8412-87087F492E2C}"/>
    <hyperlink ref="A62" r:id="rId60" xr:uid="{0523DE7C-8FF3-674D-BCBF-2DA4AAF43D1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9AE2C-79D9-204B-993A-81205ABA791A}">
  <dimension ref="A1:H108"/>
  <sheetViews>
    <sheetView workbookViewId="0">
      <selection activeCell="A2" sqref="A2:H108"/>
    </sheetView>
  </sheetViews>
  <sheetFormatPr baseColWidth="10" defaultColWidth="11.5" defaultRowHeight="15" x14ac:dyDescent="0.2"/>
  <sheetData>
    <row r="1" spans="1:8" x14ac:dyDescent="0.2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294</v>
      </c>
      <c r="G1" t="s">
        <v>295</v>
      </c>
      <c r="H1" t="s">
        <v>296</v>
      </c>
    </row>
    <row r="2" spans="1:8" x14ac:dyDescent="0.2">
      <c r="A2" t="s">
        <v>308</v>
      </c>
      <c r="B2" s="27">
        <v>46162.378738425927</v>
      </c>
      <c r="C2">
        <v>9048</v>
      </c>
      <c r="F2" t="s">
        <v>308</v>
      </c>
      <c r="G2">
        <v>1</v>
      </c>
      <c r="H2">
        <v>1</v>
      </c>
    </row>
    <row r="3" spans="1:8" x14ac:dyDescent="0.2">
      <c r="A3" t="s">
        <v>316</v>
      </c>
      <c r="B3" s="27">
        <v>46164.463078703702</v>
      </c>
      <c r="C3">
        <v>9101</v>
      </c>
      <c r="F3" t="s">
        <v>316</v>
      </c>
      <c r="G3">
        <v>1</v>
      </c>
      <c r="H3">
        <v>1</v>
      </c>
    </row>
    <row r="4" spans="1:8" x14ac:dyDescent="0.2">
      <c r="A4" t="s">
        <v>315</v>
      </c>
      <c r="B4" s="27">
        <v>46163.587071759262</v>
      </c>
      <c r="C4">
        <v>9087</v>
      </c>
      <c r="F4" t="s">
        <v>315</v>
      </c>
      <c r="G4">
        <v>1</v>
      </c>
      <c r="H4">
        <v>1</v>
      </c>
    </row>
    <row r="5" spans="1:8" x14ac:dyDescent="0.2">
      <c r="A5" t="s">
        <v>314</v>
      </c>
      <c r="B5" s="27">
        <v>46156.635381944441</v>
      </c>
      <c r="C5">
        <v>8923</v>
      </c>
      <c r="F5" t="s">
        <v>314</v>
      </c>
      <c r="G5">
        <v>1</v>
      </c>
      <c r="H5">
        <v>1</v>
      </c>
    </row>
    <row r="6" spans="1:8" x14ac:dyDescent="0.2">
      <c r="A6" t="s">
        <v>313</v>
      </c>
      <c r="B6" s="27">
        <v>46163.424791666665</v>
      </c>
      <c r="C6">
        <v>9077</v>
      </c>
      <c r="F6" t="s">
        <v>313</v>
      </c>
      <c r="G6">
        <v>1</v>
      </c>
      <c r="H6">
        <v>1</v>
      </c>
    </row>
    <row r="7" spans="1:8" x14ac:dyDescent="0.2">
      <c r="A7" t="s">
        <v>311</v>
      </c>
      <c r="B7" s="27">
        <v>46171.471608796295</v>
      </c>
      <c r="C7">
        <v>9202</v>
      </c>
      <c r="F7" t="s">
        <v>311</v>
      </c>
      <c r="G7">
        <v>1</v>
      </c>
      <c r="H7">
        <v>1</v>
      </c>
    </row>
    <row r="8" spans="1:8" x14ac:dyDescent="0.2">
      <c r="A8" t="s">
        <v>310</v>
      </c>
      <c r="B8" s="27">
        <v>46162.549351851849</v>
      </c>
      <c r="C8">
        <v>9059</v>
      </c>
      <c r="F8" t="s">
        <v>310</v>
      </c>
      <c r="G8">
        <v>1</v>
      </c>
      <c r="H8">
        <v>1</v>
      </c>
    </row>
    <row r="9" spans="1:8" x14ac:dyDescent="0.2">
      <c r="A9" t="s">
        <v>309</v>
      </c>
      <c r="B9" s="27">
        <v>46176.530312499999</v>
      </c>
      <c r="C9">
        <v>9311</v>
      </c>
      <c r="F9" t="s">
        <v>309</v>
      </c>
      <c r="G9">
        <v>3</v>
      </c>
      <c r="H9">
        <v>2</v>
      </c>
    </row>
    <row r="10" spans="1:8" x14ac:dyDescent="0.2">
      <c r="A10" t="s">
        <v>309</v>
      </c>
      <c r="B10" s="27">
        <v>46162.548900462964</v>
      </c>
      <c r="C10">
        <v>9058</v>
      </c>
      <c r="F10" t="s">
        <v>309</v>
      </c>
      <c r="G10">
        <v>3</v>
      </c>
      <c r="H10">
        <v>1</v>
      </c>
    </row>
    <row r="11" spans="1:8" x14ac:dyDescent="0.2">
      <c r="A11" t="s">
        <v>307</v>
      </c>
      <c r="B11" s="27">
        <v>46176.466111111113</v>
      </c>
      <c r="C11">
        <v>9305</v>
      </c>
      <c r="F11" t="s">
        <v>307</v>
      </c>
      <c r="G11">
        <v>1</v>
      </c>
      <c r="H11">
        <v>1</v>
      </c>
    </row>
    <row r="12" spans="1:8" x14ac:dyDescent="0.2">
      <c r="A12" t="s">
        <v>306</v>
      </c>
      <c r="B12" s="27">
        <v>46176.46261574074</v>
      </c>
      <c r="C12">
        <v>9304</v>
      </c>
      <c r="F12" t="s">
        <v>306</v>
      </c>
      <c r="G12">
        <v>1</v>
      </c>
      <c r="H12">
        <v>1</v>
      </c>
    </row>
    <row r="13" spans="1:8" x14ac:dyDescent="0.2">
      <c r="A13" t="s">
        <v>303</v>
      </c>
      <c r="B13" s="27">
        <v>46176.379803240743</v>
      </c>
      <c r="C13">
        <v>9291</v>
      </c>
      <c r="F13" t="s">
        <v>303</v>
      </c>
      <c r="G13">
        <v>1</v>
      </c>
      <c r="H13">
        <v>1</v>
      </c>
    </row>
    <row r="14" spans="1:8" x14ac:dyDescent="0.2">
      <c r="A14" t="s">
        <v>302</v>
      </c>
      <c r="B14" s="27">
        <v>46174.466423611113</v>
      </c>
      <c r="C14">
        <v>9227</v>
      </c>
      <c r="F14" t="s">
        <v>302</v>
      </c>
      <c r="G14">
        <v>1</v>
      </c>
      <c r="H14">
        <v>1</v>
      </c>
    </row>
    <row r="15" spans="1:8" x14ac:dyDescent="0.2">
      <c r="A15" t="s">
        <v>298</v>
      </c>
      <c r="B15" s="27">
        <v>46168.379502314812</v>
      </c>
      <c r="C15">
        <v>9120</v>
      </c>
      <c r="F15" t="s">
        <v>298</v>
      </c>
      <c r="G15">
        <v>1</v>
      </c>
      <c r="H15">
        <v>1</v>
      </c>
    </row>
    <row r="16" spans="1:8" x14ac:dyDescent="0.2">
      <c r="A16" t="s">
        <v>320</v>
      </c>
      <c r="B16" s="27">
        <v>46170.586226851854</v>
      </c>
      <c r="C16">
        <v>9188</v>
      </c>
      <c r="F16" t="s">
        <v>320</v>
      </c>
      <c r="G16">
        <v>1</v>
      </c>
      <c r="H16">
        <v>1</v>
      </c>
    </row>
    <row r="17" spans="1:8" x14ac:dyDescent="0.2">
      <c r="A17" t="s">
        <v>327</v>
      </c>
      <c r="B17" s="27">
        <v>46177.544189814813</v>
      </c>
      <c r="C17">
        <v>9351</v>
      </c>
      <c r="F17" t="s">
        <v>327</v>
      </c>
      <c r="G17">
        <v>1</v>
      </c>
      <c r="H17">
        <v>1</v>
      </c>
    </row>
    <row r="18" spans="1:8" x14ac:dyDescent="0.2">
      <c r="A18" t="s">
        <v>319</v>
      </c>
      <c r="B18" s="27">
        <v>46168.460868055554</v>
      </c>
      <c r="C18">
        <v>9130</v>
      </c>
      <c r="F18" t="s">
        <v>319</v>
      </c>
      <c r="G18">
        <v>1</v>
      </c>
      <c r="H18">
        <v>1</v>
      </c>
    </row>
    <row r="19" spans="1:8" x14ac:dyDescent="0.2">
      <c r="A19" t="s">
        <v>322</v>
      </c>
      <c r="B19" s="27">
        <v>46162.632754629631</v>
      </c>
      <c r="C19">
        <v>9063</v>
      </c>
      <c r="F19" t="s">
        <v>322</v>
      </c>
      <c r="G19">
        <v>1</v>
      </c>
      <c r="H19">
        <v>1</v>
      </c>
    </row>
    <row r="20" spans="1:8" x14ac:dyDescent="0.2">
      <c r="A20" t="s">
        <v>323</v>
      </c>
      <c r="B20" s="27">
        <v>46149.629513888889</v>
      </c>
      <c r="C20">
        <v>8771</v>
      </c>
      <c r="F20" t="s">
        <v>323</v>
      </c>
      <c r="G20">
        <v>1</v>
      </c>
      <c r="H20">
        <v>1</v>
      </c>
    </row>
    <row r="21" spans="1:8" x14ac:dyDescent="0.2">
      <c r="A21" t="s">
        <v>317</v>
      </c>
      <c r="B21" s="27">
        <v>46175.627013888887</v>
      </c>
      <c r="C21">
        <v>9278</v>
      </c>
      <c r="F21" t="s">
        <v>317</v>
      </c>
      <c r="G21">
        <v>1</v>
      </c>
      <c r="H21">
        <v>1</v>
      </c>
    </row>
    <row r="22" spans="1:8" x14ac:dyDescent="0.2">
      <c r="A22" t="s">
        <v>329</v>
      </c>
      <c r="B22" s="27">
        <v>46150.633796296293</v>
      </c>
      <c r="C22">
        <v>8791</v>
      </c>
      <c r="F22" t="s">
        <v>329</v>
      </c>
      <c r="G22">
        <v>1</v>
      </c>
      <c r="H22">
        <v>1</v>
      </c>
    </row>
    <row r="23" spans="1:8" x14ac:dyDescent="0.2">
      <c r="A23" t="s">
        <v>336</v>
      </c>
      <c r="B23" s="27">
        <v>46162.504675925928</v>
      </c>
      <c r="C23">
        <v>9054</v>
      </c>
      <c r="F23" t="s">
        <v>336</v>
      </c>
      <c r="G23">
        <v>1</v>
      </c>
      <c r="H23">
        <v>1</v>
      </c>
    </row>
    <row r="24" spans="1:8" x14ac:dyDescent="0.2">
      <c r="A24" t="s">
        <v>335</v>
      </c>
      <c r="B24" s="27">
        <v>46162.629641203705</v>
      </c>
      <c r="C24">
        <v>9062</v>
      </c>
      <c r="F24" t="s">
        <v>335</v>
      </c>
      <c r="G24">
        <v>2</v>
      </c>
      <c r="H24">
        <v>1</v>
      </c>
    </row>
    <row r="25" spans="1:8" x14ac:dyDescent="0.2">
      <c r="A25" t="s">
        <v>343</v>
      </c>
      <c r="B25" s="27">
        <v>46178.402928240743</v>
      </c>
      <c r="C25">
        <v>9361</v>
      </c>
      <c r="F25" t="s">
        <v>343</v>
      </c>
      <c r="G25">
        <v>1</v>
      </c>
      <c r="H25">
        <v>1</v>
      </c>
    </row>
    <row r="26" spans="1:8" x14ac:dyDescent="0.2">
      <c r="A26" t="s">
        <v>331</v>
      </c>
      <c r="B26" s="27">
        <v>46176.610763888886</v>
      </c>
      <c r="C26">
        <v>9324</v>
      </c>
      <c r="F26" t="s">
        <v>331</v>
      </c>
      <c r="G26">
        <v>1</v>
      </c>
      <c r="H26">
        <v>1</v>
      </c>
    </row>
    <row r="27" spans="1:8" x14ac:dyDescent="0.2">
      <c r="A27" t="s">
        <v>330</v>
      </c>
      <c r="B27" s="27">
        <v>46160.640532407408</v>
      </c>
      <c r="C27">
        <v>8998</v>
      </c>
      <c r="F27" t="s">
        <v>330</v>
      </c>
      <c r="G27">
        <v>1</v>
      </c>
      <c r="H27">
        <v>1</v>
      </c>
    </row>
    <row r="28" spans="1:8" x14ac:dyDescent="0.2">
      <c r="A28" t="s">
        <v>50</v>
      </c>
      <c r="B28" s="27">
        <v>46162.547685185185</v>
      </c>
      <c r="C28">
        <v>9057</v>
      </c>
      <c r="D28">
        <v>20</v>
      </c>
      <c r="E28" t="s">
        <v>51</v>
      </c>
      <c r="F28" t="s">
        <v>50</v>
      </c>
      <c r="G28">
        <v>1</v>
      </c>
      <c r="H28">
        <v>1</v>
      </c>
    </row>
    <row r="29" spans="1:8" x14ac:dyDescent="0.2">
      <c r="A29" t="s">
        <v>340</v>
      </c>
      <c r="B29" s="27">
        <v>46170.544583333336</v>
      </c>
      <c r="C29">
        <v>9185</v>
      </c>
      <c r="D29">
        <v>20</v>
      </c>
      <c r="E29" t="s">
        <v>341</v>
      </c>
      <c r="F29" t="s">
        <v>340</v>
      </c>
      <c r="G29">
        <v>1</v>
      </c>
      <c r="H29">
        <v>1</v>
      </c>
    </row>
    <row r="30" spans="1:8" x14ac:dyDescent="0.2">
      <c r="A30" t="s">
        <v>309</v>
      </c>
      <c r="B30" s="27">
        <v>46176.56653935185</v>
      </c>
      <c r="C30">
        <v>9317</v>
      </c>
      <c r="D30">
        <v>20</v>
      </c>
      <c r="E30" t="s">
        <v>342</v>
      </c>
      <c r="F30" t="s">
        <v>309</v>
      </c>
      <c r="G30">
        <v>3</v>
      </c>
      <c r="H30">
        <v>3</v>
      </c>
    </row>
    <row r="31" spans="1:8" x14ac:dyDescent="0.2">
      <c r="A31" t="s">
        <v>96</v>
      </c>
      <c r="B31" s="27">
        <v>46170.384606481479</v>
      </c>
      <c r="C31">
        <v>9173</v>
      </c>
      <c r="D31">
        <v>22</v>
      </c>
      <c r="E31" t="s">
        <v>97</v>
      </c>
      <c r="F31" t="s">
        <v>96</v>
      </c>
      <c r="G31">
        <v>1</v>
      </c>
      <c r="H31">
        <v>1</v>
      </c>
    </row>
    <row r="32" spans="1:8" x14ac:dyDescent="0.2">
      <c r="A32" t="s">
        <v>36</v>
      </c>
      <c r="B32" s="27">
        <v>46162.282094907408</v>
      </c>
      <c r="C32">
        <v>9044</v>
      </c>
      <c r="D32">
        <v>22</v>
      </c>
      <c r="E32" t="s">
        <v>37</v>
      </c>
      <c r="F32" t="s">
        <v>36</v>
      </c>
      <c r="G32">
        <v>1</v>
      </c>
      <c r="H32">
        <v>1</v>
      </c>
    </row>
    <row r="33" spans="1:8" x14ac:dyDescent="0.2">
      <c r="A33" t="s">
        <v>20</v>
      </c>
      <c r="B33" s="27">
        <v>46160.548657407409</v>
      </c>
      <c r="C33">
        <v>8986</v>
      </c>
      <c r="D33">
        <v>23</v>
      </c>
      <c r="E33" t="s">
        <v>21</v>
      </c>
      <c r="F33" t="s">
        <v>20</v>
      </c>
      <c r="G33">
        <v>1</v>
      </c>
      <c r="H33">
        <v>1</v>
      </c>
    </row>
    <row r="34" spans="1:8" x14ac:dyDescent="0.2">
      <c r="A34" t="s">
        <v>70</v>
      </c>
      <c r="B34" s="27">
        <v>46164.545266203706</v>
      </c>
      <c r="C34">
        <v>9107</v>
      </c>
      <c r="D34">
        <v>23</v>
      </c>
      <c r="E34" t="s">
        <v>71</v>
      </c>
      <c r="F34" t="s">
        <v>70</v>
      </c>
      <c r="G34">
        <v>1</v>
      </c>
      <c r="H34">
        <v>1</v>
      </c>
    </row>
    <row r="35" spans="1:8" x14ac:dyDescent="0.2">
      <c r="A35" t="s">
        <v>347</v>
      </c>
      <c r="B35" s="27">
        <v>46175.630868055552</v>
      </c>
      <c r="C35">
        <v>9280</v>
      </c>
      <c r="D35">
        <v>23</v>
      </c>
      <c r="E35" t="s">
        <v>348</v>
      </c>
      <c r="F35" t="s">
        <v>347</v>
      </c>
      <c r="G35">
        <v>1</v>
      </c>
      <c r="H35">
        <v>1</v>
      </c>
    </row>
    <row r="36" spans="1:8" x14ac:dyDescent="0.2">
      <c r="A36" t="s">
        <v>349</v>
      </c>
      <c r="B36" s="27">
        <v>46175.456701388888</v>
      </c>
      <c r="C36">
        <v>9258</v>
      </c>
      <c r="D36">
        <v>23</v>
      </c>
      <c r="E36" t="s">
        <v>350</v>
      </c>
      <c r="F36" t="s">
        <v>349</v>
      </c>
      <c r="G36">
        <v>1</v>
      </c>
      <c r="H36">
        <v>1</v>
      </c>
    </row>
    <row r="37" spans="1:8" x14ac:dyDescent="0.2">
      <c r="A37" t="s">
        <v>28</v>
      </c>
      <c r="B37" s="27">
        <v>46161.462835648148</v>
      </c>
      <c r="C37">
        <v>9025</v>
      </c>
      <c r="D37">
        <v>24</v>
      </c>
      <c r="E37" t="s">
        <v>29</v>
      </c>
      <c r="F37" t="s">
        <v>28</v>
      </c>
      <c r="G37">
        <v>1</v>
      </c>
      <c r="H37">
        <v>1</v>
      </c>
    </row>
    <row r="38" spans="1:8" x14ac:dyDescent="0.2">
      <c r="A38" t="s">
        <v>90</v>
      </c>
      <c r="B38" s="27">
        <v>46169.463946759257</v>
      </c>
      <c r="C38">
        <v>9155</v>
      </c>
      <c r="D38">
        <v>24</v>
      </c>
      <c r="E38" t="s">
        <v>91</v>
      </c>
      <c r="F38" t="s">
        <v>90</v>
      </c>
      <c r="G38">
        <v>1</v>
      </c>
      <c r="H38">
        <v>1</v>
      </c>
    </row>
    <row r="39" spans="1:8" x14ac:dyDescent="0.2">
      <c r="A39" t="s">
        <v>356</v>
      </c>
      <c r="B39" s="27">
        <v>46175.506284722222</v>
      </c>
      <c r="C39">
        <v>9267</v>
      </c>
      <c r="D39">
        <v>24</v>
      </c>
      <c r="E39" t="s">
        <v>357</v>
      </c>
      <c r="F39" t="s">
        <v>356</v>
      </c>
      <c r="G39">
        <v>1</v>
      </c>
      <c r="H39">
        <v>1</v>
      </c>
    </row>
    <row r="40" spans="1:8" x14ac:dyDescent="0.2">
      <c r="A40" t="s">
        <v>98</v>
      </c>
      <c r="B40" s="27">
        <v>46170.420185185183</v>
      </c>
      <c r="C40">
        <v>9175</v>
      </c>
      <c r="D40">
        <v>24</v>
      </c>
      <c r="E40" t="s">
        <v>99</v>
      </c>
      <c r="F40" t="s">
        <v>98</v>
      </c>
      <c r="G40">
        <v>1</v>
      </c>
      <c r="H40">
        <v>1</v>
      </c>
    </row>
    <row r="41" spans="1:8" x14ac:dyDescent="0.2">
      <c r="A41" t="s">
        <v>358</v>
      </c>
      <c r="B41" s="27">
        <v>46177.634942129633</v>
      </c>
      <c r="C41">
        <v>9355</v>
      </c>
      <c r="D41">
        <v>24</v>
      </c>
      <c r="E41" t="s">
        <v>359</v>
      </c>
      <c r="F41" t="s">
        <v>358</v>
      </c>
      <c r="G41">
        <v>1</v>
      </c>
      <c r="H41">
        <v>1</v>
      </c>
    </row>
    <row r="42" spans="1:8" x14ac:dyDescent="0.2">
      <c r="A42" t="s">
        <v>100</v>
      </c>
      <c r="B42" s="27">
        <v>46170.420312499999</v>
      </c>
      <c r="C42">
        <v>9176</v>
      </c>
      <c r="D42">
        <v>25</v>
      </c>
      <c r="E42" t="s">
        <v>101</v>
      </c>
      <c r="F42" t="s">
        <v>100</v>
      </c>
      <c r="G42">
        <v>1</v>
      </c>
      <c r="H42">
        <v>1</v>
      </c>
    </row>
    <row r="43" spans="1:8" x14ac:dyDescent="0.2">
      <c r="A43" t="s">
        <v>18</v>
      </c>
      <c r="B43" s="27">
        <v>46160.423645833333</v>
      </c>
      <c r="C43">
        <v>8974</v>
      </c>
      <c r="D43">
        <v>25</v>
      </c>
      <c r="E43" t="s">
        <v>19</v>
      </c>
      <c r="F43" t="s">
        <v>18</v>
      </c>
      <c r="G43">
        <v>1</v>
      </c>
      <c r="H43">
        <v>1</v>
      </c>
    </row>
    <row r="44" spans="1:8" x14ac:dyDescent="0.2">
      <c r="A44" t="s">
        <v>5</v>
      </c>
      <c r="B44" s="27">
        <v>46153.471828703703</v>
      </c>
      <c r="C44">
        <v>8817</v>
      </c>
      <c r="D44">
        <v>26</v>
      </c>
      <c r="E44" t="s">
        <v>9</v>
      </c>
      <c r="F44" t="s">
        <v>5</v>
      </c>
      <c r="G44">
        <v>2</v>
      </c>
      <c r="H44">
        <v>2</v>
      </c>
    </row>
    <row r="45" spans="1:8" x14ac:dyDescent="0.2">
      <c r="A45" t="s">
        <v>48</v>
      </c>
      <c r="B45" s="27">
        <v>46162.544594907406</v>
      </c>
      <c r="C45">
        <v>9056</v>
      </c>
      <c r="D45">
        <v>26</v>
      </c>
      <c r="E45" t="s">
        <v>49</v>
      </c>
      <c r="F45" t="s">
        <v>48</v>
      </c>
      <c r="G45">
        <v>1</v>
      </c>
      <c r="H45">
        <v>1</v>
      </c>
    </row>
    <row r="46" spans="1:8" x14ac:dyDescent="0.2">
      <c r="A46" t="s">
        <v>40</v>
      </c>
      <c r="B46" s="27">
        <v>46162.425763888888</v>
      </c>
      <c r="C46">
        <v>9050</v>
      </c>
      <c r="D46">
        <v>26</v>
      </c>
      <c r="E46" t="s">
        <v>41</v>
      </c>
      <c r="F46" t="s">
        <v>40</v>
      </c>
      <c r="G46">
        <v>1</v>
      </c>
      <c r="H46">
        <v>1</v>
      </c>
    </row>
    <row r="47" spans="1:8" x14ac:dyDescent="0.2">
      <c r="A47" t="s">
        <v>16</v>
      </c>
      <c r="B47" s="27">
        <v>46157.338113425925</v>
      </c>
      <c r="C47">
        <v>8930</v>
      </c>
      <c r="D47">
        <v>26</v>
      </c>
      <c r="E47" t="s">
        <v>17</v>
      </c>
      <c r="F47" t="s">
        <v>16</v>
      </c>
      <c r="G47">
        <v>1</v>
      </c>
      <c r="H47">
        <v>1</v>
      </c>
    </row>
    <row r="48" spans="1:8" x14ac:dyDescent="0.2">
      <c r="A48" t="s">
        <v>368</v>
      </c>
      <c r="B48" s="27">
        <v>46175.50880787037</v>
      </c>
      <c r="C48">
        <v>9268</v>
      </c>
      <c r="D48">
        <v>27</v>
      </c>
      <c r="E48" t="s">
        <v>369</v>
      </c>
      <c r="F48" t="s">
        <v>368</v>
      </c>
      <c r="G48">
        <v>1</v>
      </c>
      <c r="H48">
        <v>1</v>
      </c>
    </row>
    <row r="49" spans="1:8" x14ac:dyDescent="0.2">
      <c r="A49" t="s">
        <v>370</v>
      </c>
      <c r="B49" s="27">
        <v>46174.506388888891</v>
      </c>
      <c r="C49">
        <v>9228</v>
      </c>
      <c r="D49">
        <v>27</v>
      </c>
      <c r="E49" t="s">
        <v>371</v>
      </c>
      <c r="F49" t="s">
        <v>370</v>
      </c>
      <c r="G49">
        <v>1</v>
      </c>
      <c r="H49">
        <v>1</v>
      </c>
    </row>
    <row r="50" spans="1:8" x14ac:dyDescent="0.2">
      <c r="A50" t="s">
        <v>60</v>
      </c>
      <c r="B50" s="27">
        <v>46163.503194444442</v>
      </c>
      <c r="C50">
        <v>9083</v>
      </c>
      <c r="D50">
        <v>27</v>
      </c>
      <c r="E50" t="s">
        <v>61</v>
      </c>
      <c r="F50" t="s">
        <v>60</v>
      </c>
      <c r="G50">
        <v>1</v>
      </c>
      <c r="H50">
        <v>1</v>
      </c>
    </row>
    <row r="51" spans="1:8" x14ac:dyDescent="0.2">
      <c r="A51" t="s">
        <v>34</v>
      </c>
      <c r="B51" s="27">
        <v>46161.58934027778</v>
      </c>
      <c r="C51">
        <v>9033</v>
      </c>
      <c r="D51">
        <v>27</v>
      </c>
      <c r="E51" t="s">
        <v>35</v>
      </c>
      <c r="F51" t="s">
        <v>34</v>
      </c>
      <c r="G51">
        <v>1</v>
      </c>
      <c r="H51">
        <v>1</v>
      </c>
    </row>
    <row r="52" spans="1:8" x14ac:dyDescent="0.2">
      <c r="A52" t="s">
        <v>88</v>
      </c>
      <c r="B52" s="27">
        <v>46169.445694444446</v>
      </c>
      <c r="C52">
        <v>9154</v>
      </c>
      <c r="D52">
        <v>27</v>
      </c>
      <c r="E52" t="s">
        <v>89</v>
      </c>
      <c r="F52" t="s">
        <v>88</v>
      </c>
      <c r="G52">
        <v>1</v>
      </c>
      <c r="H52">
        <v>1</v>
      </c>
    </row>
    <row r="53" spans="1:8" x14ac:dyDescent="0.2">
      <c r="A53" t="s">
        <v>374</v>
      </c>
      <c r="B53" s="27">
        <v>46175.421712962961</v>
      </c>
      <c r="C53">
        <v>9257</v>
      </c>
      <c r="D53">
        <v>27</v>
      </c>
      <c r="E53" t="s">
        <v>375</v>
      </c>
      <c r="F53" t="s">
        <v>374</v>
      </c>
      <c r="G53">
        <v>1</v>
      </c>
      <c r="H53">
        <v>1</v>
      </c>
    </row>
    <row r="54" spans="1:8" x14ac:dyDescent="0.2">
      <c r="A54" t="s">
        <v>378</v>
      </c>
      <c r="B54" s="27">
        <v>46170.637465277781</v>
      </c>
      <c r="C54">
        <v>9191</v>
      </c>
      <c r="D54">
        <v>28</v>
      </c>
      <c r="E54" t="s">
        <v>379</v>
      </c>
      <c r="F54" t="s">
        <v>378</v>
      </c>
      <c r="G54">
        <v>1</v>
      </c>
      <c r="H54">
        <v>1</v>
      </c>
    </row>
    <row r="55" spans="1:8" x14ac:dyDescent="0.2">
      <c r="A55" t="s">
        <v>384</v>
      </c>
      <c r="B55" s="27">
        <v>46175.547256944446</v>
      </c>
      <c r="C55">
        <v>9273</v>
      </c>
      <c r="D55">
        <v>28</v>
      </c>
      <c r="E55" t="s">
        <v>383</v>
      </c>
      <c r="F55" t="s">
        <v>384</v>
      </c>
      <c r="G55">
        <v>1</v>
      </c>
      <c r="H55">
        <v>1</v>
      </c>
    </row>
    <row r="56" spans="1:8" x14ac:dyDescent="0.2">
      <c r="A56" t="s">
        <v>42</v>
      </c>
      <c r="B56" s="27">
        <v>46162.462118055555</v>
      </c>
      <c r="C56">
        <v>9051</v>
      </c>
      <c r="D56">
        <v>29</v>
      </c>
      <c r="E56" t="s">
        <v>43</v>
      </c>
      <c r="F56" t="s">
        <v>42</v>
      </c>
      <c r="G56">
        <v>1</v>
      </c>
      <c r="H56">
        <v>1</v>
      </c>
    </row>
    <row r="57" spans="1:8" x14ac:dyDescent="0.2">
      <c r="A57" t="s">
        <v>385</v>
      </c>
      <c r="B57" s="27">
        <v>46177.670243055552</v>
      </c>
      <c r="C57">
        <v>9357</v>
      </c>
      <c r="D57">
        <v>29</v>
      </c>
      <c r="E57" t="s">
        <v>386</v>
      </c>
      <c r="F57" t="s">
        <v>385</v>
      </c>
      <c r="G57">
        <v>1</v>
      </c>
      <c r="H57">
        <v>1</v>
      </c>
    </row>
    <row r="58" spans="1:8" x14ac:dyDescent="0.2">
      <c r="A58" t="s">
        <v>389</v>
      </c>
      <c r="B58" s="27">
        <v>46171.389502314814</v>
      </c>
      <c r="C58">
        <v>9196</v>
      </c>
      <c r="D58">
        <v>29</v>
      </c>
      <c r="E58" t="s">
        <v>390</v>
      </c>
      <c r="F58" t="s">
        <v>389</v>
      </c>
      <c r="G58">
        <v>1</v>
      </c>
      <c r="H58">
        <v>1</v>
      </c>
    </row>
    <row r="59" spans="1:8" x14ac:dyDescent="0.2">
      <c r="A59" t="s">
        <v>44</v>
      </c>
      <c r="B59" s="27">
        <v>46162.462835648148</v>
      </c>
      <c r="C59">
        <v>9052</v>
      </c>
      <c r="D59">
        <v>30</v>
      </c>
      <c r="E59" t="s">
        <v>45</v>
      </c>
      <c r="F59" t="s">
        <v>44</v>
      </c>
      <c r="G59">
        <v>1</v>
      </c>
      <c r="H59">
        <v>1</v>
      </c>
    </row>
    <row r="60" spans="1:8" x14ac:dyDescent="0.2">
      <c r="A60" t="s">
        <v>12</v>
      </c>
      <c r="B60" s="27">
        <v>46154.588506944441</v>
      </c>
      <c r="C60">
        <v>8860</v>
      </c>
      <c r="D60">
        <v>30</v>
      </c>
      <c r="E60" t="s">
        <v>13</v>
      </c>
      <c r="F60" t="s">
        <v>12</v>
      </c>
      <c r="G60">
        <v>1</v>
      </c>
      <c r="H60">
        <v>1</v>
      </c>
    </row>
    <row r="61" spans="1:8" x14ac:dyDescent="0.2">
      <c r="A61" t="s">
        <v>76</v>
      </c>
      <c r="B61" s="27">
        <v>46164.708252314813</v>
      </c>
      <c r="C61">
        <v>9112</v>
      </c>
      <c r="D61">
        <v>30</v>
      </c>
      <c r="E61" t="s">
        <v>77</v>
      </c>
      <c r="F61" t="s">
        <v>76</v>
      </c>
      <c r="G61">
        <v>1</v>
      </c>
      <c r="H61">
        <v>1</v>
      </c>
    </row>
    <row r="62" spans="1:8" x14ac:dyDescent="0.2">
      <c r="A62" t="s">
        <v>391</v>
      </c>
      <c r="B62" s="27">
        <v>46177.512048611112</v>
      </c>
      <c r="C62">
        <v>9349</v>
      </c>
      <c r="D62">
        <v>30</v>
      </c>
      <c r="E62" t="s">
        <v>392</v>
      </c>
      <c r="F62" t="s">
        <v>391</v>
      </c>
      <c r="G62">
        <v>1</v>
      </c>
      <c r="H62">
        <v>1</v>
      </c>
    </row>
    <row r="63" spans="1:8" x14ac:dyDescent="0.2">
      <c r="A63" t="s">
        <v>102</v>
      </c>
      <c r="B63" s="27">
        <v>46170.420601851853</v>
      </c>
      <c r="C63">
        <v>9177</v>
      </c>
      <c r="D63">
        <v>30</v>
      </c>
      <c r="E63" t="s">
        <v>103</v>
      </c>
      <c r="F63" t="s">
        <v>102</v>
      </c>
      <c r="G63">
        <v>1</v>
      </c>
      <c r="H63">
        <v>1</v>
      </c>
    </row>
    <row r="64" spans="1:8" x14ac:dyDescent="0.2">
      <c r="A64" t="s">
        <v>393</v>
      </c>
      <c r="B64" s="27">
        <v>46176.469710648147</v>
      </c>
      <c r="C64">
        <v>9306</v>
      </c>
      <c r="D64">
        <v>30</v>
      </c>
      <c r="E64" t="s">
        <v>394</v>
      </c>
      <c r="F64" t="s">
        <v>393</v>
      </c>
      <c r="G64">
        <v>1</v>
      </c>
      <c r="H64">
        <v>1</v>
      </c>
    </row>
    <row r="65" spans="1:8" x14ac:dyDescent="0.2">
      <c r="A65" t="s">
        <v>74</v>
      </c>
      <c r="B65" s="27">
        <v>46164.589398148149</v>
      </c>
      <c r="C65">
        <v>9109</v>
      </c>
      <c r="D65">
        <v>31</v>
      </c>
      <c r="E65" t="s">
        <v>75</v>
      </c>
      <c r="F65" t="s">
        <v>74</v>
      </c>
      <c r="G65">
        <v>1</v>
      </c>
      <c r="H65">
        <v>1</v>
      </c>
    </row>
    <row r="66" spans="1:8" x14ac:dyDescent="0.2">
      <c r="A66" t="s">
        <v>72</v>
      </c>
      <c r="B66" s="27">
        <v>46164.552025462966</v>
      </c>
      <c r="C66">
        <v>9108</v>
      </c>
      <c r="D66">
        <v>31</v>
      </c>
      <c r="E66" t="s">
        <v>73</v>
      </c>
      <c r="F66" t="s">
        <v>72</v>
      </c>
      <c r="G66">
        <v>1</v>
      </c>
      <c r="H66">
        <v>1</v>
      </c>
    </row>
    <row r="67" spans="1:8" x14ac:dyDescent="0.2">
      <c r="A67" t="s">
        <v>80</v>
      </c>
      <c r="B67" s="27">
        <v>46168.380659722221</v>
      </c>
      <c r="C67">
        <v>9121</v>
      </c>
      <c r="D67">
        <v>32</v>
      </c>
      <c r="E67" t="s">
        <v>81</v>
      </c>
      <c r="F67" t="s">
        <v>80</v>
      </c>
      <c r="G67">
        <v>1</v>
      </c>
      <c r="H67">
        <v>1</v>
      </c>
    </row>
    <row r="68" spans="1:8" x14ac:dyDescent="0.2">
      <c r="A68" t="s">
        <v>395</v>
      </c>
      <c r="B68" s="27">
        <v>46175.505335648151</v>
      </c>
      <c r="C68">
        <v>9266</v>
      </c>
      <c r="D68">
        <v>32</v>
      </c>
      <c r="E68" t="s">
        <v>396</v>
      </c>
      <c r="F68" t="s">
        <v>395</v>
      </c>
      <c r="G68">
        <v>1</v>
      </c>
      <c r="H68">
        <v>1</v>
      </c>
    </row>
    <row r="69" spans="1:8" x14ac:dyDescent="0.2">
      <c r="A69" t="s">
        <v>397</v>
      </c>
      <c r="B69" s="27">
        <v>46170.511307870373</v>
      </c>
      <c r="C69">
        <v>9183</v>
      </c>
      <c r="D69">
        <v>32</v>
      </c>
      <c r="E69" t="s">
        <v>398</v>
      </c>
      <c r="F69" t="s">
        <v>397</v>
      </c>
      <c r="G69">
        <v>1</v>
      </c>
      <c r="H69">
        <v>1</v>
      </c>
    </row>
    <row r="70" spans="1:8" x14ac:dyDescent="0.2">
      <c r="A70" t="s">
        <v>24</v>
      </c>
      <c r="B70" s="27">
        <v>46160.634398148148</v>
      </c>
      <c r="C70">
        <v>8997</v>
      </c>
      <c r="D70">
        <v>32</v>
      </c>
      <c r="E70" t="s">
        <v>25</v>
      </c>
      <c r="F70" t="s">
        <v>24</v>
      </c>
      <c r="G70">
        <v>1</v>
      </c>
      <c r="H70">
        <v>1</v>
      </c>
    </row>
    <row r="71" spans="1:8" x14ac:dyDescent="0.2">
      <c r="A71" t="s">
        <v>54</v>
      </c>
      <c r="B71" s="27">
        <v>46163.342870370368</v>
      </c>
      <c r="C71">
        <v>9071</v>
      </c>
      <c r="D71">
        <v>32</v>
      </c>
      <c r="E71" t="s">
        <v>55</v>
      </c>
      <c r="F71" t="s">
        <v>54</v>
      </c>
      <c r="G71">
        <v>1</v>
      </c>
      <c r="H71">
        <v>1</v>
      </c>
    </row>
    <row r="72" spans="1:8" x14ac:dyDescent="0.2">
      <c r="A72" t="s">
        <v>5</v>
      </c>
      <c r="B72" s="27">
        <v>46148.474872685183</v>
      </c>
      <c r="C72">
        <v>8729</v>
      </c>
      <c r="D72">
        <v>32</v>
      </c>
      <c r="E72" t="s">
        <v>6</v>
      </c>
      <c r="F72" t="s">
        <v>5</v>
      </c>
      <c r="G72">
        <v>2</v>
      </c>
      <c r="H72">
        <v>1</v>
      </c>
    </row>
    <row r="73" spans="1:8" x14ac:dyDescent="0.2">
      <c r="A73" t="s">
        <v>62</v>
      </c>
      <c r="B73" s="27">
        <v>46163.506990740738</v>
      </c>
      <c r="C73">
        <v>9084</v>
      </c>
      <c r="D73">
        <v>33</v>
      </c>
      <c r="E73" t="s">
        <v>63</v>
      </c>
      <c r="F73" t="s">
        <v>62</v>
      </c>
      <c r="G73">
        <v>1</v>
      </c>
      <c r="H73">
        <v>1</v>
      </c>
    </row>
    <row r="74" spans="1:8" x14ac:dyDescent="0.2">
      <c r="A74" t="s">
        <v>401</v>
      </c>
      <c r="B74" s="27">
        <v>46174.465208333335</v>
      </c>
      <c r="C74">
        <v>9226</v>
      </c>
      <c r="D74">
        <v>33</v>
      </c>
      <c r="E74" t="s">
        <v>402</v>
      </c>
      <c r="F74" t="s">
        <v>401</v>
      </c>
      <c r="G74">
        <v>1</v>
      </c>
      <c r="H74">
        <v>1</v>
      </c>
    </row>
    <row r="75" spans="1:8" x14ac:dyDescent="0.2">
      <c r="A75" t="s">
        <v>22</v>
      </c>
      <c r="B75" s="27">
        <v>46160.586643518516</v>
      </c>
      <c r="C75">
        <v>8993</v>
      </c>
      <c r="D75">
        <v>33</v>
      </c>
      <c r="E75" t="s">
        <v>23</v>
      </c>
      <c r="F75" t="s">
        <v>22</v>
      </c>
      <c r="G75">
        <v>1</v>
      </c>
      <c r="H75">
        <v>1</v>
      </c>
    </row>
    <row r="76" spans="1:8" x14ac:dyDescent="0.2">
      <c r="A76" t="s">
        <v>403</v>
      </c>
      <c r="B76" s="27">
        <v>46177.504363425927</v>
      </c>
      <c r="C76">
        <v>9348</v>
      </c>
      <c r="D76">
        <v>33</v>
      </c>
      <c r="E76" t="s">
        <v>404</v>
      </c>
      <c r="F76" t="s">
        <v>403</v>
      </c>
      <c r="G76">
        <v>1</v>
      </c>
      <c r="H76">
        <v>1</v>
      </c>
    </row>
    <row r="77" spans="1:8" x14ac:dyDescent="0.2">
      <c r="A77" t="s">
        <v>405</v>
      </c>
      <c r="B77" s="27">
        <v>46176.42087962963</v>
      </c>
      <c r="C77">
        <v>9298</v>
      </c>
      <c r="D77">
        <v>33</v>
      </c>
      <c r="E77" t="s">
        <v>406</v>
      </c>
      <c r="F77" t="s">
        <v>405</v>
      </c>
      <c r="G77">
        <v>1</v>
      </c>
      <c r="H77">
        <v>1</v>
      </c>
    </row>
    <row r="78" spans="1:8" x14ac:dyDescent="0.2">
      <c r="A78" t="s">
        <v>58</v>
      </c>
      <c r="B78" s="27">
        <v>46163.493356481478</v>
      </c>
      <c r="C78">
        <v>9082</v>
      </c>
      <c r="D78">
        <v>33</v>
      </c>
      <c r="E78" t="s">
        <v>59</v>
      </c>
      <c r="F78" t="s">
        <v>58</v>
      </c>
      <c r="G78">
        <v>1</v>
      </c>
      <c r="H78">
        <v>1</v>
      </c>
    </row>
    <row r="79" spans="1:8" x14ac:dyDescent="0.2">
      <c r="A79" t="s">
        <v>56</v>
      </c>
      <c r="B79" s="27">
        <v>46163.465266203704</v>
      </c>
      <c r="C79">
        <v>9080</v>
      </c>
      <c r="D79">
        <v>34</v>
      </c>
      <c r="E79" t="s">
        <v>57</v>
      </c>
      <c r="F79" t="s">
        <v>56</v>
      </c>
      <c r="G79">
        <v>1</v>
      </c>
      <c r="H79">
        <v>1</v>
      </c>
    </row>
    <row r="80" spans="1:8" x14ac:dyDescent="0.2">
      <c r="A80" t="s">
        <v>78</v>
      </c>
      <c r="B80" s="27">
        <v>46168.277141203704</v>
      </c>
      <c r="C80">
        <v>9115</v>
      </c>
      <c r="D80">
        <v>34</v>
      </c>
      <c r="E80" t="s">
        <v>79</v>
      </c>
      <c r="F80" t="s">
        <v>78</v>
      </c>
      <c r="G80">
        <v>1</v>
      </c>
      <c r="H80">
        <v>1</v>
      </c>
    </row>
    <row r="81" spans="1:8" x14ac:dyDescent="0.2">
      <c r="A81" t="s">
        <v>66</v>
      </c>
      <c r="B81" s="27">
        <v>46164.318298611113</v>
      </c>
      <c r="C81">
        <v>9096</v>
      </c>
      <c r="D81">
        <v>35</v>
      </c>
      <c r="E81" t="s">
        <v>67</v>
      </c>
      <c r="F81" t="s">
        <v>66</v>
      </c>
      <c r="G81">
        <v>1</v>
      </c>
      <c r="H81">
        <v>1</v>
      </c>
    </row>
    <row r="82" spans="1:8" x14ac:dyDescent="0.2">
      <c r="A82" t="s">
        <v>411</v>
      </c>
      <c r="B82" s="27">
        <v>46174.508981481478</v>
      </c>
      <c r="C82">
        <v>9229</v>
      </c>
      <c r="D82">
        <v>35</v>
      </c>
      <c r="E82" t="s">
        <v>412</v>
      </c>
      <c r="F82" t="s">
        <v>411</v>
      </c>
      <c r="G82">
        <v>1</v>
      </c>
      <c r="H82">
        <v>1</v>
      </c>
    </row>
    <row r="83" spans="1:8" x14ac:dyDescent="0.2">
      <c r="A83" t="s">
        <v>414</v>
      </c>
      <c r="B83" s="27">
        <v>46170.630555555559</v>
      </c>
      <c r="C83">
        <v>9190</v>
      </c>
      <c r="D83">
        <v>35</v>
      </c>
      <c r="E83" t="s">
        <v>415</v>
      </c>
      <c r="F83" t="s">
        <v>414</v>
      </c>
      <c r="G83">
        <v>1</v>
      </c>
      <c r="H83">
        <v>1</v>
      </c>
    </row>
    <row r="84" spans="1:8" x14ac:dyDescent="0.2">
      <c r="A84" t="s">
        <v>10</v>
      </c>
      <c r="B84" s="27">
        <v>46154.469317129631</v>
      </c>
      <c r="C84">
        <v>8851</v>
      </c>
      <c r="D84">
        <v>35</v>
      </c>
      <c r="E84" t="s">
        <v>11</v>
      </c>
      <c r="F84" t="s">
        <v>10</v>
      </c>
      <c r="G84">
        <v>1</v>
      </c>
      <c r="H84">
        <v>1</v>
      </c>
    </row>
    <row r="85" spans="1:8" x14ac:dyDescent="0.2">
      <c r="A85" t="s">
        <v>38</v>
      </c>
      <c r="B85" s="27">
        <v>46162.362164351849</v>
      </c>
      <c r="C85">
        <v>9046</v>
      </c>
      <c r="D85">
        <v>35</v>
      </c>
      <c r="E85" t="s">
        <v>39</v>
      </c>
      <c r="F85" t="s">
        <v>38</v>
      </c>
      <c r="G85">
        <v>1</v>
      </c>
      <c r="H85">
        <v>1</v>
      </c>
    </row>
    <row r="86" spans="1:8" x14ac:dyDescent="0.2">
      <c r="A86" t="s">
        <v>68</v>
      </c>
      <c r="B86" s="27">
        <v>46164.464189814818</v>
      </c>
      <c r="C86">
        <v>9103</v>
      </c>
      <c r="D86">
        <v>36</v>
      </c>
      <c r="E86" t="s">
        <v>69</v>
      </c>
      <c r="F86" t="s">
        <v>68</v>
      </c>
      <c r="G86">
        <v>1</v>
      </c>
      <c r="H86">
        <v>1</v>
      </c>
    </row>
    <row r="87" spans="1:8" x14ac:dyDescent="0.2">
      <c r="A87" t="s">
        <v>94</v>
      </c>
      <c r="B87" s="27">
        <v>46170.340555555558</v>
      </c>
      <c r="C87">
        <v>9171</v>
      </c>
      <c r="D87">
        <v>36</v>
      </c>
      <c r="E87" t="s">
        <v>95</v>
      </c>
      <c r="F87" t="s">
        <v>94</v>
      </c>
      <c r="G87">
        <v>1</v>
      </c>
      <c r="H87">
        <v>1</v>
      </c>
    </row>
    <row r="88" spans="1:8" x14ac:dyDescent="0.2">
      <c r="A88" t="s">
        <v>92</v>
      </c>
      <c r="B88" s="27">
        <v>46169.509791666664</v>
      </c>
      <c r="C88">
        <v>9159</v>
      </c>
      <c r="D88">
        <v>36</v>
      </c>
      <c r="E88" t="s">
        <v>93</v>
      </c>
      <c r="F88" t="s">
        <v>92</v>
      </c>
      <c r="G88">
        <v>1</v>
      </c>
      <c r="H88">
        <v>1</v>
      </c>
    </row>
    <row r="89" spans="1:8" x14ac:dyDescent="0.2">
      <c r="A89" t="s">
        <v>424</v>
      </c>
      <c r="B89" s="27">
        <v>46174.547893518517</v>
      </c>
      <c r="C89">
        <v>9234</v>
      </c>
      <c r="D89">
        <v>37</v>
      </c>
      <c r="E89" t="s">
        <v>425</v>
      </c>
      <c r="F89" t="s">
        <v>424</v>
      </c>
      <c r="G89">
        <v>1</v>
      </c>
      <c r="H89">
        <v>1</v>
      </c>
    </row>
    <row r="90" spans="1:8" x14ac:dyDescent="0.2">
      <c r="A90" t="s">
        <v>429</v>
      </c>
      <c r="B90" s="27">
        <v>46174.554710648146</v>
      </c>
      <c r="C90">
        <v>9235</v>
      </c>
      <c r="D90">
        <v>37</v>
      </c>
      <c r="E90" t="s">
        <v>430</v>
      </c>
      <c r="F90" t="s">
        <v>429</v>
      </c>
      <c r="G90">
        <v>1</v>
      </c>
      <c r="H90">
        <v>1</v>
      </c>
    </row>
    <row r="91" spans="1:8" x14ac:dyDescent="0.2">
      <c r="A91" t="s">
        <v>14</v>
      </c>
      <c r="B91" s="27">
        <v>46156.380358796298</v>
      </c>
      <c r="C91">
        <v>8902</v>
      </c>
      <c r="D91">
        <v>38</v>
      </c>
      <c r="E91" t="s">
        <v>15</v>
      </c>
      <c r="F91" t="s">
        <v>14</v>
      </c>
      <c r="G91">
        <v>1</v>
      </c>
      <c r="H91">
        <v>1</v>
      </c>
    </row>
    <row r="92" spans="1:8" x14ac:dyDescent="0.2">
      <c r="A92" t="s">
        <v>431</v>
      </c>
      <c r="B92" s="27">
        <v>46175.511250000003</v>
      </c>
      <c r="C92">
        <v>9270</v>
      </c>
      <c r="D92">
        <v>38</v>
      </c>
      <c r="E92" t="s">
        <v>432</v>
      </c>
      <c r="F92" t="s">
        <v>431</v>
      </c>
      <c r="G92">
        <v>1</v>
      </c>
      <c r="H92">
        <v>1</v>
      </c>
    </row>
    <row r="93" spans="1:8" x14ac:dyDescent="0.2">
      <c r="A93" t="s">
        <v>64</v>
      </c>
      <c r="B93" s="27">
        <v>46163.50608796296</v>
      </c>
      <c r="C93">
        <v>9085</v>
      </c>
      <c r="D93">
        <v>38</v>
      </c>
      <c r="E93" t="s">
        <v>65</v>
      </c>
      <c r="F93" t="s">
        <v>64</v>
      </c>
      <c r="G93">
        <v>1</v>
      </c>
      <c r="H93">
        <v>1</v>
      </c>
    </row>
    <row r="94" spans="1:8" x14ac:dyDescent="0.2">
      <c r="A94" t="s">
        <v>433</v>
      </c>
      <c r="B94" s="27">
        <v>46175.618298611109</v>
      </c>
      <c r="C94">
        <v>9277</v>
      </c>
      <c r="D94">
        <v>38</v>
      </c>
      <c r="E94" t="s">
        <v>434</v>
      </c>
      <c r="F94" t="s">
        <v>433</v>
      </c>
      <c r="G94">
        <v>1</v>
      </c>
      <c r="H94">
        <v>1</v>
      </c>
    </row>
    <row r="95" spans="1:8" x14ac:dyDescent="0.2">
      <c r="A95" t="s">
        <v>84</v>
      </c>
      <c r="B95" s="27">
        <v>46169.384166666663</v>
      </c>
      <c r="C95">
        <v>9148</v>
      </c>
      <c r="D95">
        <v>39</v>
      </c>
      <c r="E95" t="s">
        <v>85</v>
      </c>
      <c r="F95" t="s">
        <v>84</v>
      </c>
      <c r="G95">
        <v>1</v>
      </c>
      <c r="H95">
        <v>1</v>
      </c>
    </row>
    <row r="96" spans="1:8" x14ac:dyDescent="0.2">
      <c r="A96" t="s">
        <v>30</v>
      </c>
      <c r="B96" s="27">
        <v>46161.547638888886</v>
      </c>
      <c r="C96">
        <v>9030</v>
      </c>
      <c r="D96">
        <v>41</v>
      </c>
      <c r="E96" t="s">
        <v>31</v>
      </c>
      <c r="F96" t="s">
        <v>30</v>
      </c>
      <c r="G96">
        <v>1</v>
      </c>
      <c r="H96">
        <v>1</v>
      </c>
    </row>
    <row r="97" spans="1:8" x14ac:dyDescent="0.2">
      <c r="A97" t="s">
        <v>32</v>
      </c>
      <c r="B97" s="27">
        <v>46161.585127314815</v>
      </c>
      <c r="C97">
        <v>9032</v>
      </c>
      <c r="D97">
        <v>41</v>
      </c>
      <c r="E97" t="s">
        <v>33</v>
      </c>
      <c r="F97" t="s">
        <v>32</v>
      </c>
      <c r="G97">
        <v>1</v>
      </c>
      <c r="H97">
        <v>1</v>
      </c>
    </row>
    <row r="98" spans="1:8" x14ac:dyDescent="0.2">
      <c r="A98" t="s">
        <v>86</v>
      </c>
      <c r="B98" s="27">
        <v>46169.421400462961</v>
      </c>
      <c r="C98">
        <v>9150</v>
      </c>
      <c r="D98">
        <v>42</v>
      </c>
      <c r="E98" t="s">
        <v>87</v>
      </c>
      <c r="F98" t="s">
        <v>86</v>
      </c>
      <c r="G98">
        <v>1</v>
      </c>
      <c r="H98">
        <v>1</v>
      </c>
    </row>
    <row r="99" spans="1:8" x14ac:dyDescent="0.2">
      <c r="A99" t="s">
        <v>335</v>
      </c>
      <c r="B99" s="27">
        <v>46176.627800925926</v>
      </c>
      <c r="C99">
        <v>9330</v>
      </c>
      <c r="D99">
        <v>42</v>
      </c>
      <c r="E99" t="s">
        <v>441</v>
      </c>
      <c r="F99" t="s">
        <v>335</v>
      </c>
      <c r="G99">
        <v>2</v>
      </c>
      <c r="H99">
        <v>2</v>
      </c>
    </row>
    <row r="100" spans="1:8" x14ac:dyDescent="0.2">
      <c r="A100" t="s">
        <v>444</v>
      </c>
      <c r="B100" s="27">
        <v>46170.47047453704</v>
      </c>
      <c r="C100">
        <v>9181</v>
      </c>
      <c r="D100">
        <v>42</v>
      </c>
      <c r="E100" t="s">
        <v>445</v>
      </c>
      <c r="F100" t="s">
        <v>444</v>
      </c>
      <c r="G100">
        <v>1</v>
      </c>
      <c r="H100">
        <v>1</v>
      </c>
    </row>
    <row r="101" spans="1:8" x14ac:dyDescent="0.2">
      <c r="A101" t="s">
        <v>7</v>
      </c>
      <c r="B101" s="27">
        <v>46149.364166666666</v>
      </c>
      <c r="C101">
        <v>8750</v>
      </c>
      <c r="D101">
        <v>43</v>
      </c>
      <c r="E101" t="s">
        <v>8</v>
      </c>
      <c r="F101" t="s">
        <v>7</v>
      </c>
      <c r="G101">
        <v>1</v>
      </c>
      <c r="H101">
        <v>1</v>
      </c>
    </row>
    <row r="102" spans="1:8" x14ac:dyDescent="0.2">
      <c r="A102" t="s">
        <v>446</v>
      </c>
      <c r="B102" s="27">
        <v>46174.420243055552</v>
      </c>
      <c r="C102">
        <v>9221</v>
      </c>
      <c r="D102">
        <v>43</v>
      </c>
      <c r="E102" t="s">
        <v>447</v>
      </c>
      <c r="F102" t="s">
        <v>446</v>
      </c>
      <c r="G102">
        <v>1</v>
      </c>
      <c r="H102">
        <v>1</v>
      </c>
    </row>
    <row r="103" spans="1:8" x14ac:dyDescent="0.2">
      <c r="A103" t="s">
        <v>52</v>
      </c>
      <c r="B103" s="27">
        <v>46162.586261574077</v>
      </c>
      <c r="C103">
        <v>9060</v>
      </c>
      <c r="D103">
        <v>43</v>
      </c>
      <c r="E103" t="s">
        <v>53</v>
      </c>
      <c r="F103" t="s">
        <v>52</v>
      </c>
      <c r="G103">
        <v>1</v>
      </c>
      <c r="H103">
        <v>1</v>
      </c>
    </row>
    <row r="104" spans="1:8" x14ac:dyDescent="0.2">
      <c r="A104" t="s">
        <v>46</v>
      </c>
      <c r="B104" s="27">
        <v>46162.502928240741</v>
      </c>
      <c r="C104">
        <v>9053</v>
      </c>
      <c r="D104">
        <v>43</v>
      </c>
      <c r="E104" t="s">
        <v>47</v>
      </c>
      <c r="F104" t="s">
        <v>46</v>
      </c>
      <c r="G104">
        <v>1</v>
      </c>
      <c r="H104">
        <v>1</v>
      </c>
    </row>
    <row r="105" spans="1:8" x14ac:dyDescent="0.2">
      <c r="A105" t="s">
        <v>26</v>
      </c>
      <c r="B105" s="27">
        <v>46161.380868055552</v>
      </c>
      <c r="C105">
        <v>9021</v>
      </c>
      <c r="D105">
        <v>44</v>
      </c>
      <c r="E105" t="s">
        <v>27</v>
      </c>
      <c r="F105" t="s">
        <v>26</v>
      </c>
      <c r="G105">
        <v>1</v>
      </c>
      <c r="H105">
        <v>1</v>
      </c>
    </row>
    <row r="106" spans="1:8" x14ac:dyDescent="0.2">
      <c r="A106" t="s">
        <v>82</v>
      </c>
      <c r="B106" s="27">
        <v>46168.631874999999</v>
      </c>
      <c r="C106">
        <v>9142</v>
      </c>
      <c r="D106">
        <v>45</v>
      </c>
      <c r="E106" t="s">
        <v>83</v>
      </c>
      <c r="F106" t="s">
        <v>82</v>
      </c>
      <c r="G106">
        <v>1</v>
      </c>
      <c r="H106">
        <v>1</v>
      </c>
    </row>
    <row r="107" spans="1:8" x14ac:dyDescent="0.2">
      <c r="A107" t="s">
        <v>450</v>
      </c>
      <c r="B107" s="27">
        <v>46157.422268518516</v>
      </c>
      <c r="C107">
        <v>8936</v>
      </c>
      <c r="D107">
        <v>45</v>
      </c>
      <c r="E107" t="s">
        <v>451</v>
      </c>
      <c r="F107" t="s">
        <v>450</v>
      </c>
      <c r="G107">
        <v>1</v>
      </c>
      <c r="H107">
        <v>1</v>
      </c>
    </row>
    <row r="108" spans="1:8" x14ac:dyDescent="0.2">
      <c r="A108" t="s">
        <v>452</v>
      </c>
      <c r="B108" s="27">
        <v>46169.549305555556</v>
      </c>
      <c r="C108">
        <v>9162</v>
      </c>
      <c r="D108">
        <v>45</v>
      </c>
      <c r="E108" t="s">
        <v>453</v>
      </c>
      <c r="F108" t="s">
        <v>452</v>
      </c>
      <c r="G108">
        <v>1</v>
      </c>
      <c r="H1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DURATIONS_202605221527</vt:lpstr>
      <vt:lpstr>Composite Scores</vt:lpstr>
      <vt:lpstr>Snipe Hunt Time</vt:lpstr>
      <vt:lpstr>Snipe Hunt Time copy (jun5)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Stuart Rimell</cp:lastModifiedBy>
  <cp:revision/>
  <dcterms:created xsi:type="dcterms:W3CDTF">2026-05-22T09:58:52Z</dcterms:created>
  <dcterms:modified xsi:type="dcterms:W3CDTF">2026-06-22T17:39:01Z</dcterms:modified>
  <cp:category/>
  <cp:contentStatus/>
</cp:coreProperties>
</file>