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gearset/sessions/"/>
    </mc:Choice>
  </mc:AlternateContent>
  <xr:revisionPtr revIDLastSave="0" documentId="13_ncr:9_{63310C82-D242-AB4F-812F-759BBBB3086A}" xr6:coauthVersionLast="47" xr6:coauthVersionMax="47" xr10:uidLastSave="{00000000-0000-0000-0000-000000000000}"/>
  <bookViews>
    <workbookView xWindow="1000" yWindow="1400" windowWidth="31920" windowHeight="20540" activeTab="4" xr2:uid="{A1D7D47F-1494-EB4A-903F-4F5B1EEC0084}"/>
  </bookViews>
  <sheets>
    <sheet name="GUOT" sheetId="5" r:id="rId1"/>
    <sheet name="airtable" sheetId="4" r:id="rId2"/>
    <sheet name="gearset sessions" sheetId="3" r:id="rId3"/>
    <sheet name="pivot" sheetId="2" r:id="rId4"/>
    <sheet name="chart" sheetId="6" r:id="rId5"/>
  </sheets>
  <calcPr calcId="191029"/>
  <pivotCaches>
    <pivotCache cacheId="6" r:id="rId6"/>
    <pivotCache cacheId="9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</calcChain>
</file>

<file path=xl/sharedStrings.xml><?xml version="1.0" encoding="utf-8"?>
<sst xmlns="http://schemas.openxmlformats.org/spreadsheetml/2006/main" count="419" uniqueCount="158">
  <si>
    <t>session_start</t>
  </si>
  <si>
    <t>day_of_week</t>
  </si>
  <si>
    <t>duration</t>
  </si>
  <si>
    <t>level</t>
  </si>
  <si>
    <t>name</t>
  </si>
  <si>
    <t>player</t>
  </si>
  <si>
    <t>completion_status</t>
  </si>
  <si>
    <t>identify_scope</t>
  </si>
  <si>
    <t>incident_mechanics</t>
  </si>
  <si>
    <t>external_comms</t>
  </si>
  <si>
    <t>internal_comms</t>
  </si>
  <si>
    <t>commanding_the_incident</t>
  </si>
  <si>
    <t>Complexity: Ambiguous cues (multiple alternatives)</t>
  </si>
  <si>
    <t>Complexity: Attention Demands</t>
  </si>
  <si>
    <t>Complexity: Conflicting Advice</t>
  </si>
  <si>
    <t>Complexity: Decreased access to team members</t>
  </si>
  <si>
    <t>Complexity: Distributed information across individuals/organiza</t>
  </si>
  <si>
    <t>Complexity: Doublebind situations (dilemmas)</t>
  </si>
  <si>
    <t>Complexity: False prime explanations (garden path)</t>
  </si>
  <si>
    <t>Complexity: Hidden coupling (effects at a distance; cascading e</t>
  </si>
  <si>
    <t>Complexity: Implied relationship (red herring)</t>
  </si>
  <si>
    <t>Complexity: Interdependencies amongst roles (someone needs some</t>
  </si>
  <si>
    <t>Complexity: Lack of predefined plan</t>
  </si>
  <si>
    <t>Complexity: Misleading indicators (low predictive value)</t>
  </si>
  <si>
    <t>Complexity: Mismatch between prede fined plans or procedures an</t>
  </si>
  <si>
    <t>Complexity: Missing Information</t>
  </si>
  <si>
    <t>Complexity: Multi Party Dilema</t>
  </si>
  <si>
    <t>Complexity: Multiple simultaneous influences (more than one exp</t>
  </si>
  <si>
    <t>Complexity: Multiple simultaneous influences (multiple explanat</t>
  </si>
  <si>
    <t>Complexity: Saturation</t>
  </si>
  <si>
    <t>Complexity: Simultaneous seperate issues</t>
  </si>
  <si>
    <t>Complexity: Stakeholder Interference</t>
  </si>
  <si>
    <t>Complexity: Stereotype violations (not the usual suspect)</t>
  </si>
  <si>
    <t>Complexity: Stress or fatigue</t>
  </si>
  <si>
    <t>Complexity: Uncertain information (unreliable data)</t>
  </si>
  <si>
    <t>Complexity: Unintended effects (managing side effects)</t>
  </si>
  <si>
    <t>Complexity: Absence of strong signals (no alarms, no threshold</t>
  </si>
  <si>
    <t>max</t>
  </si>
  <si>
    <t>Category: Detecting</t>
  </si>
  <si>
    <t>Category: Sensemaking</t>
  </si>
  <si>
    <t>Category: Planning</t>
  </si>
  <si>
    <t>Category: Deciding</t>
  </si>
  <si>
    <t>Category: Coordination</t>
  </si>
  <si>
    <t>Category: Executing</t>
  </si>
  <si>
    <t>2025-11-28 00:00:00.000 +0000</t>
  </si>
  <si>
    <t xml:space="preserve">Friday   </t>
  </si>
  <si>
    <t>DEFCON 1</t>
  </si>
  <si>
    <t>julian.wreford</t>
  </si>
  <si>
    <t>COMPLETED</t>
  </si>
  <si>
    <t>-</t>
  </si>
  <si>
    <t>2026-02-02 00:00:00.000 +0000</t>
  </si>
  <si>
    <t xml:space="preserve">Monday   </t>
  </si>
  <si>
    <t>Too Good To Be True</t>
  </si>
  <si>
    <t>gwen.sellers</t>
  </si>
  <si>
    <t>2026-02-03 00:00:00.000 +0000</t>
  </si>
  <si>
    <t xml:space="preserve">Tuesday  </t>
  </si>
  <si>
    <t>adam.gould</t>
  </si>
  <si>
    <t>sam.williams</t>
  </si>
  <si>
    <t>jason.nicholls</t>
  </si>
  <si>
    <t>2026-02-04 00:00:00.000 +0000</t>
  </si>
  <si>
    <t>Wednesday</t>
  </si>
  <si>
    <t>mattg</t>
  </si>
  <si>
    <t>Discount Disaster</t>
  </si>
  <si>
    <t>2026-02-10 00:00:00.000 +0000</t>
  </si>
  <si>
    <t>Discount Disaster Workshop</t>
  </si>
  <si>
    <t>The Unknown Unknown</t>
  </si>
  <si>
    <t>Memory Lane</t>
  </si>
  <si>
    <t>2026-02-17 00:00:00.000 +0000</t>
  </si>
  <si>
    <t>2026-02-18 00:00:00.000 +0000</t>
  </si>
  <si>
    <t>2026-02-19 00:00:00.000 +0000</t>
  </si>
  <si>
    <t xml:space="preserve">Thursday </t>
  </si>
  <si>
    <t>2026-02-20 00:00:00.000 +0000</t>
  </si>
  <si>
    <t>andy.knox</t>
  </si>
  <si>
    <t>2026-02-24 00:00:00.000 +0000</t>
  </si>
  <si>
    <t>2026-02-26 00:00:00.000 +0000</t>
  </si>
  <si>
    <t>eamonn.boyle</t>
  </si>
  <si>
    <t>2026-03-03 00:00:00.000 +0000</t>
  </si>
  <si>
    <t>2026-03-04 00:00:00.000 +0000</t>
  </si>
  <si>
    <t>Month</t>
  </si>
  <si>
    <t>Count of session_start</t>
  </si>
  <si>
    <t>Row Labels</t>
  </si>
  <si>
    <t>Grand Total</t>
  </si>
  <si>
    <t>Internal Comms</t>
  </si>
  <si>
    <t>External Comms</t>
  </si>
  <si>
    <t>Incident Mechanics</t>
  </si>
  <si>
    <t>Identify Scope</t>
  </si>
  <si>
    <t>Commanding the Incident</t>
  </si>
  <si>
    <t>month</t>
  </si>
  <si>
    <t>Readout</t>
  </si>
  <si>
    <t>Gearset (Pilot)</t>
  </si>
  <si>
    <t>Matthew</t>
  </si>
  <si>
    <t>Karan</t>
  </si>
  <si>
    <t>Demo,Team Drill,Defcon1</t>
  </si>
  <si>
    <t>3, 3</t>
  </si>
  <si>
    <t>Matt,Adam</t>
  </si>
  <si>
    <t>Attended</t>
  </si>
  <si>
    <t>Rishi</t>
  </si>
  <si>
    <t>3, 2</t>
  </si>
  <si>
    <t>Andy,Eamonn</t>
  </si>
  <si>
    <t>First pair session</t>
  </si>
  <si>
    <t>Joe,Rishi</t>
  </si>
  <si>
    <t>Team Drill,Defcon1,Demo</t>
  </si>
  <si>
    <t>4, 4</t>
  </si>
  <si>
    <t>Sam,Gwen</t>
  </si>
  <si>
    <t>First solo session</t>
  </si>
  <si>
    <t>Joe</t>
  </si>
  <si>
    <t>Discount Disaster,Demo</t>
  </si>
  <si>
    <t>Eamonn</t>
  </si>
  <si>
    <t>3, 4</t>
  </si>
  <si>
    <t>Julian,Jason</t>
  </si>
  <si>
    <t>Second solo session</t>
  </si>
  <si>
    <t>Andy</t>
  </si>
  <si>
    <t xml:space="preserve">Its an organised Chaos .
Good intro to the platform - REalistic drill .
Seemed pausible enough as a scenario </t>
  </si>
  <si>
    <t>Too Good To Be True,Demo</t>
  </si>
  <si>
    <t>Third solo session</t>
  </si>
  <si>
    <t>Unknown Unknown,Demo</t>
  </si>
  <si>
    <t>Sam</t>
  </si>
  <si>
    <t>Stuart</t>
  </si>
  <si>
    <t>Matt</t>
  </si>
  <si>
    <t>Jason</t>
  </si>
  <si>
    <t>Defcon1,Demo</t>
  </si>
  <si>
    <t>Adam</t>
  </si>
  <si>
    <t>AI was selected due to bug in system</t>
  </si>
  <si>
    <t>checked</t>
  </si>
  <si>
    <t>No Score</t>
  </si>
  <si>
    <t>Memory Lane,Demo</t>
  </si>
  <si>
    <t>Julian</t>
  </si>
  <si>
    <t>Gwen</t>
  </si>
  <si>
    <t>Discount disaster opened in Slack Saml
Looks like the stats arent matching - Graffana failed to show the logins to 6k</t>
  </si>
  <si>
    <t>when you click on discount disaster, start the drill, click on the green call to action button -&gt; it opens the new tab of slack instead of MM</t>
  </si>
  <si>
    <t>INC-401 Discount Disaster starting in slack</t>
  </si>
  <si>
    <t>Onboarding,Demo</t>
  </si>
  <si>
    <t>3, 4, 4, 3, 4, 3, 2, 3</t>
  </si>
  <si>
    <t>Julian,Sam,Gwen,Adam,Jason,Andy,Eamonn,Matt</t>
  </si>
  <si>
    <t>Julian,Oli</t>
  </si>
  <si>
    <t>Notes for Mildred</t>
  </si>
  <si>
    <t>Technical Issue Reason</t>
  </si>
  <si>
    <t>Technical Issues</t>
  </si>
  <si>
    <t>INC #</t>
  </si>
  <si>
    <t>Attendance Reason</t>
  </si>
  <si>
    <t>Attendance</t>
  </si>
  <si>
    <t>Session Reprocessed</t>
  </si>
  <si>
    <t>Data Reviewed</t>
  </si>
  <si>
    <t>Changes Required</t>
  </si>
  <si>
    <t>Session ID</t>
  </si>
  <si>
    <t>Score Notes</t>
  </si>
  <si>
    <t>GUOT</t>
  </si>
  <si>
    <t>Session Notes</t>
  </si>
  <si>
    <t>Star Guru</t>
  </si>
  <si>
    <t>Lead</t>
  </si>
  <si>
    <t>AI</t>
  </si>
  <si>
    <t>Session Plan</t>
  </si>
  <si>
    <t>Sessions Done</t>
  </si>
  <si>
    <t>Company</t>
  </si>
  <si>
    <t>Name</t>
  </si>
  <si>
    <t>Time</t>
  </si>
  <si>
    <t>Date</t>
  </si>
  <si>
    <t>Average of GUOT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</si>
</sst>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18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[gearset_sessions.xlsx]GUOT!PivotTable3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GUOT!$B$3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GUOT!$A$4:$A$6</c:f>
              <c:strCache>
                <c:ptCount val="2"/>
                <c:pt idx="0">
                  <c:v>01/02/2026</c:v>
                </c:pt>
                <c:pt idx="1">
                  <c:v>01/03/2026</c:v>
                </c:pt>
              </c:strCache>
            </c:strRef>
          </c:cat>
          <c:val>
            <c:numRef>
              <c:f>GUOT!$B$4:$B$6</c:f>
              <c:numCache>
                <c:formatCode>General</c:formatCode>
                <c:ptCount val="2"/>
                <c:pt idx="0">
                  <c:v>7.833333333333333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7-A843-AFE2-49104730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177088"/>
        <c:axId val="639185152"/>
      </c:lineChart>
      <c:catAx>
        <c:axId val="6391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85152"/>
        <c:crosses val="autoZero"/>
        <c:auto val="1"/>
        <c:lblAlgn val="ctr"/>
        <c:lblOffset val="100"/>
        <c:noMultiLvlLbl val="0"/>
      </c:catAx>
      <c:valAx>
        <c:axId val="63918515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[gearset_sessions.xlsx]pivot!PivotTable1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Player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pivot!$B$4:$B$12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0-5C47-88DB-E75A59A1A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292736"/>
        <c:axId val="679295424"/>
      </c:barChart>
      <c:catAx>
        <c:axId val="6792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95424"/>
        <c:crosses val="autoZero"/>
        <c:auto val="1"/>
        <c:lblAlgn val="ctr"/>
        <c:lblOffset val="100"/>
        <c:noMultiLvlLbl val="0"/>
      </c:catAx>
      <c:valAx>
        <c:axId val="6792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927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pivot!$B$34</c:f>
              <c:strCache>
                <c:ptCount val="1"/>
                <c:pt idx="0">
                  <c:v>Commanding the Incident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pivot!$B$35:$B$42</c:f>
              <c:numCache>
                <c:formatCode>General</c:formatCode>
                <c:ptCount val="8"/>
                <c:pt idx="0">
                  <c:v>0.40909090909090851</c:v>
                </c:pt>
                <c:pt idx="1">
                  <c:v>0.45454545454545403</c:v>
                </c:pt>
                <c:pt idx="2">
                  <c:v>0.31818181818181746</c:v>
                </c:pt>
                <c:pt idx="3">
                  <c:v>0.45454545454545398</c:v>
                </c:pt>
                <c:pt idx="4">
                  <c:v>9.0909090909090898E-2</c:v>
                </c:pt>
                <c:pt idx="5">
                  <c:v>0.18181818181818132</c:v>
                </c:pt>
                <c:pt idx="6">
                  <c:v>0.3181818181818179</c:v>
                </c:pt>
                <c:pt idx="7">
                  <c:v>0.31818181818181773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pivot!$C$34</c:f>
              <c:strCache>
                <c:ptCount val="1"/>
                <c:pt idx="0">
                  <c:v>Internal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20-294D-8D87-501DA93738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20-294D-8D87-501DA93738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20-294D-8D87-501DA93738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20-294D-8D87-501DA937381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20-294D-8D87-501DA93738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20-294D-8D87-501DA937381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20-294D-8D87-501DA93738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20-294D-8D87-501DA9373812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pivot!$C$35:$C$42</c:f>
              <c:numCache>
                <c:formatCode>General</c:formatCode>
                <c:ptCount val="8"/>
                <c:pt idx="0">
                  <c:v>0.5</c:v>
                </c:pt>
                <c:pt idx="1">
                  <c:v>0.63333333333333297</c:v>
                </c:pt>
                <c:pt idx="2">
                  <c:v>0.4999999999999995</c:v>
                </c:pt>
                <c:pt idx="3">
                  <c:v>0.46666666666666651</c:v>
                </c:pt>
                <c:pt idx="4">
                  <c:v>0.24444444444444402</c:v>
                </c:pt>
                <c:pt idx="5">
                  <c:v>0.422222222222222</c:v>
                </c:pt>
                <c:pt idx="6">
                  <c:v>0.44999999999999973</c:v>
                </c:pt>
                <c:pt idx="7">
                  <c:v>0.38333333333333275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pivot!$E$34</c:f>
              <c:strCache>
                <c:ptCount val="1"/>
                <c:pt idx="0">
                  <c:v>Incident Mechanics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20-294D-8D87-501DA93738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20-294D-8D87-501DA93738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20-294D-8D87-501DA93738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20-294D-8D87-501DA937381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20-294D-8D87-501DA93738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20-294D-8D87-501DA937381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20-294D-8D87-501DA93738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20-294D-8D87-501DA9373812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pivot!$E$35:$E$42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0.5</c:v>
                </c:pt>
                <c:pt idx="3">
                  <c:v>0.75</c:v>
                </c:pt>
                <c:pt idx="4">
                  <c:v>0.5</c:v>
                </c:pt>
                <c:pt idx="5">
                  <c:v>0.66666666666666663</c:v>
                </c:pt>
                <c:pt idx="6">
                  <c:v>0.75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pivot!$D$34</c:f>
              <c:strCache>
                <c:ptCount val="1"/>
                <c:pt idx="0">
                  <c:v>External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6-D246-98A6-EB8FE17C82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6-D246-98A6-EB8FE17C82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6-D246-98A6-EB8FE17C82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6-D246-98A6-EB8FE17C82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A6-D246-98A6-EB8FE17C82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A6-D246-98A6-EB8FE17C82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A6-D246-98A6-EB8FE17C82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A6-D246-98A6-EB8FE17C8283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pivot!$D$35:$D$42</c:f>
              <c:numCache>
                <c:formatCode>General</c:formatCode>
                <c:ptCount val="8"/>
                <c:pt idx="0">
                  <c:v>0.5</c:v>
                </c:pt>
                <c:pt idx="1">
                  <c:v>0.49999999999999944</c:v>
                </c:pt>
                <c:pt idx="2">
                  <c:v>0.74999999999999956</c:v>
                </c:pt>
                <c:pt idx="3">
                  <c:v>0.41666666666666652</c:v>
                </c:pt>
                <c:pt idx="4">
                  <c:v>0.5</c:v>
                </c:pt>
                <c:pt idx="5">
                  <c:v>0.66666666666666596</c:v>
                </c:pt>
                <c:pt idx="6">
                  <c:v>0.54166666666666652</c:v>
                </c:pt>
                <c:pt idx="7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pivot!$G$34</c:f>
              <c:strCache>
                <c:ptCount val="1"/>
                <c:pt idx="0">
                  <c:v>Count of session_start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6-D246-98A6-EB8FE17C82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6-D246-98A6-EB8FE17C82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6-D246-98A6-EB8FE17C82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6-D246-98A6-EB8FE17C82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A6-D246-98A6-EB8FE17C82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A6-D246-98A6-EB8FE17C82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A6-D246-98A6-EB8FE17C82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A6-D246-98A6-EB8FE17C8283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pivot!$G$35:$G$42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pivot!$F$34</c:f>
              <c:strCache>
                <c:ptCount val="1"/>
                <c:pt idx="0">
                  <c:v>Identify Scope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6-D246-98A6-EB8FE17C82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6-D246-98A6-EB8FE17C82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6-D246-98A6-EB8FE17C82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6-D246-98A6-EB8FE17C82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A6-D246-98A6-EB8FE17C82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A6-D246-98A6-EB8FE17C82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A6-D246-98A6-EB8FE17C82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A6-D246-98A6-EB8FE17C8283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pivot!$F$35:$F$42</c:f>
              <c:numCache>
                <c:formatCode>General</c:formatCode>
                <c:ptCount val="8"/>
                <c:pt idx="0">
                  <c:v>0.72222222222222143</c:v>
                </c:pt>
                <c:pt idx="1">
                  <c:v>0.77777777777777701</c:v>
                </c:pt>
                <c:pt idx="2">
                  <c:v>0.66666666666666596</c:v>
                </c:pt>
                <c:pt idx="3">
                  <c:v>0.66666666666666596</c:v>
                </c:pt>
                <c:pt idx="4">
                  <c:v>0.55555555555555491</c:v>
                </c:pt>
                <c:pt idx="5">
                  <c:v>0.70370370370370294</c:v>
                </c:pt>
                <c:pt idx="6">
                  <c:v>0.61111111111111049</c:v>
                </c:pt>
                <c:pt idx="7">
                  <c:v>0.47222222222222177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5145-A148-04A2915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[gearset_sessions.xlsx]pivot!PivotTable1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Player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pivot!$B$4:$B$12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B-2947-B8F8-1334B2E2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292736"/>
        <c:axId val="679295424"/>
      </c:barChart>
      <c:catAx>
        <c:axId val="6792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95424"/>
        <c:crosses val="autoZero"/>
        <c:auto val="1"/>
        <c:lblAlgn val="ctr"/>
        <c:lblOffset val="100"/>
        <c:noMultiLvlLbl val="0"/>
      </c:catAx>
      <c:valAx>
        <c:axId val="6792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927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pivot!$B$34</c:f>
              <c:strCache>
                <c:ptCount val="1"/>
                <c:pt idx="0">
                  <c:v>Commanding the Incident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B-7F49-9D08-7D72B9F1485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B-7F49-9D08-7D72B9F1485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B-7F49-9D08-7D72B9F1485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BB-7F49-9D08-7D72B9F1485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DBB-7F49-9D08-7D72B9F1485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DBB-7F49-9D08-7D72B9F1485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DBB-7F49-9D08-7D72B9F1485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DBB-7F49-9D08-7D72B9F1485C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pivot!$B$35:$B$42</c:f>
              <c:numCache>
                <c:formatCode>General</c:formatCode>
                <c:ptCount val="8"/>
                <c:pt idx="0">
                  <c:v>0.40909090909090851</c:v>
                </c:pt>
                <c:pt idx="1">
                  <c:v>0.45454545454545403</c:v>
                </c:pt>
                <c:pt idx="2">
                  <c:v>0.31818181818181746</c:v>
                </c:pt>
                <c:pt idx="3">
                  <c:v>0.45454545454545398</c:v>
                </c:pt>
                <c:pt idx="4">
                  <c:v>9.0909090909090898E-2</c:v>
                </c:pt>
                <c:pt idx="5">
                  <c:v>0.18181818181818132</c:v>
                </c:pt>
                <c:pt idx="6">
                  <c:v>0.3181818181818179</c:v>
                </c:pt>
                <c:pt idx="7">
                  <c:v>0.31818181818181773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DBB-7F49-9D08-7D72B9F14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pivot!$C$34</c:f>
              <c:strCache>
                <c:ptCount val="1"/>
                <c:pt idx="0">
                  <c:v>Internal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57-2D4A-841B-FC538992BA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57-2D4A-841B-FC538992BA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57-2D4A-841B-FC538992BA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57-2D4A-841B-FC538992BA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57-2D4A-841B-FC538992BA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57-2D4A-841B-FC538992BA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57-2D4A-841B-FC538992BA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57-2D4A-841B-FC538992BA72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pivot!$C$35:$C$42</c:f>
              <c:numCache>
                <c:formatCode>General</c:formatCode>
                <c:ptCount val="8"/>
                <c:pt idx="0">
                  <c:v>0.5</c:v>
                </c:pt>
                <c:pt idx="1">
                  <c:v>0.63333333333333297</c:v>
                </c:pt>
                <c:pt idx="2">
                  <c:v>0.4999999999999995</c:v>
                </c:pt>
                <c:pt idx="3">
                  <c:v>0.46666666666666651</c:v>
                </c:pt>
                <c:pt idx="4">
                  <c:v>0.24444444444444402</c:v>
                </c:pt>
                <c:pt idx="5">
                  <c:v>0.422222222222222</c:v>
                </c:pt>
                <c:pt idx="6">
                  <c:v>0.44999999999999973</c:v>
                </c:pt>
                <c:pt idx="7">
                  <c:v>0.38333333333333275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A57-2D4A-841B-FC538992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pivot!$E$34</c:f>
              <c:strCache>
                <c:ptCount val="1"/>
                <c:pt idx="0">
                  <c:v>Incident Mechanics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C3-E445-AC13-5CA1F9578E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3-E445-AC13-5CA1F9578E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C3-E445-AC13-5CA1F9578E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C3-E445-AC13-5CA1F9578E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DC3-E445-AC13-5CA1F9578E6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DC3-E445-AC13-5CA1F9578E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DC3-E445-AC13-5CA1F9578E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DC3-E445-AC13-5CA1F9578E6E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pivot!$E$35:$E$42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0.5</c:v>
                </c:pt>
                <c:pt idx="3">
                  <c:v>0.75</c:v>
                </c:pt>
                <c:pt idx="4">
                  <c:v>0.5</c:v>
                </c:pt>
                <c:pt idx="5">
                  <c:v>0.66666666666666663</c:v>
                </c:pt>
                <c:pt idx="6">
                  <c:v>0.75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DC3-E445-AC13-5CA1F957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pivot!$D$34</c:f>
              <c:strCache>
                <c:ptCount val="1"/>
                <c:pt idx="0">
                  <c:v>External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FD-7D45-A5F2-C6DAE9E17F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FD-7D45-A5F2-C6DAE9E17F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FD-7D45-A5F2-C6DAE9E17F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FD-7D45-A5F2-C6DAE9E17F2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FD-7D45-A5F2-C6DAE9E17F2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FD-7D45-A5F2-C6DAE9E17F2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FD-7D45-A5F2-C6DAE9E17F2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5FD-7D45-A5F2-C6DAE9E17F29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pivot!$D$35:$D$42</c:f>
              <c:numCache>
                <c:formatCode>General</c:formatCode>
                <c:ptCount val="8"/>
                <c:pt idx="0">
                  <c:v>0.5</c:v>
                </c:pt>
                <c:pt idx="1">
                  <c:v>0.49999999999999944</c:v>
                </c:pt>
                <c:pt idx="2">
                  <c:v>0.74999999999999956</c:v>
                </c:pt>
                <c:pt idx="3">
                  <c:v>0.41666666666666652</c:v>
                </c:pt>
                <c:pt idx="4">
                  <c:v>0.5</c:v>
                </c:pt>
                <c:pt idx="5">
                  <c:v>0.66666666666666596</c:v>
                </c:pt>
                <c:pt idx="6">
                  <c:v>0.54166666666666652</c:v>
                </c:pt>
                <c:pt idx="7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5FD-7D45-A5F2-C6DAE9E1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pivot!$G$34</c:f>
              <c:strCache>
                <c:ptCount val="1"/>
                <c:pt idx="0">
                  <c:v>Count of session_start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6E-C540-977F-2776CA71E8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6E-C540-977F-2776CA71E8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6E-C540-977F-2776CA71E8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6E-C540-977F-2776CA71E8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6E-C540-977F-2776CA71E8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6E-C540-977F-2776CA71E8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6E-C540-977F-2776CA71E8C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6E-C540-977F-2776CA71E8C1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pivot!$G$35:$G$42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6E-C540-977F-2776CA71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pivot!$F$34</c:f>
              <c:strCache>
                <c:ptCount val="1"/>
                <c:pt idx="0">
                  <c:v>Identify Scope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17-B345-874D-80176F0BA4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17-B345-874D-80176F0BA4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17-B345-874D-80176F0BA4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17-B345-874D-80176F0BA44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17-B345-874D-80176F0BA44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17-B345-874D-80176F0BA44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17-B345-874D-80176F0BA44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217-B345-874D-80176F0BA449}"/>
              </c:ext>
            </c:extLst>
          </c:dPt>
          <c:cat>
            <c:strRef>
              <c:f>pivot!$A$35:$A$42</c:f>
              <c:strCache>
                <c:ptCount val="8"/>
                <c:pt idx="0">
                  <c:v>eamonn.boyle</c:v>
                </c:pt>
                <c:pt idx="1">
                  <c:v>andy.knox</c:v>
                </c:pt>
                <c:pt idx="2">
                  <c:v>mattg</c:v>
                </c:pt>
                <c:pt idx="3">
                  <c:v>julian.wreford</c:v>
                </c:pt>
                <c:pt idx="4">
                  <c:v>adam.gould</c:v>
                </c:pt>
                <c:pt idx="5">
                  <c:v>sam.williams</c:v>
                </c:pt>
                <c:pt idx="6">
                  <c:v>gwen.sellers</c:v>
                </c:pt>
                <c:pt idx="7">
                  <c:v>jason.nicholls</c:v>
                </c:pt>
              </c:strCache>
            </c:strRef>
          </c:cat>
          <c:val>
            <c:numRef>
              <c:f>pivot!$F$35:$F$42</c:f>
              <c:numCache>
                <c:formatCode>General</c:formatCode>
                <c:ptCount val="8"/>
                <c:pt idx="0">
                  <c:v>0.72222222222222143</c:v>
                </c:pt>
                <c:pt idx="1">
                  <c:v>0.77777777777777701</c:v>
                </c:pt>
                <c:pt idx="2">
                  <c:v>0.66666666666666596</c:v>
                </c:pt>
                <c:pt idx="3">
                  <c:v>0.66666666666666596</c:v>
                </c:pt>
                <c:pt idx="4">
                  <c:v>0.55555555555555491</c:v>
                </c:pt>
                <c:pt idx="5">
                  <c:v>0.70370370370370294</c:v>
                </c:pt>
                <c:pt idx="6">
                  <c:v>0.61111111111111049</c:v>
                </c:pt>
                <c:pt idx="7">
                  <c:v>0.47222222222222177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17-B345-874D-80176F0BA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895040"/>
        <c:axId val="672936192"/>
      </c:barChart>
      <c:catAx>
        <c:axId val="6788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6192"/>
        <c:crosses val="autoZero"/>
        <c:auto val="1"/>
        <c:lblAlgn val="ctr"/>
        <c:lblOffset val="100"/>
        <c:noMultiLvlLbl val="0"/>
      </c:catAx>
      <c:valAx>
        <c:axId val="6729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[gearset_sessions.xlsx]GUOT!PivotTable3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GUOT!$B$3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GUOT!$A$4:$A$6</c:f>
              <c:strCache>
                <c:ptCount val="2"/>
                <c:pt idx="0">
                  <c:v>01/02/2026</c:v>
                </c:pt>
                <c:pt idx="1">
                  <c:v>01/03/2026</c:v>
                </c:pt>
              </c:strCache>
            </c:strRef>
          </c:cat>
          <c:val>
            <c:numRef>
              <c:f>GUOT!$B$4:$B$6</c:f>
              <c:numCache>
                <c:formatCode>General</c:formatCode>
                <c:ptCount val="2"/>
                <c:pt idx="0">
                  <c:v>7.833333333333333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1-0841-BFA0-D70AB256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177088"/>
        <c:axId val="639185152"/>
      </c:lineChart>
      <c:catAx>
        <c:axId val="6391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85152"/>
        <c:crosses val="autoZero"/>
        <c:auto val="1"/>
        <c:lblAlgn val="ctr"/>
        <c:lblOffset val="100"/>
        <c:noMultiLvlLbl val="0"/>
      </c:catAx>
      <c:valAx>
        <c:axId val="63918515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1</xdr:row>
      <xdr:rowOff>152400</xdr:rowOff>
    </xdr:from>
    <xdr:to>
      <xdr:col>8</xdr:col>
      <xdr:colOff>584200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4F524-114B-B7E6-F009-5C1440F3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0</xdr:row>
      <xdr:rowOff>165100</xdr:rowOff>
    </xdr:from>
    <xdr:to>
      <xdr:col>9</xdr:col>
      <xdr:colOff>139700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D4F8E-A1D6-8310-46F8-2DEF4D750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793750</xdr:colOff>
      <xdr:row>29</xdr:row>
      <xdr:rowOff>76200</xdr:rowOff>
    </xdr:from>
    <xdr:to>
      <xdr:col>13</xdr:col>
      <xdr:colOff>412750</xdr:colOff>
      <xdr:row>42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8584B-F27D-CC2F-CA5E-EBDFF86CF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742950</xdr:colOff>
      <xdr:row>43</xdr:row>
      <xdr:rowOff>152400</xdr:rowOff>
    </xdr:from>
    <xdr:to>
      <xdr:col>6</xdr:col>
      <xdr:colOff>793750</xdr:colOff>
      <xdr:row>57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5A7D90-B71A-C37C-2DB8-6E557E22A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1054100</xdr:colOff>
      <xdr:row>58</xdr:row>
      <xdr:rowOff>63500</xdr:rowOff>
    </xdr:from>
    <xdr:to>
      <xdr:col>6</xdr:col>
      <xdr:colOff>1028700</xdr:colOff>
      <xdr:row>71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9296CB-1DB5-E74C-66FF-0A38FD7C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1035050</xdr:colOff>
      <xdr:row>44</xdr:row>
      <xdr:rowOff>0</xdr:rowOff>
    </xdr:from>
    <xdr:to>
      <xdr:col>11</xdr:col>
      <xdr:colOff>781050</xdr:colOff>
      <xdr:row>57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541EA3-DB97-168C-DC26-410C8BD9D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311150</xdr:colOff>
      <xdr:row>58</xdr:row>
      <xdr:rowOff>152400</xdr:rowOff>
    </xdr:from>
    <xdr:to>
      <xdr:col>13</xdr:col>
      <xdr:colOff>755650</xdr:colOff>
      <xdr:row>72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139B9A-13EE-02CC-EBE9-6BFA01585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146050</xdr:colOff>
      <xdr:row>44</xdr:row>
      <xdr:rowOff>12700</xdr:rowOff>
    </xdr:from>
    <xdr:to>
      <xdr:col>17</xdr:col>
      <xdr:colOff>590550</xdr:colOff>
      <xdr:row>57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BA8436-E1DC-048B-60F8-E353B8773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8</xdr:col>
      <xdr:colOff>488950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28FB0-7CD5-6144-BE1B-DDBD2F9A0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20</xdr:row>
      <xdr:rowOff>114300</xdr:rowOff>
    </xdr:from>
    <xdr:to>
      <xdr:col>5</xdr:col>
      <xdr:colOff>520700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3CD13-8895-E141-98FB-310BC968F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685800</xdr:colOff>
      <xdr:row>20</xdr:row>
      <xdr:rowOff>139700</xdr:rowOff>
    </xdr:from>
    <xdr:to>
      <xdr:col>11</xdr:col>
      <xdr:colOff>304800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9444BA-EB43-D947-BFDE-2ED1281B7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35</xdr:row>
      <xdr:rowOff>63500</xdr:rowOff>
    </xdr:from>
    <xdr:to>
      <xdr:col>11</xdr:col>
      <xdr:colOff>539750</xdr:colOff>
      <xdr:row>48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BF57AB-9184-AE46-A055-75CE50DC9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482600</xdr:colOff>
      <xdr:row>20</xdr:row>
      <xdr:rowOff>76200</xdr:rowOff>
    </xdr:from>
    <xdr:to>
      <xdr:col>17</xdr:col>
      <xdr:colOff>101600</xdr:colOff>
      <xdr:row>33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B579F0-B39E-3D4C-A2FA-95BA51E0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762000</xdr:colOff>
      <xdr:row>34</xdr:row>
      <xdr:rowOff>177800</xdr:rowOff>
    </xdr:from>
    <xdr:to>
      <xdr:col>17</xdr:col>
      <xdr:colOff>381000</xdr:colOff>
      <xdr:row>48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54A92F-5091-4F40-BCDB-77E10C664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215900</xdr:colOff>
      <xdr:row>36</xdr:row>
      <xdr:rowOff>101600</xdr:rowOff>
    </xdr:from>
    <xdr:to>
      <xdr:col>5</xdr:col>
      <xdr:colOff>660400</xdr:colOff>
      <xdr:row>50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497B43-6BCF-3D47-87DE-5E6D07130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139700</xdr:colOff>
      <xdr:row>3</xdr:row>
      <xdr:rowOff>38100</xdr:rowOff>
    </xdr:from>
    <xdr:to>
      <xdr:col>14</xdr:col>
      <xdr:colOff>584200</xdr:colOff>
      <xdr:row>16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4C9058-665B-4F4A-B201-077A71E08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89.609730902775" createdVersion="8" refreshedVersion="8" minRefreshableVersion="3" recordCount="23" xr:uid="{4D6DF45D-5D49-B140-8020-E5F2F23753EE}">
  <cacheSource type="worksheet">
    <worksheetSource ref="A1:AS1048576" sheet="gearset_sessions"/>
  </cacheSource>
  <cacheFields count="45">
    <cacheField name="session_start" numFmtId="0">
      <sharedItems containsBlank="1"/>
    </cacheField>
    <cacheField name="Month" numFmtId="0">
      <sharedItems containsNonDate="0" containsDate="1" containsString="0" containsBlank="1" minDate="2025-11-01T00:00:00" maxDate="2026-03-02T00:00:00"/>
    </cacheField>
    <cacheField name="day_of_week" numFmtId="0">
      <sharedItems containsBlank="1"/>
    </cacheField>
    <cacheField name="duration" numFmtId="0">
      <sharedItems containsNonDate="0" containsDate="1" containsString="0" containsBlank="1" minDate="1899-12-30T00:11:52" maxDate="1899-12-30T00:35:01"/>
    </cacheField>
    <cacheField name="level" numFmtId="0">
      <sharedItems containsString="0" containsBlank="1" containsNumber="1" containsInteger="1" minValue="3" maxValue="33"/>
    </cacheField>
    <cacheField name="name" numFmtId="0">
      <sharedItems containsBlank="1"/>
    </cacheField>
    <cacheField name="player" numFmtId="0">
      <sharedItems containsBlank="1" count="9">
        <s v="julian.wreford"/>
        <s v="gwen.sellers"/>
        <s v="adam.gould"/>
        <s v="sam.williams"/>
        <s v="jason.nicholls"/>
        <s v="mattg"/>
        <s v="andy.knox"/>
        <s v="eamonn.boyle"/>
        <m/>
      </sharedItems>
    </cacheField>
    <cacheField name="completion_status" numFmtId="0">
      <sharedItems containsBlank="1"/>
    </cacheField>
    <cacheField name="identify_scope" numFmtId="0">
      <sharedItems containsString="0" containsBlank="1" containsNumber="1" minValue="0.44444444444444398" maxValue="0.88888888888888795"/>
    </cacheField>
    <cacheField name="incident_mechanics" numFmtId="0">
      <sharedItems containsString="0" containsBlank="1" containsNumber="1" minValue="0" maxValue="1.5"/>
    </cacheField>
    <cacheField name="external_comms" numFmtId="0">
      <sharedItems containsString="0" containsBlank="1" containsNumber="1" minValue="0" maxValue="0.83333333333333304"/>
    </cacheField>
    <cacheField name="internal_comms" numFmtId="0">
      <sharedItems containsString="0" containsBlank="1" containsNumber="1" minValue="0.2" maxValue="0.86666666666666603"/>
    </cacheField>
    <cacheField name="commanding_the_incident" numFmtId="0">
      <sharedItems containsString="0" containsBlank="1" containsNumber="1" minValue="0" maxValue="0.81818181818181801"/>
    </cacheField>
    <cacheField name="Complexity: Ambiguous cues (multiple alternatives)" numFmtId="0">
      <sharedItems containsString="0" containsBlank="1" containsNumber="1" containsInteger="1" minValue="0" maxValue="0"/>
    </cacheField>
    <cacheField name="Complexity: Attention Demands" numFmtId="0">
      <sharedItems containsString="0" containsBlank="1" containsNumber="1" containsInteger="1" minValue="0" maxValue="1"/>
    </cacheField>
    <cacheField name="Complexity: Conflicting Advice" numFmtId="0">
      <sharedItems containsString="0" containsBlank="1" containsNumber="1" containsInteger="1" minValue="0" maxValue="1"/>
    </cacheField>
    <cacheField name="Complexity: Decreased access to team members" numFmtId="0">
      <sharedItems containsString="0" containsBlank="1" containsNumber="1" containsInteger="1" minValue="0" maxValue="0"/>
    </cacheField>
    <cacheField name="Complexity: Distributed information across individuals/organiza" numFmtId="0">
      <sharedItems containsString="0" containsBlank="1" containsNumber="1" containsInteger="1" minValue="0" maxValue="0"/>
    </cacheField>
    <cacheField name="Complexity: Doublebind situations (dilemmas)" numFmtId="0">
      <sharedItems containsString="0" containsBlank="1" containsNumber="1" containsInteger="1" minValue="0" maxValue="1"/>
    </cacheField>
    <cacheField name="Complexity: False prime explanations (garden path)" numFmtId="0">
      <sharedItems containsString="0" containsBlank="1" containsNumber="1" containsInteger="1" minValue="0" maxValue="1"/>
    </cacheField>
    <cacheField name="Complexity: Hidden coupling (effects at a distance; cascading e" numFmtId="0">
      <sharedItems containsString="0" containsBlank="1" containsNumber="1" containsInteger="1" minValue="0" maxValue="0"/>
    </cacheField>
    <cacheField name="Complexity: Implied relationship (red herring)" numFmtId="0">
      <sharedItems containsString="0" containsBlank="1" containsNumber="1" containsInteger="1" minValue="0" maxValue="0"/>
    </cacheField>
    <cacheField name="Complexity: Interdependencies amongst roles (someone needs some" numFmtId="0">
      <sharedItems containsString="0" containsBlank="1" containsNumber="1" containsInteger="1" minValue="0" maxValue="0"/>
    </cacheField>
    <cacheField name="Complexity: Lack of predefined plan" numFmtId="0">
      <sharedItems containsString="0" containsBlank="1" containsNumber="1" containsInteger="1" minValue="0" maxValue="1"/>
    </cacheField>
    <cacheField name="Complexity: Misleading indicators (low predictive value)" numFmtId="0">
      <sharedItems containsString="0" containsBlank="1" containsNumber="1" containsInteger="1" minValue="0" maxValue="1"/>
    </cacheField>
    <cacheField name="Complexity: Mismatch between prede fined plans or procedures an" numFmtId="0">
      <sharedItems containsString="0" containsBlank="1" containsNumber="1" containsInteger="1" minValue="0" maxValue="0"/>
    </cacheField>
    <cacheField name="Complexity: Missing Information" numFmtId="0">
      <sharedItems containsString="0" containsBlank="1" containsNumber="1" containsInteger="1" minValue="0" maxValue="0"/>
    </cacheField>
    <cacheField name="Complexity: Multi Party Dilema" numFmtId="0">
      <sharedItems containsString="0" containsBlank="1" containsNumber="1" containsInteger="1" minValue="0" maxValue="0"/>
    </cacheField>
    <cacheField name="Complexity: Multiple simultaneous influences (more than one exp" numFmtId="0">
      <sharedItems containsString="0" containsBlank="1" containsNumber="1" containsInteger="1" minValue="0" maxValue="1"/>
    </cacheField>
    <cacheField name="Complexity: Multiple simultaneous influences (multiple explanat" numFmtId="0">
      <sharedItems containsString="0" containsBlank="1" containsNumber="1" containsInteger="1" minValue="0" maxValue="0"/>
    </cacheField>
    <cacheField name="Complexity: Saturation" numFmtId="0">
      <sharedItems containsString="0" containsBlank="1" containsNumber="1" containsInteger="1" minValue="0" maxValue="1"/>
    </cacheField>
    <cacheField name="Complexity: Simultaneous seperate issues" numFmtId="0">
      <sharedItems containsString="0" containsBlank="1" containsNumber="1" containsInteger="1" minValue="0" maxValue="0"/>
    </cacheField>
    <cacheField name="Complexity: Stakeholder Interference" numFmtId="0">
      <sharedItems containsString="0" containsBlank="1" containsNumber="1" containsInteger="1" minValue="0" maxValue="0"/>
    </cacheField>
    <cacheField name="Complexity: Stereotype violations (not the usual suspect)" numFmtId="0">
      <sharedItems containsString="0" containsBlank="1" containsNumber="1" containsInteger="1" minValue="0" maxValue="0"/>
    </cacheField>
    <cacheField name="Complexity: Stress or fatigue" numFmtId="0">
      <sharedItems containsString="0" containsBlank="1" containsNumber="1" containsInteger="1" minValue="0" maxValue="0"/>
    </cacheField>
    <cacheField name="Complexity: Uncertain information (unreliable data)" numFmtId="0">
      <sharedItems containsString="0" containsBlank="1" containsNumber="1" containsInteger="1" minValue="0" maxValue="1"/>
    </cacheField>
    <cacheField name="Complexity: Unintended effects (managing side effects)" numFmtId="0">
      <sharedItems containsString="0" containsBlank="1" containsNumber="1" containsInteger="1" minValue="0" maxValue="1"/>
    </cacheField>
    <cacheField name="Complexity: Absence of strong signals (no alarms, no threshold" numFmtId="0">
      <sharedItems containsString="0" containsBlank="1" containsNumber="1" containsInteger="1" minValue="0" maxValue="1"/>
    </cacheField>
    <cacheField name="max" numFmtId="0">
      <sharedItems containsBlank="1"/>
    </cacheField>
    <cacheField name="Category: Detecting" numFmtId="0">
      <sharedItems containsString="0" containsBlank="1" containsNumber="1" containsInteger="1" minValue="0" maxValue="1"/>
    </cacheField>
    <cacheField name="Category: Sensemaking" numFmtId="0">
      <sharedItems containsString="0" containsBlank="1" containsNumber="1" containsInteger="1" minValue="0" maxValue="2"/>
    </cacheField>
    <cacheField name="Category: Planning" numFmtId="0">
      <sharedItems containsString="0" containsBlank="1" containsNumber="1" containsInteger="1" minValue="0" maxValue="2"/>
    </cacheField>
    <cacheField name="Category: Deciding" numFmtId="0">
      <sharedItems containsString="0" containsBlank="1" containsNumber="1" containsInteger="1" minValue="0" maxValue="2"/>
    </cacheField>
    <cacheField name="Category: Coordination" numFmtId="0">
      <sharedItems containsString="0" containsBlank="1" containsNumber="1" containsInteger="1" minValue="0" maxValue="2"/>
    </cacheField>
    <cacheField name="Category: Executi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89.644317129627" createdVersion="8" refreshedVersion="8" minRefreshableVersion="3" recordCount="22" xr:uid="{A2EB53FD-AB95-0148-A40A-572F235D80D2}">
  <cacheSource type="worksheet">
    <worksheetSource ref="A1:AS23" sheet="gearset sessions"/>
  </cacheSource>
  <cacheFields count="45">
    <cacheField name="session_start" numFmtId="0">
      <sharedItems/>
    </cacheField>
    <cacheField name="month" numFmtId="14">
      <sharedItems containsSemiMixedTypes="0" containsNonDate="0" containsDate="1" containsString="0" minDate="2025-11-01T00:00:00" maxDate="2026-03-02T00:00:00"/>
    </cacheField>
    <cacheField name="day_of_week" numFmtId="0">
      <sharedItems/>
    </cacheField>
    <cacheField name="duration" numFmtId="21">
      <sharedItems containsSemiMixedTypes="0" containsNonDate="0" containsDate="1" containsString="0" minDate="1899-12-30T00:11:52" maxDate="1899-12-30T00:35:01"/>
    </cacheField>
    <cacheField name="level" numFmtId="0">
      <sharedItems containsSemiMixedTypes="0" containsString="0" containsNumber="1" containsInteger="1" minValue="3" maxValue="33"/>
    </cacheField>
    <cacheField name="name" numFmtId="0">
      <sharedItems/>
    </cacheField>
    <cacheField name="player" numFmtId="0">
      <sharedItems count="8">
        <s v="julian.wreford"/>
        <s v="gwen.sellers"/>
        <s v="adam.gould"/>
        <s v="sam.williams"/>
        <s v="jason.nicholls"/>
        <s v="mattg"/>
        <s v="andy.knox"/>
        <s v="eamonn.boyle"/>
      </sharedItems>
    </cacheField>
    <cacheField name="completion_status" numFmtId="0">
      <sharedItems/>
    </cacheField>
    <cacheField name="identify_scope" numFmtId="0">
      <sharedItems containsSemiMixedTypes="0" containsString="0" containsNumber="1" minValue="0.22222222222222199" maxValue="0.88888888888888795"/>
    </cacheField>
    <cacheField name="incident_mechanics" numFmtId="0">
      <sharedItems containsSemiMixedTypes="0" containsString="0" containsNumber="1" minValue="0" maxValue="1"/>
    </cacheField>
    <cacheField name="external_comms" numFmtId="0">
      <sharedItems containsSemiMixedTypes="0" containsString="0" containsNumber="1" minValue="0" maxValue="0.83333333333333304"/>
    </cacheField>
    <cacheField name="internal_comms" numFmtId="0">
      <sharedItems containsSemiMixedTypes="0" containsString="0" containsNumber="1" minValue="0.2" maxValue="0.8"/>
    </cacheField>
    <cacheField name="commanding_the_incident" numFmtId="0">
      <sharedItems containsSemiMixedTypes="0" containsString="0" containsNumber="1" minValue="0" maxValue="0.72727272727272696"/>
    </cacheField>
    <cacheField name="Complexity: Ambiguous cues (multiple alternatives)" numFmtId="0">
      <sharedItems containsSemiMixedTypes="0" containsString="0" containsNumber="1" containsInteger="1" minValue="0" maxValue="0"/>
    </cacheField>
    <cacheField name="Complexity: Attention Demands" numFmtId="0">
      <sharedItems containsSemiMixedTypes="0" containsString="0" containsNumber="1" containsInteger="1" minValue="0" maxValue="1"/>
    </cacheField>
    <cacheField name="Complexity: Conflicting Advice" numFmtId="0">
      <sharedItems containsSemiMixedTypes="0" containsString="0" containsNumber="1" containsInteger="1" minValue="0" maxValue="1"/>
    </cacheField>
    <cacheField name="Complexity: Decreased access to team members" numFmtId="0">
      <sharedItems containsSemiMixedTypes="0" containsString="0" containsNumber="1" containsInteger="1" minValue="0" maxValue="0"/>
    </cacheField>
    <cacheField name="Complexity: Distributed information across individuals/organiza" numFmtId="0">
      <sharedItems containsSemiMixedTypes="0" containsString="0" containsNumber="1" containsInteger="1" minValue="0" maxValue="0"/>
    </cacheField>
    <cacheField name="Complexity: Doublebind situations (dilemmas)" numFmtId="0">
      <sharedItems containsSemiMixedTypes="0" containsString="0" containsNumber="1" containsInteger="1" minValue="0" maxValue="1"/>
    </cacheField>
    <cacheField name="Complexity: False prime explanations (garden path)" numFmtId="0">
      <sharedItems containsSemiMixedTypes="0" containsString="0" containsNumber="1" containsInteger="1" minValue="0" maxValue="1"/>
    </cacheField>
    <cacheField name="Complexity: Hidden coupling (effects at a distance; cascading e" numFmtId="0">
      <sharedItems containsSemiMixedTypes="0" containsString="0" containsNumber="1" containsInteger="1" minValue="0" maxValue="0"/>
    </cacheField>
    <cacheField name="Complexity: Implied relationship (red herring)" numFmtId="0">
      <sharedItems containsSemiMixedTypes="0" containsString="0" containsNumber="1" containsInteger="1" minValue="0" maxValue="0"/>
    </cacheField>
    <cacheField name="Complexity: Interdependencies amongst roles (someone needs some" numFmtId="0">
      <sharedItems containsSemiMixedTypes="0" containsString="0" containsNumber="1" containsInteger="1" minValue="0" maxValue="0"/>
    </cacheField>
    <cacheField name="Complexity: Lack of predefined plan" numFmtId="0">
      <sharedItems containsSemiMixedTypes="0" containsString="0" containsNumber="1" containsInteger="1" minValue="0" maxValue="1"/>
    </cacheField>
    <cacheField name="Complexity: Misleading indicators (low predictive value)" numFmtId="0">
      <sharedItems containsSemiMixedTypes="0" containsString="0" containsNumber="1" containsInteger="1" minValue="0" maxValue="1"/>
    </cacheField>
    <cacheField name="Complexity: Mismatch between prede fined plans or procedures an" numFmtId="0">
      <sharedItems containsSemiMixedTypes="0" containsString="0" containsNumber="1" containsInteger="1" minValue="0" maxValue="0"/>
    </cacheField>
    <cacheField name="Complexity: Missing Information" numFmtId="0">
      <sharedItems containsSemiMixedTypes="0" containsString="0" containsNumber="1" containsInteger="1" minValue="0" maxValue="0"/>
    </cacheField>
    <cacheField name="Complexity: Multi Party Dilema" numFmtId="0">
      <sharedItems containsSemiMixedTypes="0" containsString="0" containsNumber="1" containsInteger="1" minValue="0" maxValue="0"/>
    </cacheField>
    <cacheField name="Complexity: Multiple simultaneous influences (more than one exp" numFmtId="0">
      <sharedItems containsSemiMixedTypes="0" containsString="0" containsNumber="1" containsInteger="1" minValue="0" maxValue="1"/>
    </cacheField>
    <cacheField name="Complexity: Multiple simultaneous influences (multiple explanat" numFmtId="0">
      <sharedItems containsSemiMixedTypes="0" containsString="0" containsNumber="1" containsInteger="1" minValue="0" maxValue="0"/>
    </cacheField>
    <cacheField name="Complexity: Saturation" numFmtId="0">
      <sharedItems containsSemiMixedTypes="0" containsString="0" containsNumber="1" containsInteger="1" minValue="0" maxValue="1"/>
    </cacheField>
    <cacheField name="Complexity: Simultaneous seperate issues" numFmtId="0">
      <sharedItems containsSemiMixedTypes="0" containsString="0" containsNumber="1" containsInteger="1" minValue="0" maxValue="0"/>
    </cacheField>
    <cacheField name="Complexity: Stakeholder Interference" numFmtId="0">
      <sharedItems containsSemiMixedTypes="0" containsString="0" containsNumber="1" containsInteger="1" minValue="0" maxValue="0"/>
    </cacheField>
    <cacheField name="Complexity: Stereotype violations (not the usual suspect)" numFmtId="0">
      <sharedItems containsSemiMixedTypes="0" containsString="0" containsNumber="1" containsInteger="1" minValue="0" maxValue="0"/>
    </cacheField>
    <cacheField name="Complexity: Stress or fatigue" numFmtId="0">
      <sharedItems containsSemiMixedTypes="0" containsString="0" containsNumber="1" containsInteger="1" minValue="0" maxValue="0"/>
    </cacheField>
    <cacheField name="Complexity: Uncertain information (unreliable data)" numFmtId="0">
      <sharedItems containsSemiMixedTypes="0" containsString="0" containsNumber="1" containsInteger="1" minValue="0" maxValue="1"/>
    </cacheField>
    <cacheField name="Complexity: Unintended effects (managing side effects)" numFmtId="0">
      <sharedItems containsSemiMixedTypes="0" containsString="0" containsNumber="1" containsInteger="1" minValue="0" maxValue="1"/>
    </cacheField>
    <cacheField name="Complexity: Absence of strong signals (no alarms, no threshold" numFmtId="0">
      <sharedItems containsSemiMixedTypes="0" containsString="0" containsNumber="1" containsInteger="1" minValue="0" maxValue="1"/>
    </cacheField>
    <cacheField name="max" numFmtId="0">
      <sharedItems/>
    </cacheField>
    <cacheField name="Category: Detecting" numFmtId="0">
      <sharedItems containsSemiMixedTypes="0" containsString="0" containsNumber="1" containsInteger="1" minValue="0" maxValue="1"/>
    </cacheField>
    <cacheField name="Category: Sensemaking" numFmtId="0">
      <sharedItems containsSemiMixedTypes="0" containsString="0" containsNumber="1" containsInteger="1" minValue="0" maxValue="2"/>
    </cacheField>
    <cacheField name="Category: Planning" numFmtId="0">
      <sharedItems containsSemiMixedTypes="0" containsString="0" containsNumber="1" containsInteger="1" minValue="0" maxValue="2"/>
    </cacheField>
    <cacheField name="Category: Deciding" numFmtId="0">
      <sharedItems containsSemiMixedTypes="0" containsString="0" containsNumber="1" containsInteger="1" minValue="0" maxValue="2"/>
    </cacheField>
    <cacheField name="Category: Coordination" numFmtId="0">
      <sharedItems containsSemiMixedTypes="0" containsString="0" containsNumber="1" containsInteger="1" minValue="0" maxValue="2"/>
    </cacheField>
    <cacheField name="Category: Executin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89.65444027778" createdVersion="8" refreshedVersion="8" minRefreshableVersion="3" recordCount="27" xr:uid="{A424D267-C6AA-BF43-AE72-FFC5682BE56B}">
  <cacheSource type="worksheet">
    <worksheetSource ref="A1:W1048576" sheet="airtable"/>
  </cacheSource>
  <cacheFields count="23">
    <cacheField name="Date" numFmtId="0">
      <sharedItems containsNonDate="0" containsDate="1" containsString="0" containsBlank="1" minDate="2025-11-28T00:00:00" maxDate="2026-03-13T00:00:00"/>
    </cacheField>
    <cacheField name="Month" numFmtId="0">
      <sharedItems containsNonDate="0" containsDate="1" containsString="0" containsBlank="1" minDate="2025-11-01T00:00:00" maxDate="2026-03-02T00:00:00" count="5">
        <d v="2025-11-01T00:00:00"/>
        <d v="2026-01-01T00:00:00"/>
        <d v="2026-02-01T00:00:00"/>
        <d v="2026-03-01T00:00:00"/>
        <m/>
      </sharedItems>
    </cacheField>
    <cacheField name="Time" numFmtId="0">
      <sharedItems containsNonDate="0" containsDate="1" containsString="0" containsBlank="1" minDate="1899-12-30T10:00:00" maxDate="1899-12-30T16:30:00"/>
    </cacheField>
    <cacheField name="Name" numFmtId="0">
      <sharedItems containsBlank="1"/>
    </cacheField>
    <cacheField name="Company" numFmtId="0">
      <sharedItems containsBlank="1"/>
    </cacheField>
    <cacheField name="Sessions Done" numFmtId="0">
      <sharedItems containsBlank="1" containsMixedTypes="1" containsNumber="1" containsInteger="1" minValue="2" maxValue="4"/>
    </cacheField>
    <cacheField name="Session Plan" numFmtId="0">
      <sharedItems containsBlank="1"/>
    </cacheField>
    <cacheField name="AI" numFmtId="0">
      <sharedItems containsNonDate="0" containsString="0" containsBlank="1"/>
    </cacheField>
    <cacheField name="Lead" numFmtId="0">
      <sharedItems containsBlank="1"/>
    </cacheField>
    <cacheField name="Star Guru" numFmtId="0">
      <sharedItems containsBlank="1"/>
    </cacheField>
    <cacheField name="Session Notes" numFmtId="0">
      <sharedItems containsBlank="1"/>
    </cacheField>
    <cacheField name="GUOT" numFmtId="0">
      <sharedItems containsBlank="1" containsMixedTypes="1" containsNumber="1" containsInteger="1" minValue="5" maxValue="10"/>
    </cacheField>
    <cacheField name="Score Notes" numFmtId="0">
      <sharedItems containsBlank="1"/>
    </cacheField>
    <cacheField name="Session ID" numFmtId="0">
      <sharedItems containsString="0" containsBlank="1" containsNumber="1" containsInteger="1" minValue="7598" maxValue="7812"/>
    </cacheField>
    <cacheField name="Changes Required" numFmtId="0">
      <sharedItems containsNonDate="0" containsString="0" containsBlank="1"/>
    </cacheField>
    <cacheField name="Data Reviewed" numFmtId="0">
      <sharedItems containsBlank="1"/>
    </cacheField>
    <cacheField name="Session Reprocessed" numFmtId="0">
      <sharedItems containsNonDate="0" containsString="0" containsBlank="1"/>
    </cacheField>
    <cacheField name="Attendance" numFmtId="0">
      <sharedItems containsBlank="1"/>
    </cacheField>
    <cacheField name="Attendance Reason" numFmtId="0">
      <sharedItems containsNonDate="0" containsString="0" containsBlank="1"/>
    </cacheField>
    <cacheField name="INC #" numFmtId="0">
      <sharedItems containsBlank="1"/>
    </cacheField>
    <cacheField name="Technical Issues" numFmtId="0">
      <sharedItems containsBlank="1"/>
    </cacheField>
    <cacheField name="Technical Issue Reason" numFmtId="0">
      <sharedItems containsBlank="1"/>
    </cacheField>
    <cacheField name="Notes for Mildr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025-11-28 00:00:00.000 +0000"/>
    <d v="2025-11-01T00:00:00"/>
    <s v="Friday   "/>
    <d v="1899-12-30T00:28:32"/>
    <n v="30"/>
    <s v="DEFCON 1"/>
    <x v="0"/>
    <s v="COMPLETED"/>
    <n v="0.77777777777777701"/>
    <n v="1"/>
    <n v="0.33333333333333298"/>
    <n v="0.4"/>
    <n v="0.454545454545453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02 00:00:00.000 +0000"/>
    <d v="2026-02-01T00:00:00"/>
    <s v="Monday   "/>
    <d v="1899-12-30T00:13:04"/>
    <n v="29"/>
    <s v="Too Good To Be True"/>
    <x v="1"/>
    <s v="COMPLETED"/>
    <n v="0.44444444444444398"/>
    <n v="0.5"/>
    <n v="0.5"/>
    <n v="0.53333333333333299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7:23"/>
    <n v="29"/>
    <s v="Too Good To Be True"/>
    <x v="2"/>
    <s v="COMPLETED"/>
    <n v="0.55555555555555503"/>
    <n v="0.5"/>
    <n v="0.5"/>
    <n v="0.266666666666666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4:07"/>
    <n v="29"/>
    <s v="Too Good To Be True"/>
    <x v="3"/>
    <s v="COMPLETED"/>
    <n v="0.66666666666666596"/>
    <n v="0.5"/>
    <n v="0.66666666666666596"/>
    <n v="0.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5:33"/>
    <n v="29"/>
    <s v="Too Good To Be True"/>
    <x v="4"/>
    <s v="COMPLETED"/>
    <n v="0.44444444444444398"/>
    <n v="1"/>
    <n v="0.83333333333333304"/>
    <n v="0.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4 00:00:00.000 +0000"/>
    <d v="2026-02-01T00:00:00"/>
    <s v="Wednesday"/>
    <d v="1899-12-30T00:18:37"/>
    <n v="29"/>
    <s v="Too Good To Be True"/>
    <x v="5"/>
    <s v="COMPLETED"/>
    <n v="0.88888888888888795"/>
    <n v="0.5"/>
    <n v="0.83333333333333304"/>
    <n v="0.6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4 00:00:00.000 +0000"/>
    <d v="2026-02-01T00:00:00"/>
    <s v="Wednesday"/>
    <d v="1899-12-30T00:17:17"/>
    <n v="26"/>
    <s v="Discount Disaster"/>
    <x v="1"/>
    <s v="COMPLETED"/>
    <n v="0.77777777777777701"/>
    <n v="0.5"/>
    <n v="0.5"/>
    <n v="0.46666666666666601"/>
    <n v="0.454545454545453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27:23"/>
    <n v="26"/>
    <s v="Discount Disaster Workshop"/>
    <x v="2"/>
    <s v="COMPLETED"/>
    <n v="0.66666666666666596"/>
    <n v="0.5"/>
    <n v="0.5"/>
    <n v="0.2"/>
    <n v="9.0909090909090898E-2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14:05"/>
    <n v="26"/>
    <s v="Discount Disaster Workshop"/>
    <x v="3"/>
    <s v="COMPLETED"/>
    <n v="0.66666666666666596"/>
    <n v="0.5"/>
    <n v="0.66666666666666596"/>
    <n v="0.33333333333333298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24:00"/>
    <n v="33"/>
    <s v="The Unknown Unknown"/>
    <x v="1"/>
    <s v="COMPLETED"/>
    <n v="0.55555555555555503"/>
    <n v="1"/>
    <n v="0.5"/>
    <n v="0.33333333333333298"/>
    <n v="0.1818181818181809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0 00:00:00.000 +0000"/>
    <d v="2026-02-01T00:00:00"/>
    <s v="Tuesday  "/>
    <d v="1899-12-30T00:21:41"/>
    <n v="26"/>
    <s v="Discount Disaster Workshop"/>
    <x v="4"/>
    <s v="COMPLETED"/>
    <n v="0.55555555555555503"/>
    <n v="0.5"/>
    <n v="0.5"/>
    <n v="0.266666666666666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18:23"/>
    <n v="28"/>
    <s v="Memory Lane"/>
    <x v="0"/>
    <s v="COMPLETED"/>
    <n v="0.66666666666666596"/>
    <n v="0.5"/>
    <n v="0.5"/>
    <n v="0.53333333333333299"/>
    <n v="0.454545454545453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6-02-17 00:00:00.000 +0000"/>
    <d v="2026-02-01T00:00:00"/>
    <s v="Tuesday  "/>
    <d v="1899-12-30T00:32:08"/>
    <n v="30"/>
    <s v="DEFCON 1"/>
    <x v="2"/>
    <s v="COMPLETED"/>
    <n v="0.55555555555555503"/>
    <n v="0.5"/>
    <n v="0.5"/>
    <n v="0.266666666666666"/>
    <n v="9.0909090909090898E-2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17 00:00:00.000 +0000"/>
    <d v="2026-02-01T00:00:00"/>
    <s v="Tuesday  "/>
    <d v="1899-12-30T00:32:11"/>
    <n v="33"/>
    <s v="The Unknown Unknown"/>
    <x v="4"/>
    <s v="COMPLETED"/>
    <n v="0.55555555555555503"/>
    <n v="0"/>
    <n v="0"/>
    <n v="0.53333333333333299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8 00:00:00.000 +0000"/>
    <d v="2026-02-01T00:00:00"/>
    <s v="Wednesday"/>
    <d v="1899-12-30T00:34:48"/>
    <n v="33"/>
    <s v="The Unknown Unknown"/>
    <x v="5"/>
    <s v="COMPLETED"/>
    <n v="0.66666666666666596"/>
    <n v="0.5"/>
    <n v="0.66666666666666596"/>
    <n v="0.46666666666666601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9 00:00:00.000 +0000"/>
    <d v="2026-02-01T00:00:00"/>
    <s v="Thursday "/>
    <d v="1899-12-30T00:32:44"/>
    <n v="33"/>
    <s v="The Unknown Unknown"/>
    <x v="3"/>
    <s v="COMPLETED"/>
    <n v="0.88888888888888795"/>
    <n v="1"/>
    <n v="0.66666666666666596"/>
    <n v="0.66666666666666596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20 00:00:00.000 +0000"/>
    <d v="2026-02-01T00:00:00"/>
    <s v="Friday   "/>
    <d v="1899-12-30T00:11:52"/>
    <n v="3"/>
    <s v="Too Good To Be True"/>
    <x v="6"/>
    <s v="COMPLETED"/>
    <n v="0.77777777777777701"/>
    <n v="1.5"/>
    <n v="0.5"/>
    <n v="0.6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24 00:00:00.000 +0000"/>
    <d v="2026-02-01T00:00:00"/>
    <s v="Tuesday  "/>
    <d v="1899-12-30T00:35:01"/>
    <n v="33"/>
    <s v="The Unknown Unknown"/>
    <x v="6"/>
    <s v="COMPLETED"/>
    <n v="0.77777777777777701"/>
    <n v="1"/>
    <n v="0.66666666666666596"/>
    <n v="0.66666666666666596"/>
    <n v="0.6363636363636360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24 00:00:00.000 +0000"/>
    <d v="2026-02-01T00:00:00"/>
    <s v="Tuesday  "/>
    <d v="1899-12-30T00:27:13"/>
    <n v="30"/>
    <s v="DEFCON 1"/>
    <x v="4"/>
    <s v="COMPLETED"/>
    <n v="0.88888888888888795"/>
    <n v="1"/>
    <n v="0.5"/>
    <n v="0.53333333333333299"/>
    <n v="0.72727272727272696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26 00:00:00.000 +0000"/>
    <d v="2026-02-01T00:00:00"/>
    <s v="Thursday "/>
    <d v="1899-12-30T00:24:37"/>
    <n v="26"/>
    <s v="Discount Disaster Workshop"/>
    <x v="7"/>
    <s v="COMPLETED"/>
    <n v="0.66666666666666596"/>
    <n v="0.5"/>
    <n v="0.66666666666666596"/>
    <n v="0.4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3-03 00:00:00.000 +0000"/>
    <d v="2026-03-01T00:00:00"/>
    <s v="Tuesday  "/>
    <d v="1899-12-30T00:32:18"/>
    <n v="30"/>
    <s v="DEFCON 1"/>
    <x v="1"/>
    <s v="COMPLETED"/>
    <n v="0.77777777777777701"/>
    <n v="1"/>
    <n v="0.66666666666666596"/>
    <n v="0.86666666666666603"/>
    <n v="0.81818181818181801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3-04 00:00:00.000 +0000"/>
    <d v="2026-03-01T00:00:00"/>
    <s v="Wednesday"/>
    <d v="1899-12-30T00:32:03"/>
    <n v="30"/>
    <s v="DEFCON 1"/>
    <x v="7"/>
    <s v="COMPLETED"/>
    <n v="0.77777777777777701"/>
    <n v="0.5"/>
    <n v="0.5"/>
    <n v="0.6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m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2025-11-28 00:00:00.000 +0000"/>
    <d v="2025-11-01T00:00:00"/>
    <s v="Friday   "/>
    <d v="1899-12-30T00:28:32"/>
    <n v="30"/>
    <s v="DEFCON 1"/>
    <x v="0"/>
    <s v="COMPLETED"/>
    <n v="0.66666666666666596"/>
    <n v="1"/>
    <n v="0.33333333333333298"/>
    <n v="0.4"/>
    <n v="0.454545454545453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02 00:00:00.000 +0000"/>
    <d v="2026-02-01T00:00:00"/>
    <s v="Monday   "/>
    <d v="1899-12-30T00:13:04"/>
    <n v="29"/>
    <s v="Too Good To Be True"/>
    <x v="1"/>
    <s v="COMPLETED"/>
    <n v="0.44444444444444398"/>
    <n v="0.5"/>
    <n v="0.5"/>
    <n v="0.4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7:23"/>
    <n v="29"/>
    <s v="Too Good To Be True"/>
    <x v="2"/>
    <s v="COMPLETED"/>
    <n v="0.44444444444444398"/>
    <n v="0.5"/>
    <n v="0.5"/>
    <n v="0.266666666666666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4:07"/>
    <n v="29"/>
    <s v="Too Good To Be True"/>
    <x v="3"/>
    <s v="COMPLETED"/>
    <n v="0.55555555555555503"/>
    <n v="0.5"/>
    <n v="0.66666666666666596"/>
    <n v="0.33333333333333298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3 00:00:00.000 +0000"/>
    <d v="2026-02-01T00:00:00"/>
    <s v="Tuesday  "/>
    <d v="1899-12-30T00:15:33"/>
    <n v="29"/>
    <s v="Too Good To Be True"/>
    <x v="4"/>
    <s v="COMPLETED"/>
    <n v="0.22222222222222199"/>
    <n v="0.5"/>
    <n v="0.5"/>
    <n v="0.266666666666666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4 00:00:00.000 +0000"/>
    <d v="2026-02-01T00:00:00"/>
    <s v="Wednesday"/>
    <d v="1899-12-30T00:18:37"/>
    <n v="29"/>
    <s v="Too Good To Be True"/>
    <x v="5"/>
    <s v="COMPLETED"/>
    <n v="0.66666666666666596"/>
    <n v="0.5"/>
    <n v="0.83333333333333304"/>
    <n v="0.53333333333333299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4 00:00:00.000 +0000"/>
    <d v="2026-02-01T00:00:00"/>
    <s v="Wednesday"/>
    <d v="1899-12-30T00:17:17"/>
    <n v="26"/>
    <s v="Discount Disaster"/>
    <x v="1"/>
    <s v="COMPLETED"/>
    <n v="0.66666666666666596"/>
    <n v="0.5"/>
    <n v="0.5"/>
    <n v="0.33333333333333298"/>
    <n v="0.363636363636362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27:23"/>
    <n v="26"/>
    <s v="Discount Disaster Workshop"/>
    <x v="2"/>
    <s v="COMPLETED"/>
    <n v="0.66666666666666596"/>
    <n v="0.5"/>
    <n v="0.5"/>
    <n v="0.2"/>
    <n v="9.0909090909090898E-2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14:05"/>
    <n v="26"/>
    <s v="Discount Disaster Workshop"/>
    <x v="3"/>
    <s v="COMPLETED"/>
    <n v="0.66666666666666596"/>
    <n v="0.5"/>
    <n v="0.66666666666666596"/>
    <n v="0.33333333333333298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24:00"/>
    <n v="33"/>
    <s v="The Unknown Unknown"/>
    <x v="1"/>
    <s v="COMPLETED"/>
    <n v="0.55555555555555503"/>
    <n v="1"/>
    <n v="0.5"/>
    <n v="0.266666666666666"/>
    <n v="9.0909090909090898E-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0 00:00:00.000 +0000"/>
    <d v="2026-02-01T00:00:00"/>
    <s v="Tuesday  "/>
    <d v="1899-12-30T00:21:41"/>
    <n v="26"/>
    <s v="Discount Disaster Workshop"/>
    <x v="4"/>
    <s v="COMPLETED"/>
    <n v="0.44444444444444398"/>
    <n v="0.5"/>
    <n v="0.5"/>
    <n v="0.266666666666666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0 00:00:00.000 +0000"/>
    <d v="2026-02-01T00:00:00"/>
    <s v="Tuesday  "/>
    <d v="1899-12-30T00:18:23"/>
    <n v="28"/>
    <s v="Memory Lane"/>
    <x v="0"/>
    <s v="COMPLETED"/>
    <n v="0.66666666666666596"/>
    <n v="0.5"/>
    <n v="0.5"/>
    <n v="0.53333333333333299"/>
    <n v="0.4545454545454539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s v="-"/>
    <n v="0"/>
    <n v="1"/>
    <n v="1"/>
    <n v="1"/>
    <n v="0"/>
    <n v="1"/>
  </r>
  <r>
    <s v="2026-02-17 00:00:00.000 +0000"/>
    <d v="2026-02-01T00:00:00"/>
    <s v="Tuesday  "/>
    <d v="1899-12-30T00:32:08"/>
    <n v="30"/>
    <s v="DEFCON 1"/>
    <x v="2"/>
    <s v="COMPLETED"/>
    <n v="0.55555555555555503"/>
    <n v="0.5"/>
    <n v="0.5"/>
    <n v="0.266666666666666"/>
    <n v="9.0909090909090898E-2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17 00:00:00.000 +0000"/>
    <d v="2026-02-01T00:00:00"/>
    <s v="Tuesday  "/>
    <d v="1899-12-30T00:32:11"/>
    <n v="33"/>
    <s v="The Unknown Unknown"/>
    <x v="4"/>
    <s v="COMPLETED"/>
    <n v="0.55555555555555503"/>
    <n v="0"/>
    <n v="0"/>
    <n v="0.53333333333333299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8 00:00:00.000 +0000"/>
    <d v="2026-02-01T00:00:00"/>
    <s v="Wednesday"/>
    <d v="1899-12-30T00:34:48"/>
    <n v="33"/>
    <s v="The Unknown Unknown"/>
    <x v="5"/>
    <s v="COMPLETED"/>
    <n v="0.66666666666666596"/>
    <n v="0.5"/>
    <n v="0.66666666666666596"/>
    <n v="0.46666666666666601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19 00:00:00.000 +0000"/>
    <d v="2026-02-01T00:00:00"/>
    <s v="Thursday "/>
    <d v="1899-12-30T00:32:44"/>
    <n v="33"/>
    <s v="The Unknown Unknown"/>
    <x v="3"/>
    <s v="COMPLETED"/>
    <n v="0.88888888888888795"/>
    <n v="1"/>
    <n v="0.66666666666666596"/>
    <n v="0.6"/>
    <n v="0.2727272727272719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20 00:00:00.000 +0000"/>
    <d v="2026-02-01T00:00:00"/>
    <s v="Friday   "/>
    <d v="1899-12-30T00:11:52"/>
    <n v="3"/>
    <s v="Too Good To Be True"/>
    <x v="6"/>
    <s v="COMPLETED"/>
    <n v="0.77777777777777701"/>
    <n v="1"/>
    <n v="0.33333333333333298"/>
    <n v="0.6"/>
    <n v="0.272727272727271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24 00:00:00.000 +0000"/>
    <d v="2026-02-01T00:00:00"/>
    <s v="Tuesday  "/>
    <d v="1899-12-30T00:35:01"/>
    <n v="33"/>
    <s v="The Unknown Unknown"/>
    <x v="6"/>
    <s v="COMPLETED"/>
    <n v="0.77777777777777701"/>
    <n v="1"/>
    <n v="0.66666666666666596"/>
    <n v="0.66666666666666596"/>
    <n v="0.6363636363636360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24 00:00:00.000 +0000"/>
    <d v="2026-02-01T00:00:00"/>
    <s v="Tuesday  "/>
    <d v="1899-12-30T00:27:13"/>
    <n v="30"/>
    <s v="DEFCON 1"/>
    <x v="4"/>
    <s v="COMPLETED"/>
    <n v="0.66666666666666596"/>
    <n v="1"/>
    <n v="0.5"/>
    <n v="0.46666666666666601"/>
    <n v="0.63636363636363602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26 00:00:00.000 +0000"/>
    <d v="2026-02-01T00:00:00"/>
    <s v="Thursday "/>
    <d v="1899-12-30T00:24:37"/>
    <n v="26"/>
    <s v="Discount Disaster Workshop"/>
    <x v="7"/>
    <s v="COMPLETED"/>
    <n v="0.66666666666666596"/>
    <n v="0.5"/>
    <n v="0.5"/>
    <n v="0.4"/>
    <n v="0.272727272727271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3-03 00:00:00.000 +0000"/>
    <d v="2026-03-01T00:00:00"/>
    <s v="Tuesday  "/>
    <d v="1899-12-30T00:32:18"/>
    <n v="30"/>
    <s v="DEFCON 1"/>
    <x v="1"/>
    <s v="COMPLETED"/>
    <n v="0.77777777777777701"/>
    <n v="1"/>
    <n v="0.66666666666666596"/>
    <n v="0.8"/>
    <n v="0.72727272727272696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3-04 00:00:00.000 +0000"/>
    <d v="2026-03-01T00:00:00"/>
    <s v="Wednesday"/>
    <d v="1899-12-30T00:32:03"/>
    <n v="30"/>
    <s v="DEFCON 1"/>
    <x v="7"/>
    <s v="COMPLETED"/>
    <n v="0.77777777777777701"/>
    <n v="0.5"/>
    <n v="0.5"/>
    <n v="0.6"/>
    <n v="0.54545454545454497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5-11-28T00:00:00"/>
    <x v="0"/>
    <d v="1899-12-30T15:00:00"/>
    <s v="Julian,Oli"/>
    <s v="Gearset (Pilot)"/>
    <n v="3"/>
    <s v="Defcon1,Demo"/>
    <m/>
    <s v="Joe"/>
    <s v="Karan"/>
    <m/>
    <m/>
    <m/>
    <m/>
    <m/>
    <m/>
    <m/>
    <s v="Attended"/>
    <m/>
    <m/>
    <m/>
    <m/>
    <m/>
  </r>
  <r>
    <d v="2026-01-28T00:00:00"/>
    <x v="1"/>
    <d v="1899-12-30T16:30:00"/>
    <s v="Julian,Sam,Gwen,Adam,Jason,Andy,Eamonn,Matt"/>
    <s v="Gearset (Pilot)"/>
    <s v="3, 4, 4, 3, 4, 3, 2, 3"/>
    <s v="Onboarding,Demo"/>
    <m/>
    <s v="Karan"/>
    <s v="Joe"/>
    <m/>
    <m/>
    <m/>
    <m/>
    <m/>
    <m/>
    <m/>
    <s v="Attended"/>
    <m/>
    <m/>
    <m/>
    <m/>
    <m/>
  </r>
  <r>
    <d v="2026-02-02T00:00:00"/>
    <x v="2"/>
    <d v="1899-12-30T14:00:00"/>
    <s v="Gwen"/>
    <s v="Gearset (Pilot)"/>
    <n v="4"/>
    <s v="Too Good To Be True,Demo"/>
    <m/>
    <s v="Karan"/>
    <m/>
    <s v="First solo session"/>
    <m/>
    <m/>
    <m/>
    <m/>
    <m/>
    <m/>
    <s v="Attended"/>
    <m/>
    <m/>
    <m/>
    <m/>
    <m/>
  </r>
  <r>
    <d v="2026-02-03T00:00:00"/>
    <x v="2"/>
    <d v="1899-12-30T10:00:00"/>
    <s v="Adam"/>
    <s v="Gearset (Pilot)"/>
    <n v="3"/>
    <s v="Too Good To Be True,Demo"/>
    <m/>
    <s v="Karan"/>
    <m/>
    <s v="First solo session"/>
    <n v="9"/>
    <m/>
    <n v="7598"/>
    <m/>
    <s v="checked"/>
    <m/>
    <s v="Attended"/>
    <m/>
    <m/>
    <m/>
    <m/>
    <m/>
  </r>
  <r>
    <d v="2026-02-03T00:00:00"/>
    <x v="2"/>
    <d v="1899-12-30T11:00:00"/>
    <s v="Sam"/>
    <s v="Gearset (Pilot)"/>
    <n v="4"/>
    <s v="Too Good To Be True,Demo"/>
    <m/>
    <s v="Karan"/>
    <m/>
    <s v="First solo session"/>
    <n v="9"/>
    <m/>
    <n v="7600"/>
    <m/>
    <m/>
    <m/>
    <s v="Attended"/>
    <m/>
    <m/>
    <m/>
    <m/>
    <m/>
  </r>
  <r>
    <d v="2026-02-03T00:00:00"/>
    <x v="2"/>
    <d v="1899-12-30T14:00:00"/>
    <s v="Jason"/>
    <s v="Gearset (Pilot)"/>
    <n v="4"/>
    <s v="Too Good To Be True,Demo"/>
    <m/>
    <s v="Karan"/>
    <m/>
    <s v="First solo session"/>
    <n v="7"/>
    <m/>
    <m/>
    <m/>
    <m/>
    <m/>
    <s v="Attended"/>
    <m/>
    <m/>
    <m/>
    <m/>
    <m/>
  </r>
  <r>
    <d v="2026-02-04T00:00:00"/>
    <x v="2"/>
    <d v="1899-12-30T10:00:00"/>
    <s v="Matt"/>
    <s v="Gearset (Pilot)"/>
    <n v="3"/>
    <s v="Too Good To Be True,Demo"/>
    <m/>
    <s v="Karan"/>
    <m/>
    <s v="First solo session"/>
    <n v="8"/>
    <m/>
    <m/>
    <m/>
    <m/>
    <m/>
    <s v="Attended"/>
    <m/>
    <m/>
    <m/>
    <m/>
    <m/>
  </r>
  <r>
    <d v="2026-02-04T00:00:00"/>
    <x v="2"/>
    <d v="1899-12-30T14:00:00"/>
    <s v="Gwen"/>
    <s v="Gearset (Pilot)"/>
    <n v="4"/>
    <s v="Discount Disaster,Demo"/>
    <m/>
    <s v="Karan"/>
    <m/>
    <s v="Second solo session"/>
    <n v="6"/>
    <m/>
    <m/>
    <m/>
    <m/>
    <m/>
    <s v="Attended"/>
    <m/>
    <m/>
    <m/>
    <m/>
    <m/>
  </r>
  <r>
    <d v="2026-02-10T00:00:00"/>
    <x v="2"/>
    <d v="1899-12-30T10:00:00"/>
    <s v="Adam"/>
    <s v="Gearset (Pilot)"/>
    <n v="3"/>
    <s v="Discount Disaster,Demo"/>
    <m/>
    <s v="Joe"/>
    <s v="Matthew"/>
    <s v="Second solo session"/>
    <n v="9"/>
    <m/>
    <m/>
    <m/>
    <m/>
    <m/>
    <s v="Attended"/>
    <m/>
    <s v="INC-401 Discount Disaster starting in slack"/>
    <s v="checked"/>
    <s v="when you click on discount disaster, start the drill, click on the green call to action button -&gt; it opens the new tab of slack instead of MM"/>
    <m/>
  </r>
  <r>
    <d v="2026-02-10T00:00:00"/>
    <x v="2"/>
    <d v="1899-12-30T10:30:00"/>
    <s v="Sam"/>
    <s v="Gearset (Pilot)"/>
    <n v="4"/>
    <s v="Discount Disaster,Demo"/>
    <m/>
    <s v="Karan"/>
    <m/>
    <s v="Second solo session"/>
    <n v="8"/>
    <m/>
    <n v="7767"/>
    <m/>
    <m/>
    <m/>
    <s v="Attended"/>
    <m/>
    <m/>
    <s v="checked"/>
    <s v="Discount disaster opened in Slack Saml_x000a__x000a_Looks like the stats arent matching - Graffana failed to show the logins to 6k"/>
    <m/>
  </r>
  <r>
    <d v="2026-02-10T00:00:00"/>
    <x v="2"/>
    <d v="1899-12-30T14:00:00"/>
    <s v="Jason"/>
    <s v="Gearset (Pilot)"/>
    <n v="4"/>
    <s v="Discount Disaster,Demo"/>
    <m/>
    <s v="Rishi"/>
    <m/>
    <s v="Second solo session"/>
    <n v="7"/>
    <m/>
    <n v="7685"/>
    <m/>
    <m/>
    <m/>
    <s v="Attended"/>
    <m/>
    <m/>
    <s v="checked"/>
    <s v="Discount disaster opened in Slack Saml_x000a__x000a_Looks like the stats arent matching - Graffana failed to show the logins to 6k"/>
    <m/>
  </r>
  <r>
    <d v="2026-02-10T00:00:00"/>
    <x v="2"/>
    <d v="1899-12-30T14:00:00"/>
    <s v="Gwen"/>
    <s v="Gearset (Pilot)"/>
    <n v="4"/>
    <s v="Unknown Unknown,Demo"/>
    <m/>
    <s v="Karan"/>
    <m/>
    <s v="Third solo session"/>
    <n v="5"/>
    <m/>
    <m/>
    <m/>
    <m/>
    <m/>
    <s v="Attended"/>
    <m/>
    <m/>
    <m/>
    <m/>
    <m/>
  </r>
  <r>
    <d v="2026-02-10T00:00:00"/>
    <x v="2"/>
    <d v="1899-12-30T15:00:00"/>
    <s v="Julian"/>
    <s v="Gearset (Pilot)"/>
    <n v="3"/>
    <s v="Memory Lane,Demo"/>
    <m/>
    <s v="Karan"/>
    <m/>
    <s v="First solo session"/>
    <n v="7"/>
    <m/>
    <m/>
    <m/>
    <m/>
    <m/>
    <s v="Attended"/>
    <m/>
    <m/>
    <m/>
    <m/>
    <m/>
  </r>
  <r>
    <d v="2026-02-16T00:00:00"/>
    <x v="2"/>
    <d v="1899-12-30T14:00:00"/>
    <s v="Matt"/>
    <s v="Gearset (Pilot)"/>
    <n v="3"/>
    <s v="Discount Disaster,Demo"/>
    <m/>
    <s v="Karan"/>
    <m/>
    <s v="Second solo session"/>
    <s v="No Score"/>
    <m/>
    <m/>
    <m/>
    <m/>
    <m/>
    <s v="Attended"/>
    <m/>
    <m/>
    <s v="checked"/>
    <s v="AI was selected due to bug in system"/>
    <m/>
  </r>
  <r>
    <d v="2026-02-17T00:00:00"/>
    <x v="2"/>
    <d v="1899-12-30T10:00:00"/>
    <s v="Adam"/>
    <s v="Gearset (Pilot)"/>
    <n v="3"/>
    <s v="Defcon1,Demo"/>
    <m/>
    <s v="Karan"/>
    <m/>
    <s v="Third solo session"/>
    <n v="10"/>
    <m/>
    <m/>
    <m/>
    <m/>
    <m/>
    <s v="Attended"/>
    <m/>
    <m/>
    <m/>
    <m/>
    <m/>
  </r>
  <r>
    <d v="2026-02-17T00:00:00"/>
    <x v="2"/>
    <d v="1899-12-30T14:00:00"/>
    <s v="Jason"/>
    <s v="Gearset (Pilot)"/>
    <n v="4"/>
    <s v="Unknown Unknown,Demo"/>
    <m/>
    <s v="Karan"/>
    <m/>
    <s v="Third solo session"/>
    <n v="7"/>
    <m/>
    <m/>
    <m/>
    <m/>
    <m/>
    <s v="Attended"/>
    <m/>
    <m/>
    <m/>
    <m/>
    <m/>
  </r>
  <r>
    <d v="2026-02-18T00:00:00"/>
    <x v="2"/>
    <d v="1899-12-30T10:00:00"/>
    <s v="Matt"/>
    <s v="Gearset (Pilot)"/>
    <n v="3"/>
    <s v="Unknown Unknown,Demo"/>
    <m/>
    <s v="Stuart"/>
    <s v="Rishi"/>
    <s v="Third solo session"/>
    <n v="8"/>
    <m/>
    <m/>
    <m/>
    <m/>
    <m/>
    <s v="Attended"/>
    <m/>
    <m/>
    <m/>
    <m/>
    <m/>
  </r>
  <r>
    <d v="2026-02-19T00:00:00"/>
    <x v="2"/>
    <d v="1899-12-30T10:00:00"/>
    <s v="Sam"/>
    <s v="Gearset (Pilot)"/>
    <n v="4"/>
    <s v="Unknown Unknown,Demo"/>
    <m/>
    <s v="Karan"/>
    <m/>
    <s v="Third solo session"/>
    <n v="8"/>
    <m/>
    <m/>
    <m/>
    <m/>
    <m/>
    <s v="Attended"/>
    <m/>
    <m/>
    <m/>
    <m/>
    <m/>
  </r>
  <r>
    <d v="2026-02-20T00:00:00"/>
    <x v="2"/>
    <d v="1899-12-30T15:00:00"/>
    <s v="Andy"/>
    <s v="Gearset (Pilot)"/>
    <n v="3"/>
    <s v="Too Good To Be True,Demo"/>
    <m/>
    <s v="Karan"/>
    <m/>
    <s v="First solo session"/>
    <n v="9"/>
    <s v="Its an organised Chaos ._x000a_Good intro to the platform - REalistic drill ._x000a__x000a_Seemed pausible enough as a scenario "/>
    <n v="7789"/>
    <m/>
    <m/>
    <m/>
    <s v="Attended"/>
    <m/>
    <m/>
    <m/>
    <m/>
    <m/>
  </r>
  <r>
    <d v="2026-02-24T00:00:00"/>
    <x v="2"/>
    <d v="1899-12-30T11:00:00"/>
    <s v="Andy"/>
    <s v="Gearset (Pilot)"/>
    <n v="3"/>
    <s v="Discount Disaster,Demo"/>
    <m/>
    <s v="Karan"/>
    <m/>
    <s v="Second solo session"/>
    <n v="8"/>
    <m/>
    <m/>
    <m/>
    <m/>
    <m/>
    <s v="Attended"/>
    <m/>
    <m/>
    <m/>
    <m/>
    <m/>
  </r>
  <r>
    <d v="2026-02-24T00:00:00"/>
    <x v="2"/>
    <d v="1899-12-30T15:00:00"/>
    <s v="Julian,Jason"/>
    <s v="Gearset (Pilot)"/>
    <s v="3, 4"/>
    <s v="Team Drill,Defcon1,Demo"/>
    <m/>
    <s v="Karan"/>
    <s v="Rishi"/>
    <s v="First pair session"/>
    <n v="8"/>
    <m/>
    <n v="7812"/>
    <m/>
    <m/>
    <m/>
    <s v="Attended"/>
    <m/>
    <m/>
    <m/>
    <m/>
    <m/>
  </r>
  <r>
    <d v="2026-02-26T00:00:00"/>
    <x v="2"/>
    <d v="1899-12-30T10:00:00"/>
    <s v="Eamonn"/>
    <s v="Gearset (Pilot)"/>
    <n v="2"/>
    <s v="Discount Disaster,Demo"/>
    <m/>
    <s v="Joe"/>
    <s v="Karan"/>
    <s v="First solo session"/>
    <n v="8"/>
    <m/>
    <m/>
    <m/>
    <m/>
    <m/>
    <s v="Attended"/>
    <m/>
    <m/>
    <m/>
    <m/>
    <m/>
  </r>
  <r>
    <d v="2026-03-03T00:00:00"/>
    <x v="3"/>
    <d v="1899-12-30T10:00:00"/>
    <s v="Sam,Gwen"/>
    <s v="Gearset (Pilot)"/>
    <s v="4, 4"/>
    <s v="Team Drill,Defcon1,Demo"/>
    <m/>
    <s v="Karan"/>
    <s v="Joe,Rishi"/>
    <s v="First pair session"/>
    <n v="8"/>
    <m/>
    <m/>
    <m/>
    <m/>
    <m/>
    <s v="Attended"/>
    <m/>
    <m/>
    <m/>
    <m/>
    <m/>
  </r>
  <r>
    <d v="2026-03-04T00:00:00"/>
    <x v="3"/>
    <d v="1899-12-30T14:00:00"/>
    <s v="Andy,Eamonn"/>
    <s v="Gearset (Pilot)"/>
    <s v="3, 2"/>
    <s v="Demo,Team Drill,Defcon1"/>
    <m/>
    <s v="Karan"/>
    <s v="Rishi"/>
    <m/>
    <n v="7"/>
    <m/>
    <m/>
    <m/>
    <m/>
    <m/>
    <s v="Attended"/>
    <m/>
    <m/>
    <m/>
    <m/>
    <m/>
  </r>
  <r>
    <d v="2026-03-10T00:00:00"/>
    <x v="3"/>
    <d v="1899-12-30T11:00:00"/>
    <s v="Matt,Adam"/>
    <s v="Gearset (Pilot)"/>
    <s v="3, 3"/>
    <s v="Demo,Team Drill,Defcon1"/>
    <m/>
    <s v="Karan"/>
    <s v="Matthew"/>
    <m/>
    <m/>
    <m/>
    <m/>
    <m/>
    <m/>
    <m/>
    <m/>
    <m/>
    <m/>
    <m/>
    <m/>
    <m/>
  </r>
  <r>
    <d v="2026-03-12T00:00:00"/>
    <x v="3"/>
    <d v="1899-12-30T13:00:00"/>
    <s v="Readout"/>
    <s v="Gearset (Pilot)"/>
    <m/>
    <s v="Readout"/>
    <m/>
    <m/>
    <m/>
    <m/>
    <m/>
    <m/>
    <m/>
    <m/>
    <m/>
    <m/>
    <m/>
    <m/>
    <m/>
    <m/>
    <m/>
    <m/>
  </r>
  <r>
    <m/>
    <x v="4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937AF-CBCC-0043-8546-D3E7259E7AC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3">
    <pivotField showAll="0"/>
    <pivotField axis="axisRow" showAll="0">
      <items count="6">
        <item h="1" x="0"/>
        <item h="1"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2"/>
    </i>
    <i>
      <x v="3"/>
    </i>
    <i t="grand">
      <x/>
    </i>
  </rowItems>
  <colItems count="1">
    <i/>
  </colItems>
  <dataFields count="1">
    <dataField name="Average of GUOT" fld="11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4B366-C92C-CF46-9D04-0896CE7480E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G30" firstHeaderRow="0" firstDataRow="1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9">
        <item x="2"/>
        <item x="6"/>
        <item x="7"/>
        <item x="1"/>
        <item x="4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2"/>
    </i>
    <i>
      <x v="1"/>
    </i>
    <i>
      <x v="6"/>
    </i>
    <i>
      <x v="5"/>
    </i>
    <i>
      <x/>
    </i>
    <i>
      <x v="7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mmanding the Incident" fld="12" subtotal="average" baseField="0" baseItem="0"/>
    <dataField name="Internal Comms" fld="11" subtotal="average" baseField="0" baseItem="0"/>
    <dataField name="External Comms" fld="10" subtotal="average" baseField="0" baseItem="0"/>
    <dataField name="Incident Mechanics" fld="9" subtotal="average" baseField="0" baseItem="0"/>
    <dataField name="Identify Scope" fld="8" subtotal="average" baseField="0" baseItem="0"/>
    <dataField name="Count of session_sta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7435D-3085-F442-91EC-3C43499B8C9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10">
        <item x="2"/>
        <item x="6"/>
        <item x="7"/>
        <item x="1"/>
        <item x="4"/>
        <item x="0"/>
        <item x="5"/>
        <item x="3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2"/>
    </i>
    <i>
      <x v="1"/>
    </i>
    <i>
      <x v="6"/>
    </i>
    <i>
      <x v="5"/>
    </i>
    <i>
      <x/>
    </i>
    <i>
      <x v="7"/>
    </i>
    <i>
      <x v="3"/>
    </i>
    <i>
      <x v="4"/>
    </i>
    <i t="grand">
      <x/>
    </i>
  </rowItems>
  <colItems count="1">
    <i/>
  </colItems>
  <dataFields count="1">
    <dataField name="Count of session_star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D0CF-F9B0-2A47-9135-1DF455EFB899}">
  <dimension ref="A3:B6"/>
  <sheetViews>
    <sheetView workbookViewId="0">
      <selection activeCell="C43" sqref="C43"/>
    </sheetView>
  </sheetViews>
  <sheetFormatPr baseColWidth="10" defaultRowHeight="16" x14ac:dyDescent="0.2"/>
  <cols>
    <col min="1" max="1" width="13" bestFit="1" customWidth="1"/>
    <col min="2" max="2" width="14.83203125" bestFit="1" customWidth="1"/>
  </cols>
  <sheetData>
    <row r="3" spans="1:2" x14ac:dyDescent="0.2">
      <c r="A3" s="4" t="s">
        <v>80</v>
      </c>
      <c r="B3" t="s">
        <v>157</v>
      </c>
    </row>
    <row r="4" spans="1:2" x14ac:dyDescent="0.2">
      <c r="A4" s="9">
        <v>46054</v>
      </c>
      <c r="B4" s="3">
        <v>7.833333333333333</v>
      </c>
    </row>
    <row r="5" spans="1:2" x14ac:dyDescent="0.2">
      <c r="A5" s="9">
        <v>46082</v>
      </c>
      <c r="B5" s="3">
        <v>7.5</v>
      </c>
    </row>
    <row r="6" spans="1:2" x14ac:dyDescent="0.2">
      <c r="A6" s="5" t="s">
        <v>81</v>
      </c>
      <c r="B6" s="3">
        <v>7.8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DA74-B7C2-1741-AC04-35D9FE54E906}">
  <dimension ref="A1:W27"/>
  <sheetViews>
    <sheetView workbookViewId="0">
      <selection sqref="A1:XFD1048576"/>
    </sheetView>
  </sheetViews>
  <sheetFormatPr baseColWidth="10" defaultRowHeight="16" x14ac:dyDescent="0.2"/>
  <sheetData>
    <row r="1" spans="1:23" x14ac:dyDescent="0.2">
      <c r="A1" t="s">
        <v>156</v>
      </c>
      <c r="B1" t="s">
        <v>78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  <c r="S1" t="s">
        <v>139</v>
      </c>
      <c r="T1" t="s">
        <v>138</v>
      </c>
      <c r="U1" t="s">
        <v>137</v>
      </c>
      <c r="V1" t="s">
        <v>136</v>
      </c>
      <c r="W1" t="s">
        <v>135</v>
      </c>
    </row>
    <row r="2" spans="1:23" x14ac:dyDescent="0.2">
      <c r="A2" s="2">
        <v>45989</v>
      </c>
      <c r="B2" s="2">
        <f>DATE(YEAR(A2), MONTH(A2), 1)</f>
        <v>45962</v>
      </c>
      <c r="C2" s="7">
        <v>0.625</v>
      </c>
      <c r="D2" t="s">
        <v>134</v>
      </c>
      <c r="E2" t="s">
        <v>89</v>
      </c>
      <c r="F2">
        <v>3</v>
      </c>
      <c r="G2" t="s">
        <v>120</v>
      </c>
      <c r="I2" t="s">
        <v>105</v>
      </c>
      <c r="J2" t="s">
        <v>91</v>
      </c>
      <c r="R2" t="s">
        <v>95</v>
      </c>
    </row>
    <row r="3" spans="1:23" x14ac:dyDescent="0.2">
      <c r="A3" s="2">
        <v>46050</v>
      </c>
      <c r="B3" s="2">
        <f t="shared" ref="B3:B27" si="0">DATE(YEAR(A3), MONTH(A3), 1)</f>
        <v>46023</v>
      </c>
      <c r="C3" s="7">
        <v>0.6875</v>
      </c>
      <c r="D3" t="s">
        <v>133</v>
      </c>
      <c r="E3" t="s">
        <v>89</v>
      </c>
      <c r="F3" t="s">
        <v>132</v>
      </c>
      <c r="G3" t="s">
        <v>131</v>
      </c>
      <c r="I3" t="s">
        <v>91</v>
      </c>
      <c r="J3" t="s">
        <v>105</v>
      </c>
      <c r="R3" t="s">
        <v>95</v>
      </c>
    </row>
    <row r="4" spans="1:23" x14ac:dyDescent="0.2">
      <c r="A4" s="2">
        <v>46055</v>
      </c>
      <c r="B4" s="2">
        <f t="shared" si="0"/>
        <v>46054</v>
      </c>
      <c r="C4" s="7">
        <v>0.58333333333333337</v>
      </c>
      <c r="D4" t="s">
        <v>127</v>
      </c>
      <c r="E4" t="s">
        <v>89</v>
      </c>
      <c r="F4">
        <v>4</v>
      </c>
      <c r="G4" t="s">
        <v>113</v>
      </c>
      <c r="I4" t="s">
        <v>91</v>
      </c>
      <c r="K4" t="s">
        <v>104</v>
      </c>
      <c r="R4" t="s">
        <v>95</v>
      </c>
    </row>
    <row r="5" spans="1:23" x14ac:dyDescent="0.2">
      <c r="A5" s="2">
        <v>46056</v>
      </c>
      <c r="B5" s="2">
        <f t="shared" si="0"/>
        <v>46054</v>
      </c>
      <c r="C5" s="7">
        <v>0.41666666666666669</v>
      </c>
      <c r="D5" t="s">
        <v>121</v>
      </c>
      <c r="E5" t="s">
        <v>89</v>
      </c>
      <c r="F5">
        <v>3</v>
      </c>
      <c r="G5" t="s">
        <v>113</v>
      </c>
      <c r="I5" t="s">
        <v>91</v>
      </c>
      <c r="K5" t="s">
        <v>104</v>
      </c>
      <c r="L5">
        <v>9</v>
      </c>
      <c r="N5">
        <v>7598</v>
      </c>
      <c r="P5" t="s">
        <v>123</v>
      </c>
      <c r="R5" t="s">
        <v>95</v>
      </c>
    </row>
    <row r="6" spans="1:23" x14ac:dyDescent="0.2">
      <c r="A6" s="2">
        <v>46056</v>
      </c>
      <c r="B6" s="2">
        <f t="shared" si="0"/>
        <v>46054</v>
      </c>
      <c r="C6" s="7">
        <v>0.45833333333333331</v>
      </c>
      <c r="D6" t="s">
        <v>116</v>
      </c>
      <c r="E6" t="s">
        <v>89</v>
      </c>
      <c r="F6">
        <v>4</v>
      </c>
      <c r="G6" t="s">
        <v>113</v>
      </c>
      <c r="I6" t="s">
        <v>91</v>
      </c>
      <c r="K6" t="s">
        <v>104</v>
      </c>
      <c r="L6">
        <v>9</v>
      </c>
      <c r="N6">
        <v>7600</v>
      </c>
      <c r="R6" t="s">
        <v>95</v>
      </c>
    </row>
    <row r="7" spans="1:23" x14ac:dyDescent="0.2">
      <c r="A7" s="2">
        <v>46056</v>
      </c>
      <c r="B7" s="2">
        <f t="shared" si="0"/>
        <v>46054</v>
      </c>
      <c r="C7" s="7">
        <v>0.58333333333333337</v>
      </c>
      <c r="D7" t="s">
        <v>119</v>
      </c>
      <c r="E7" t="s">
        <v>89</v>
      </c>
      <c r="F7">
        <v>4</v>
      </c>
      <c r="G7" t="s">
        <v>113</v>
      </c>
      <c r="I7" t="s">
        <v>91</v>
      </c>
      <c r="K7" t="s">
        <v>104</v>
      </c>
      <c r="L7">
        <v>7</v>
      </c>
      <c r="R7" t="s">
        <v>95</v>
      </c>
    </row>
    <row r="8" spans="1:23" x14ac:dyDescent="0.2">
      <c r="A8" s="2">
        <v>46057</v>
      </c>
      <c r="B8" s="2">
        <f t="shared" si="0"/>
        <v>46054</v>
      </c>
      <c r="C8" s="7">
        <v>0.41666666666666669</v>
      </c>
      <c r="D8" t="s">
        <v>118</v>
      </c>
      <c r="E8" t="s">
        <v>89</v>
      </c>
      <c r="F8">
        <v>3</v>
      </c>
      <c r="G8" t="s">
        <v>113</v>
      </c>
      <c r="I8" t="s">
        <v>91</v>
      </c>
      <c r="K8" t="s">
        <v>104</v>
      </c>
      <c r="L8">
        <v>8</v>
      </c>
      <c r="R8" t="s">
        <v>95</v>
      </c>
    </row>
    <row r="9" spans="1:23" x14ac:dyDescent="0.2">
      <c r="A9" s="2">
        <v>46057</v>
      </c>
      <c r="B9" s="2">
        <f t="shared" si="0"/>
        <v>46054</v>
      </c>
      <c r="C9" s="7">
        <v>0.58333333333333337</v>
      </c>
      <c r="D9" t="s">
        <v>127</v>
      </c>
      <c r="E9" t="s">
        <v>89</v>
      </c>
      <c r="F9">
        <v>4</v>
      </c>
      <c r="G9" t="s">
        <v>106</v>
      </c>
      <c r="I9" t="s">
        <v>91</v>
      </c>
      <c r="K9" t="s">
        <v>110</v>
      </c>
      <c r="L9">
        <v>6</v>
      </c>
      <c r="R9" t="s">
        <v>95</v>
      </c>
    </row>
    <row r="10" spans="1:23" x14ac:dyDescent="0.2">
      <c r="A10" s="2">
        <v>46063</v>
      </c>
      <c r="B10" s="2">
        <f t="shared" si="0"/>
        <v>46054</v>
      </c>
      <c r="C10" s="7">
        <v>0.41666666666666669</v>
      </c>
      <c r="D10" t="s">
        <v>121</v>
      </c>
      <c r="E10" t="s">
        <v>89</v>
      </c>
      <c r="F10">
        <v>3</v>
      </c>
      <c r="G10" t="s">
        <v>106</v>
      </c>
      <c r="I10" t="s">
        <v>105</v>
      </c>
      <c r="J10" t="s">
        <v>90</v>
      </c>
      <c r="K10" t="s">
        <v>110</v>
      </c>
      <c r="L10">
        <v>9</v>
      </c>
      <c r="R10" t="s">
        <v>95</v>
      </c>
      <c r="T10" t="s">
        <v>130</v>
      </c>
      <c r="U10" t="s">
        <v>123</v>
      </c>
      <c r="V10" t="s">
        <v>129</v>
      </c>
    </row>
    <row r="11" spans="1:23" ht="221" x14ac:dyDescent="0.2">
      <c r="A11" s="2">
        <v>46063</v>
      </c>
      <c r="B11" s="2">
        <f t="shared" si="0"/>
        <v>46054</v>
      </c>
      <c r="C11" s="7">
        <v>0.4375</v>
      </c>
      <c r="D11" t="s">
        <v>116</v>
      </c>
      <c r="E11" t="s">
        <v>89</v>
      </c>
      <c r="F11">
        <v>4</v>
      </c>
      <c r="G11" t="s">
        <v>106</v>
      </c>
      <c r="I11" t="s">
        <v>91</v>
      </c>
      <c r="K11" t="s">
        <v>110</v>
      </c>
      <c r="L11">
        <v>8</v>
      </c>
      <c r="N11">
        <v>7767</v>
      </c>
      <c r="R11" t="s">
        <v>95</v>
      </c>
      <c r="U11" t="s">
        <v>123</v>
      </c>
      <c r="V11" s="8" t="s">
        <v>128</v>
      </c>
    </row>
    <row r="12" spans="1:23" ht="221" x14ac:dyDescent="0.2">
      <c r="A12" s="2">
        <v>46063</v>
      </c>
      <c r="B12" s="2">
        <f t="shared" si="0"/>
        <v>46054</v>
      </c>
      <c r="C12" s="7">
        <v>0.58333333333333337</v>
      </c>
      <c r="D12" t="s">
        <v>119</v>
      </c>
      <c r="E12" t="s">
        <v>89</v>
      </c>
      <c r="F12">
        <v>4</v>
      </c>
      <c r="G12" t="s">
        <v>106</v>
      </c>
      <c r="I12" t="s">
        <v>96</v>
      </c>
      <c r="K12" t="s">
        <v>110</v>
      </c>
      <c r="L12">
        <v>7</v>
      </c>
      <c r="N12">
        <v>7685</v>
      </c>
      <c r="R12" t="s">
        <v>95</v>
      </c>
      <c r="U12" t="s">
        <v>123</v>
      </c>
      <c r="V12" s="8" t="s">
        <v>128</v>
      </c>
    </row>
    <row r="13" spans="1:23" x14ac:dyDescent="0.2">
      <c r="A13" s="2">
        <v>46063</v>
      </c>
      <c r="B13" s="2">
        <f t="shared" si="0"/>
        <v>46054</v>
      </c>
      <c r="C13" s="7">
        <v>0.58333333333333337</v>
      </c>
      <c r="D13" t="s">
        <v>127</v>
      </c>
      <c r="E13" t="s">
        <v>89</v>
      </c>
      <c r="F13">
        <v>4</v>
      </c>
      <c r="G13" t="s">
        <v>115</v>
      </c>
      <c r="I13" t="s">
        <v>91</v>
      </c>
      <c r="K13" t="s">
        <v>114</v>
      </c>
      <c r="L13">
        <v>5</v>
      </c>
      <c r="R13" t="s">
        <v>95</v>
      </c>
    </row>
    <row r="14" spans="1:23" x14ac:dyDescent="0.2">
      <c r="A14" s="2">
        <v>46063</v>
      </c>
      <c r="B14" s="2">
        <f t="shared" si="0"/>
        <v>46054</v>
      </c>
      <c r="C14" s="7">
        <v>0.625</v>
      </c>
      <c r="D14" t="s">
        <v>126</v>
      </c>
      <c r="E14" t="s">
        <v>89</v>
      </c>
      <c r="F14">
        <v>3</v>
      </c>
      <c r="G14" t="s">
        <v>125</v>
      </c>
      <c r="I14" t="s">
        <v>91</v>
      </c>
      <c r="K14" t="s">
        <v>104</v>
      </c>
      <c r="L14">
        <v>7</v>
      </c>
      <c r="R14" t="s">
        <v>95</v>
      </c>
    </row>
    <row r="15" spans="1:23" x14ac:dyDescent="0.2">
      <c r="A15" s="2">
        <v>46069</v>
      </c>
      <c r="B15" s="2">
        <f t="shared" si="0"/>
        <v>46054</v>
      </c>
      <c r="C15" s="7">
        <v>0.58333333333333337</v>
      </c>
      <c r="D15" t="s">
        <v>118</v>
      </c>
      <c r="E15" t="s">
        <v>89</v>
      </c>
      <c r="F15">
        <v>3</v>
      </c>
      <c r="G15" t="s">
        <v>106</v>
      </c>
      <c r="I15" t="s">
        <v>91</v>
      </c>
      <c r="K15" t="s">
        <v>110</v>
      </c>
      <c r="L15" t="s">
        <v>124</v>
      </c>
      <c r="R15" t="s">
        <v>95</v>
      </c>
      <c r="U15" t="s">
        <v>123</v>
      </c>
      <c r="V15" t="s">
        <v>122</v>
      </c>
    </row>
    <row r="16" spans="1:23" x14ac:dyDescent="0.2">
      <c r="A16" s="2">
        <v>46070</v>
      </c>
      <c r="B16" s="2">
        <f t="shared" si="0"/>
        <v>46054</v>
      </c>
      <c r="C16" s="7">
        <v>0.41666666666666669</v>
      </c>
      <c r="D16" t="s">
        <v>121</v>
      </c>
      <c r="E16" t="s">
        <v>89</v>
      </c>
      <c r="F16">
        <v>3</v>
      </c>
      <c r="G16" t="s">
        <v>120</v>
      </c>
      <c r="I16" t="s">
        <v>91</v>
      </c>
      <c r="K16" t="s">
        <v>114</v>
      </c>
      <c r="L16">
        <v>10</v>
      </c>
      <c r="R16" t="s">
        <v>95</v>
      </c>
    </row>
    <row r="17" spans="1:18" x14ac:dyDescent="0.2">
      <c r="A17" s="2">
        <v>46070</v>
      </c>
      <c r="B17" s="2">
        <f t="shared" si="0"/>
        <v>46054</v>
      </c>
      <c r="C17" s="7">
        <v>0.58333333333333337</v>
      </c>
      <c r="D17" t="s">
        <v>119</v>
      </c>
      <c r="E17" t="s">
        <v>89</v>
      </c>
      <c r="F17">
        <v>4</v>
      </c>
      <c r="G17" t="s">
        <v>115</v>
      </c>
      <c r="I17" t="s">
        <v>91</v>
      </c>
      <c r="K17" t="s">
        <v>114</v>
      </c>
      <c r="L17">
        <v>7</v>
      </c>
      <c r="R17" t="s">
        <v>95</v>
      </c>
    </row>
    <row r="18" spans="1:18" x14ac:dyDescent="0.2">
      <c r="A18" s="2">
        <v>46071</v>
      </c>
      <c r="B18" s="2">
        <f t="shared" si="0"/>
        <v>46054</v>
      </c>
      <c r="C18" s="7">
        <v>0.41666666666666669</v>
      </c>
      <c r="D18" t="s">
        <v>118</v>
      </c>
      <c r="E18" t="s">
        <v>89</v>
      </c>
      <c r="F18">
        <v>3</v>
      </c>
      <c r="G18" t="s">
        <v>115</v>
      </c>
      <c r="I18" t="s">
        <v>117</v>
      </c>
      <c r="J18" t="s">
        <v>96</v>
      </c>
      <c r="K18" t="s">
        <v>114</v>
      </c>
      <c r="L18">
        <v>8</v>
      </c>
      <c r="R18" t="s">
        <v>95</v>
      </c>
    </row>
    <row r="19" spans="1:18" x14ac:dyDescent="0.2">
      <c r="A19" s="2">
        <v>46072</v>
      </c>
      <c r="B19" s="2">
        <f t="shared" si="0"/>
        <v>46054</v>
      </c>
      <c r="C19" s="7">
        <v>0.41666666666666669</v>
      </c>
      <c r="D19" t="s">
        <v>116</v>
      </c>
      <c r="E19" t="s">
        <v>89</v>
      </c>
      <c r="F19">
        <v>4</v>
      </c>
      <c r="G19" t="s">
        <v>115</v>
      </c>
      <c r="I19" t="s">
        <v>91</v>
      </c>
      <c r="K19" t="s">
        <v>114</v>
      </c>
      <c r="L19">
        <v>8</v>
      </c>
      <c r="R19" t="s">
        <v>95</v>
      </c>
    </row>
    <row r="20" spans="1:18" ht="221" x14ac:dyDescent="0.2">
      <c r="A20" s="2">
        <v>46073</v>
      </c>
      <c r="B20" s="2">
        <f t="shared" si="0"/>
        <v>46054</v>
      </c>
      <c r="C20" s="7">
        <v>0.625</v>
      </c>
      <c r="D20" t="s">
        <v>111</v>
      </c>
      <c r="E20" t="s">
        <v>89</v>
      </c>
      <c r="F20">
        <v>3</v>
      </c>
      <c r="G20" t="s">
        <v>113</v>
      </c>
      <c r="I20" t="s">
        <v>91</v>
      </c>
      <c r="K20" t="s">
        <v>104</v>
      </c>
      <c r="L20">
        <v>9</v>
      </c>
      <c r="M20" s="8" t="s">
        <v>112</v>
      </c>
      <c r="N20">
        <v>7789</v>
      </c>
      <c r="R20" t="s">
        <v>95</v>
      </c>
    </row>
    <row r="21" spans="1:18" x14ac:dyDescent="0.2">
      <c r="A21" s="2">
        <v>46077</v>
      </c>
      <c r="B21" s="2">
        <f t="shared" si="0"/>
        <v>46054</v>
      </c>
      <c r="C21" s="7">
        <v>0.45833333333333331</v>
      </c>
      <c r="D21" t="s">
        <v>111</v>
      </c>
      <c r="E21" t="s">
        <v>89</v>
      </c>
      <c r="F21">
        <v>3</v>
      </c>
      <c r="G21" t="s">
        <v>106</v>
      </c>
      <c r="I21" t="s">
        <v>91</v>
      </c>
      <c r="K21" t="s">
        <v>110</v>
      </c>
      <c r="L21">
        <v>8</v>
      </c>
      <c r="R21" t="s">
        <v>95</v>
      </c>
    </row>
    <row r="22" spans="1:18" x14ac:dyDescent="0.2">
      <c r="A22" s="2">
        <v>46077</v>
      </c>
      <c r="B22" s="2">
        <f t="shared" si="0"/>
        <v>46054</v>
      </c>
      <c r="C22" s="7">
        <v>0.625</v>
      </c>
      <c r="D22" t="s">
        <v>109</v>
      </c>
      <c r="E22" t="s">
        <v>89</v>
      </c>
      <c r="F22" t="s">
        <v>108</v>
      </c>
      <c r="G22" t="s">
        <v>101</v>
      </c>
      <c r="I22" t="s">
        <v>91</v>
      </c>
      <c r="J22" t="s">
        <v>96</v>
      </c>
      <c r="K22" t="s">
        <v>99</v>
      </c>
      <c r="L22">
        <v>8</v>
      </c>
      <c r="N22">
        <v>7812</v>
      </c>
      <c r="R22" t="s">
        <v>95</v>
      </c>
    </row>
    <row r="23" spans="1:18" x14ac:dyDescent="0.2">
      <c r="A23" s="2">
        <v>46079</v>
      </c>
      <c r="B23" s="2">
        <f t="shared" si="0"/>
        <v>46054</v>
      </c>
      <c r="C23" s="7">
        <v>0.41666666666666669</v>
      </c>
      <c r="D23" t="s">
        <v>107</v>
      </c>
      <c r="E23" t="s">
        <v>89</v>
      </c>
      <c r="F23">
        <v>2</v>
      </c>
      <c r="G23" t="s">
        <v>106</v>
      </c>
      <c r="I23" t="s">
        <v>105</v>
      </c>
      <c r="J23" t="s">
        <v>91</v>
      </c>
      <c r="K23" t="s">
        <v>104</v>
      </c>
      <c r="L23">
        <v>8</v>
      </c>
      <c r="R23" t="s">
        <v>95</v>
      </c>
    </row>
    <row r="24" spans="1:18" x14ac:dyDescent="0.2">
      <c r="A24" s="2">
        <v>46084</v>
      </c>
      <c r="B24" s="2">
        <f t="shared" si="0"/>
        <v>46082</v>
      </c>
      <c r="C24" s="7">
        <v>0.41666666666666669</v>
      </c>
      <c r="D24" t="s">
        <v>103</v>
      </c>
      <c r="E24" t="s">
        <v>89</v>
      </c>
      <c r="F24" t="s">
        <v>102</v>
      </c>
      <c r="G24" t="s">
        <v>101</v>
      </c>
      <c r="I24" t="s">
        <v>91</v>
      </c>
      <c r="J24" t="s">
        <v>100</v>
      </c>
      <c r="K24" t="s">
        <v>99</v>
      </c>
      <c r="L24">
        <v>8</v>
      </c>
      <c r="R24" t="s">
        <v>95</v>
      </c>
    </row>
    <row r="25" spans="1:18" x14ac:dyDescent="0.2">
      <c r="A25" s="2">
        <v>46085</v>
      </c>
      <c r="B25" s="2">
        <f t="shared" si="0"/>
        <v>46082</v>
      </c>
      <c r="C25" s="7">
        <v>0.58333333333333337</v>
      </c>
      <c r="D25" t="s">
        <v>98</v>
      </c>
      <c r="E25" t="s">
        <v>89</v>
      </c>
      <c r="F25" t="s">
        <v>97</v>
      </c>
      <c r="G25" t="s">
        <v>92</v>
      </c>
      <c r="I25" t="s">
        <v>91</v>
      </c>
      <c r="J25" t="s">
        <v>96</v>
      </c>
      <c r="L25">
        <v>7</v>
      </c>
      <c r="R25" t="s">
        <v>95</v>
      </c>
    </row>
    <row r="26" spans="1:18" x14ac:dyDescent="0.2">
      <c r="A26" s="2">
        <v>46091</v>
      </c>
      <c r="B26" s="2">
        <f t="shared" si="0"/>
        <v>46082</v>
      </c>
      <c r="C26" s="7">
        <v>0.45833333333333331</v>
      </c>
      <c r="D26" t="s">
        <v>94</v>
      </c>
      <c r="E26" t="s">
        <v>89</v>
      </c>
      <c r="F26" t="s">
        <v>93</v>
      </c>
      <c r="G26" t="s">
        <v>92</v>
      </c>
      <c r="I26" t="s">
        <v>91</v>
      </c>
      <c r="J26" t="s">
        <v>90</v>
      </c>
    </row>
    <row r="27" spans="1:18" x14ac:dyDescent="0.2">
      <c r="A27" s="2">
        <v>46093</v>
      </c>
      <c r="B27" s="2">
        <f t="shared" si="0"/>
        <v>46082</v>
      </c>
      <c r="C27" s="7">
        <v>0.54166666666666663</v>
      </c>
      <c r="D27" t="s">
        <v>88</v>
      </c>
      <c r="E27" t="s">
        <v>89</v>
      </c>
      <c r="G27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4B1A-4C40-1D43-A192-1F4BB297D913}">
  <dimension ref="A1:AS23"/>
  <sheetViews>
    <sheetView topLeftCell="AG1" workbookViewId="0">
      <selection activeCell="C12" sqref="C12"/>
    </sheetView>
  </sheetViews>
  <sheetFormatPr baseColWidth="10" defaultRowHeight="16" x14ac:dyDescent="0.2"/>
  <cols>
    <col min="1" max="1" width="29.83203125" customWidth="1"/>
    <col min="2" max="2" width="18.5" customWidth="1"/>
  </cols>
  <sheetData>
    <row r="1" spans="1:45" x14ac:dyDescent="0.2">
      <c r="A1" t="s">
        <v>0</v>
      </c>
      <c r="B1" t="s">
        <v>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 s="2">
        <f>DATE(YEAR(DATEVALUE(LEFT(A2,10))), MONTH(DATEVALUE(LEFT(A2,10))), 1)</f>
        <v>45962</v>
      </c>
      <c r="C2" t="s">
        <v>45</v>
      </c>
      <c r="D2" s="1">
        <v>1.9814814814814816E-2</v>
      </c>
      <c r="E2">
        <v>30</v>
      </c>
      <c r="F2" t="s">
        <v>46</v>
      </c>
      <c r="G2" t="s">
        <v>47</v>
      </c>
      <c r="H2" t="s">
        <v>48</v>
      </c>
      <c r="I2">
        <v>0.66666666666666596</v>
      </c>
      <c r="J2">
        <v>1</v>
      </c>
      <c r="K2">
        <v>0.33333333333333298</v>
      </c>
      <c r="L2">
        <v>0.4</v>
      </c>
      <c r="M2">
        <v>0.45454545454545398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49</v>
      </c>
      <c r="AN2">
        <v>1</v>
      </c>
      <c r="AO2">
        <v>2</v>
      </c>
      <c r="AP2">
        <v>2</v>
      </c>
      <c r="AQ2">
        <v>2</v>
      </c>
      <c r="AR2">
        <v>2</v>
      </c>
      <c r="AS2">
        <v>0</v>
      </c>
    </row>
    <row r="3" spans="1:45" x14ac:dyDescent="0.2">
      <c r="A3" t="s">
        <v>50</v>
      </c>
      <c r="B3" s="2">
        <f t="shared" ref="B3:B23" si="0">DATE(YEAR(DATEVALUE(LEFT(A3,10))), MONTH(DATEVALUE(LEFT(A3,10))), 1)</f>
        <v>46054</v>
      </c>
      <c r="C3" t="s">
        <v>51</v>
      </c>
      <c r="D3" s="1">
        <v>9.0740740740740747E-3</v>
      </c>
      <c r="E3">
        <v>29</v>
      </c>
      <c r="F3" t="s">
        <v>52</v>
      </c>
      <c r="G3" t="s">
        <v>53</v>
      </c>
      <c r="H3" t="s">
        <v>48</v>
      </c>
      <c r="I3">
        <v>0.44444444444444398</v>
      </c>
      <c r="J3">
        <v>0.5</v>
      </c>
      <c r="K3">
        <v>0.5</v>
      </c>
      <c r="L3">
        <v>0.4</v>
      </c>
      <c r="M3">
        <v>9.0909090909090898E-2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 t="s">
        <v>49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</row>
    <row r="4" spans="1:45" x14ac:dyDescent="0.2">
      <c r="A4" t="s">
        <v>54</v>
      </c>
      <c r="B4" s="2">
        <f t="shared" si="0"/>
        <v>46054</v>
      </c>
      <c r="C4" t="s">
        <v>55</v>
      </c>
      <c r="D4" s="1">
        <v>1.207175925925926E-2</v>
      </c>
      <c r="E4">
        <v>29</v>
      </c>
      <c r="F4" t="s">
        <v>52</v>
      </c>
      <c r="G4" t="s">
        <v>56</v>
      </c>
      <c r="H4" t="s">
        <v>48</v>
      </c>
      <c r="I4">
        <v>0.44444444444444398</v>
      </c>
      <c r="J4">
        <v>0.5</v>
      </c>
      <c r="K4">
        <v>0.5</v>
      </c>
      <c r="L4">
        <v>0.266666666666666</v>
      </c>
      <c r="M4">
        <v>9.0909090909090898E-2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 t="s">
        <v>49</v>
      </c>
      <c r="AN4">
        <v>0</v>
      </c>
      <c r="AO4">
        <v>1</v>
      </c>
      <c r="AP4">
        <v>2</v>
      </c>
      <c r="AQ4">
        <v>0</v>
      </c>
      <c r="AR4">
        <v>0</v>
      </c>
      <c r="AS4">
        <v>0</v>
      </c>
    </row>
    <row r="5" spans="1:45" x14ac:dyDescent="0.2">
      <c r="A5" t="s">
        <v>54</v>
      </c>
      <c r="B5" s="2">
        <f t="shared" si="0"/>
        <v>46054</v>
      </c>
      <c r="C5" t="s">
        <v>55</v>
      </c>
      <c r="D5" s="1">
        <v>9.8032407407407408E-3</v>
      </c>
      <c r="E5">
        <v>29</v>
      </c>
      <c r="F5" t="s">
        <v>52</v>
      </c>
      <c r="G5" t="s">
        <v>57</v>
      </c>
      <c r="H5" t="s">
        <v>48</v>
      </c>
      <c r="I5">
        <v>0.55555555555555503</v>
      </c>
      <c r="J5">
        <v>0.5</v>
      </c>
      <c r="K5">
        <v>0.66666666666666596</v>
      </c>
      <c r="L5">
        <v>0.33333333333333298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 t="s">
        <v>49</v>
      </c>
      <c r="AN5">
        <v>0</v>
      </c>
      <c r="AO5">
        <v>1</v>
      </c>
      <c r="AP5">
        <v>2</v>
      </c>
      <c r="AQ5">
        <v>0</v>
      </c>
      <c r="AR5">
        <v>0</v>
      </c>
      <c r="AS5">
        <v>0</v>
      </c>
    </row>
    <row r="6" spans="1:45" x14ac:dyDescent="0.2">
      <c r="A6" t="s">
        <v>54</v>
      </c>
      <c r="B6" s="2">
        <f t="shared" si="0"/>
        <v>46054</v>
      </c>
      <c r="C6" t="s">
        <v>55</v>
      </c>
      <c r="D6" s="1">
        <v>1.0798611111111111E-2</v>
      </c>
      <c r="E6">
        <v>29</v>
      </c>
      <c r="F6" t="s">
        <v>52</v>
      </c>
      <c r="G6" t="s">
        <v>58</v>
      </c>
      <c r="H6" t="s">
        <v>48</v>
      </c>
      <c r="I6">
        <v>0.22222222222222199</v>
      </c>
      <c r="J6">
        <v>0.5</v>
      </c>
      <c r="K6">
        <v>0.5</v>
      </c>
      <c r="L6">
        <v>0.266666666666666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 t="s">
        <v>49</v>
      </c>
      <c r="AN6">
        <v>0</v>
      </c>
      <c r="AO6">
        <v>1</v>
      </c>
      <c r="AP6">
        <v>2</v>
      </c>
      <c r="AQ6">
        <v>0</v>
      </c>
      <c r="AR6">
        <v>0</v>
      </c>
      <c r="AS6">
        <v>0</v>
      </c>
    </row>
    <row r="7" spans="1:45" x14ac:dyDescent="0.2">
      <c r="A7" t="s">
        <v>59</v>
      </c>
      <c r="B7" s="2">
        <f t="shared" si="0"/>
        <v>46054</v>
      </c>
      <c r="C7" t="s">
        <v>60</v>
      </c>
      <c r="D7" s="1">
        <v>1.292824074074074E-2</v>
      </c>
      <c r="E7">
        <v>29</v>
      </c>
      <c r="F7" t="s">
        <v>52</v>
      </c>
      <c r="G7" t="s">
        <v>61</v>
      </c>
      <c r="H7" t="s">
        <v>48</v>
      </c>
      <c r="I7">
        <v>0.66666666666666596</v>
      </c>
      <c r="J7">
        <v>0.5</v>
      </c>
      <c r="K7">
        <v>0.83333333333333304</v>
      </c>
      <c r="L7">
        <v>0.53333333333333299</v>
      </c>
      <c r="M7">
        <v>0.27272727272727199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 t="s">
        <v>49</v>
      </c>
      <c r="AN7">
        <v>0</v>
      </c>
      <c r="AO7">
        <v>1</v>
      </c>
      <c r="AP7">
        <v>2</v>
      </c>
      <c r="AQ7">
        <v>0</v>
      </c>
      <c r="AR7">
        <v>0</v>
      </c>
      <c r="AS7">
        <v>0</v>
      </c>
    </row>
    <row r="8" spans="1:45" x14ac:dyDescent="0.2">
      <c r="A8" t="s">
        <v>59</v>
      </c>
      <c r="B8" s="2">
        <f t="shared" si="0"/>
        <v>46054</v>
      </c>
      <c r="C8" t="s">
        <v>60</v>
      </c>
      <c r="D8" s="1">
        <v>1.2002314814814815E-2</v>
      </c>
      <c r="E8">
        <v>26</v>
      </c>
      <c r="F8" t="s">
        <v>62</v>
      </c>
      <c r="G8" t="s">
        <v>53</v>
      </c>
      <c r="H8" t="s">
        <v>48</v>
      </c>
      <c r="I8">
        <v>0.66666666666666596</v>
      </c>
      <c r="J8">
        <v>0.5</v>
      </c>
      <c r="K8">
        <v>0.5</v>
      </c>
      <c r="L8">
        <v>0.33333333333333298</v>
      </c>
      <c r="M8">
        <v>0.36363636363636298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49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</row>
    <row r="9" spans="1:45" x14ac:dyDescent="0.2">
      <c r="A9" t="s">
        <v>63</v>
      </c>
      <c r="B9" s="2">
        <f t="shared" si="0"/>
        <v>46054</v>
      </c>
      <c r="C9" t="s">
        <v>55</v>
      </c>
      <c r="D9" s="1">
        <v>1.9016203703703705E-2</v>
      </c>
      <c r="E9">
        <v>26</v>
      </c>
      <c r="F9" t="s">
        <v>64</v>
      </c>
      <c r="G9" t="s">
        <v>56</v>
      </c>
      <c r="H9" t="s">
        <v>48</v>
      </c>
      <c r="I9">
        <v>0.66666666666666596</v>
      </c>
      <c r="J9">
        <v>0.5</v>
      </c>
      <c r="K9">
        <v>0.5</v>
      </c>
      <c r="L9">
        <v>0.2</v>
      </c>
      <c r="M9">
        <v>9.0909090909090898E-2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49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t="s">
        <v>63</v>
      </c>
      <c r="B10" s="2">
        <f t="shared" si="0"/>
        <v>46054</v>
      </c>
      <c r="C10" t="s">
        <v>55</v>
      </c>
      <c r="D10" s="1">
        <v>9.780092592592592E-3</v>
      </c>
      <c r="E10">
        <v>26</v>
      </c>
      <c r="F10" t="s">
        <v>64</v>
      </c>
      <c r="G10" t="s">
        <v>57</v>
      </c>
      <c r="H10" t="s">
        <v>48</v>
      </c>
      <c r="I10">
        <v>0.66666666666666596</v>
      </c>
      <c r="J10">
        <v>0.5</v>
      </c>
      <c r="K10">
        <v>0.66666666666666596</v>
      </c>
      <c r="L10">
        <v>0.33333333333333298</v>
      </c>
      <c r="M10">
        <v>0.27272727272727199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49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 t="s">
        <v>63</v>
      </c>
      <c r="B11" s="2">
        <f t="shared" si="0"/>
        <v>46054</v>
      </c>
      <c r="C11" t="s">
        <v>55</v>
      </c>
      <c r="D11" s="1">
        <v>1.6666666666666666E-2</v>
      </c>
      <c r="E11">
        <v>33</v>
      </c>
      <c r="F11" t="s">
        <v>65</v>
      </c>
      <c r="G11" t="s">
        <v>53</v>
      </c>
      <c r="H11" t="s">
        <v>48</v>
      </c>
      <c r="I11">
        <v>0.55555555555555503</v>
      </c>
      <c r="J11">
        <v>1</v>
      </c>
      <c r="K11">
        <v>0.5</v>
      </c>
      <c r="L11">
        <v>0.266666666666666</v>
      </c>
      <c r="M11">
        <v>9.0909090909090898E-2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 t="s">
        <v>49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0</v>
      </c>
    </row>
    <row r="12" spans="1:45" x14ac:dyDescent="0.2">
      <c r="A12" t="s">
        <v>63</v>
      </c>
      <c r="B12" s="2">
        <f t="shared" si="0"/>
        <v>46054</v>
      </c>
      <c r="C12" t="s">
        <v>55</v>
      </c>
      <c r="D12" s="1">
        <v>1.5057870370370371E-2</v>
      </c>
      <c r="E12">
        <v>26</v>
      </c>
      <c r="F12" t="s">
        <v>64</v>
      </c>
      <c r="G12" t="s">
        <v>58</v>
      </c>
      <c r="H12" t="s">
        <v>48</v>
      </c>
      <c r="I12">
        <v>0.44444444444444398</v>
      </c>
      <c r="J12">
        <v>0.5</v>
      </c>
      <c r="K12">
        <v>0.5</v>
      </c>
      <c r="L12">
        <v>0.266666666666666</v>
      </c>
      <c r="M12">
        <v>0.27272727272727199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49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t="s">
        <v>63</v>
      </c>
      <c r="B13" s="2">
        <f t="shared" si="0"/>
        <v>46054</v>
      </c>
      <c r="C13" t="s">
        <v>55</v>
      </c>
      <c r="D13" s="1">
        <v>1.2766203703703703E-2</v>
      </c>
      <c r="E13">
        <v>28</v>
      </c>
      <c r="F13" t="s">
        <v>66</v>
      </c>
      <c r="G13" t="s">
        <v>47</v>
      </c>
      <c r="H13" t="s">
        <v>48</v>
      </c>
      <c r="I13">
        <v>0.66666666666666596</v>
      </c>
      <c r="J13">
        <v>0.5</v>
      </c>
      <c r="K13">
        <v>0.5</v>
      </c>
      <c r="L13">
        <v>0.53333333333333299</v>
      </c>
      <c r="M13">
        <v>0.45454545454545398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 t="s">
        <v>49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1</v>
      </c>
    </row>
    <row r="14" spans="1:45" x14ac:dyDescent="0.2">
      <c r="A14" t="s">
        <v>67</v>
      </c>
      <c r="B14" s="2">
        <f t="shared" si="0"/>
        <v>46054</v>
      </c>
      <c r="C14" t="s">
        <v>55</v>
      </c>
      <c r="D14" s="1">
        <v>2.2314814814814815E-2</v>
      </c>
      <c r="E14">
        <v>30</v>
      </c>
      <c r="F14" t="s">
        <v>46</v>
      </c>
      <c r="G14" t="s">
        <v>56</v>
      </c>
      <c r="H14" t="s">
        <v>48</v>
      </c>
      <c r="I14">
        <v>0.55555555555555503</v>
      </c>
      <c r="J14">
        <v>0.5</v>
      </c>
      <c r="K14">
        <v>0.5</v>
      </c>
      <c r="L14">
        <v>0.266666666666666</v>
      </c>
      <c r="M14">
        <v>9.0909090909090898E-2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49</v>
      </c>
      <c r="AN14">
        <v>1</v>
      </c>
      <c r="AO14">
        <v>2</v>
      </c>
      <c r="AP14">
        <v>2</v>
      </c>
      <c r="AQ14">
        <v>2</v>
      </c>
      <c r="AR14">
        <v>2</v>
      </c>
      <c r="AS14">
        <v>0</v>
      </c>
    </row>
    <row r="15" spans="1:45" x14ac:dyDescent="0.2">
      <c r="A15" t="s">
        <v>67</v>
      </c>
      <c r="B15" s="2">
        <f t="shared" si="0"/>
        <v>46054</v>
      </c>
      <c r="C15" t="s">
        <v>55</v>
      </c>
      <c r="D15" s="1">
        <v>2.2349537037037036E-2</v>
      </c>
      <c r="E15">
        <v>33</v>
      </c>
      <c r="F15" t="s">
        <v>65</v>
      </c>
      <c r="G15" t="s">
        <v>58</v>
      </c>
      <c r="H15" t="s">
        <v>48</v>
      </c>
      <c r="I15">
        <v>0.55555555555555503</v>
      </c>
      <c r="J15">
        <v>0</v>
      </c>
      <c r="K15">
        <v>0</v>
      </c>
      <c r="L15">
        <v>0.53333333333333299</v>
      </c>
      <c r="M15">
        <v>0.36363636363636298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 t="s">
        <v>49</v>
      </c>
      <c r="AN15">
        <v>1</v>
      </c>
      <c r="AO15">
        <v>0</v>
      </c>
      <c r="AP15">
        <v>1</v>
      </c>
      <c r="AQ15">
        <v>1</v>
      </c>
      <c r="AR15">
        <v>0</v>
      </c>
      <c r="AS15">
        <v>0</v>
      </c>
    </row>
    <row r="16" spans="1:45" x14ac:dyDescent="0.2">
      <c r="A16" t="s">
        <v>68</v>
      </c>
      <c r="B16" s="2">
        <f t="shared" si="0"/>
        <v>46054</v>
      </c>
      <c r="C16" t="s">
        <v>60</v>
      </c>
      <c r="D16" s="1">
        <v>2.4166666666666666E-2</v>
      </c>
      <c r="E16">
        <v>33</v>
      </c>
      <c r="F16" t="s">
        <v>65</v>
      </c>
      <c r="G16" t="s">
        <v>61</v>
      </c>
      <c r="H16" t="s">
        <v>48</v>
      </c>
      <c r="I16">
        <v>0.66666666666666596</v>
      </c>
      <c r="J16">
        <v>0.5</v>
      </c>
      <c r="K16">
        <v>0.66666666666666596</v>
      </c>
      <c r="L16">
        <v>0.46666666666666601</v>
      </c>
      <c r="M16">
        <v>0.36363636363636298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 t="s">
        <v>49</v>
      </c>
      <c r="AN16">
        <v>1</v>
      </c>
      <c r="AO16">
        <v>0</v>
      </c>
      <c r="AP16">
        <v>1</v>
      </c>
      <c r="AQ16">
        <v>1</v>
      </c>
      <c r="AR16">
        <v>0</v>
      </c>
      <c r="AS16">
        <v>0</v>
      </c>
    </row>
    <row r="17" spans="1:45" x14ac:dyDescent="0.2">
      <c r="A17" t="s">
        <v>69</v>
      </c>
      <c r="B17" s="2">
        <f t="shared" si="0"/>
        <v>46054</v>
      </c>
      <c r="C17" t="s">
        <v>70</v>
      </c>
      <c r="D17" s="1">
        <v>2.2731481481481481E-2</v>
      </c>
      <c r="E17">
        <v>33</v>
      </c>
      <c r="F17" t="s">
        <v>65</v>
      </c>
      <c r="G17" t="s">
        <v>57</v>
      </c>
      <c r="H17" t="s">
        <v>48</v>
      </c>
      <c r="I17">
        <v>0.88888888888888795</v>
      </c>
      <c r="J17">
        <v>1</v>
      </c>
      <c r="K17">
        <v>0.66666666666666596</v>
      </c>
      <c r="L17">
        <v>0.6</v>
      </c>
      <c r="M17">
        <v>0.27272727272727199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 t="s">
        <v>49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0</v>
      </c>
    </row>
    <row r="18" spans="1:45" x14ac:dyDescent="0.2">
      <c r="A18" t="s">
        <v>71</v>
      </c>
      <c r="B18" s="2">
        <f t="shared" si="0"/>
        <v>46054</v>
      </c>
      <c r="C18" t="s">
        <v>45</v>
      </c>
      <c r="D18" s="1">
        <v>8.2407407407407412E-3</v>
      </c>
      <c r="E18">
        <v>3</v>
      </c>
      <c r="F18" t="s">
        <v>52</v>
      </c>
      <c r="G18" t="s">
        <v>72</v>
      </c>
      <c r="H18" t="s">
        <v>48</v>
      </c>
      <c r="I18">
        <v>0.77777777777777701</v>
      </c>
      <c r="J18">
        <v>1</v>
      </c>
      <c r="K18">
        <v>0.33333333333333298</v>
      </c>
      <c r="L18">
        <v>0.6</v>
      </c>
      <c r="M18">
        <v>0.27272727272727199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 t="s">
        <v>49</v>
      </c>
      <c r="AN18">
        <v>0</v>
      </c>
      <c r="AO18">
        <v>1</v>
      </c>
      <c r="AP18">
        <v>2</v>
      </c>
      <c r="AQ18">
        <v>0</v>
      </c>
      <c r="AR18">
        <v>0</v>
      </c>
      <c r="AS18">
        <v>0</v>
      </c>
    </row>
    <row r="19" spans="1:45" x14ac:dyDescent="0.2">
      <c r="A19" t="s">
        <v>73</v>
      </c>
      <c r="B19" s="2">
        <f t="shared" si="0"/>
        <v>46054</v>
      </c>
      <c r="C19" t="s">
        <v>55</v>
      </c>
      <c r="D19" s="1">
        <v>2.431712962962963E-2</v>
      </c>
      <c r="E19">
        <v>33</v>
      </c>
      <c r="F19" t="s">
        <v>65</v>
      </c>
      <c r="G19" t="s">
        <v>72</v>
      </c>
      <c r="H19" t="s">
        <v>48</v>
      </c>
      <c r="I19">
        <v>0.77777777777777701</v>
      </c>
      <c r="J19">
        <v>1</v>
      </c>
      <c r="K19">
        <v>0.66666666666666596</v>
      </c>
      <c r="L19">
        <v>0.66666666666666596</v>
      </c>
      <c r="M19">
        <v>0.63636363636363602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 t="s">
        <v>49</v>
      </c>
      <c r="AN19">
        <v>1</v>
      </c>
      <c r="AO19">
        <v>0</v>
      </c>
      <c r="AP19">
        <v>1</v>
      </c>
      <c r="AQ19">
        <v>1</v>
      </c>
      <c r="AR19">
        <v>0</v>
      </c>
      <c r="AS19">
        <v>0</v>
      </c>
    </row>
    <row r="20" spans="1:45" x14ac:dyDescent="0.2">
      <c r="A20" t="s">
        <v>73</v>
      </c>
      <c r="B20" s="2">
        <f t="shared" si="0"/>
        <v>46054</v>
      </c>
      <c r="C20" t="s">
        <v>55</v>
      </c>
      <c r="D20" s="1">
        <v>1.8900462962962963E-2</v>
      </c>
      <c r="E20">
        <v>30</v>
      </c>
      <c r="F20" t="s">
        <v>46</v>
      </c>
      <c r="G20" t="s">
        <v>58</v>
      </c>
      <c r="H20" t="s">
        <v>48</v>
      </c>
      <c r="I20">
        <v>0.66666666666666596</v>
      </c>
      <c r="J20">
        <v>1</v>
      </c>
      <c r="K20">
        <v>0.5</v>
      </c>
      <c r="L20">
        <v>0.46666666666666601</v>
      </c>
      <c r="M20">
        <v>0.63636363636363602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49</v>
      </c>
      <c r="AN20">
        <v>1</v>
      </c>
      <c r="AO20">
        <v>2</v>
      </c>
      <c r="AP20">
        <v>2</v>
      </c>
      <c r="AQ20">
        <v>2</v>
      </c>
      <c r="AR20">
        <v>2</v>
      </c>
      <c r="AS20">
        <v>0</v>
      </c>
    </row>
    <row r="21" spans="1:45" x14ac:dyDescent="0.2">
      <c r="A21" t="s">
        <v>74</v>
      </c>
      <c r="B21" s="2">
        <f t="shared" si="0"/>
        <v>46054</v>
      </c>
      <c r="C21" t="s">
        <v>70</v>
      </c>
      <c r="D21" s="1">
        <v>1.7094907407407406E-2</v>
      </c>
      <c r="E21">
        <v>26</v>
      </c>
      <c r="F21" t="s">
        <v>64</v>
      </c>
      <c r="G21" t="s">
        <v>75</v>
      </c>
      <c r="H21" t="s">
        <v>48</v>
      </c>
      <c r="I21">
        <v>0.66666666666666596</v>
      </c>
      <c r="J21">
        <v>0.5</v>
      </c>
      <c r="K21">
        <v>0.5</v>
      </c>
      <c r="L21">
        <v>0.4</v>
      </c>
      <c r="M21">
        <v>0.27272727272727199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49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 t="s">
        <v>76</v>
      </c>
      <c r="B22" s="2">
        <f t="shared" si="0"/>
        <v>46082</v>
      </c>
      <c r="C22" t="s">
        <v>55</v>
      </c>
      <c r="D22" s="1">
        <v>2.2430555555555554E-2</v>
      </c>
      <c r="E22">
        <v>30</v>
      </c>
      <c r="F22" t="s">
        <v>46</v>
      </c>
      <c r="G22" t="s">
        <v>53</v>
      </c>
      <c r="H22" t="s">
        <v>48</v>
      </c>
      <c r="I22">
        <v>0.77777777777777701</v>
      </c>
      <c r="J22">
        <v>1</v>
      </c>
      <c r="K22">
        <v>0.66666666666666596</v>
      </c>
      <c r="L22">
        <v>0.8</v>
      </c>
      <c r="M22">
        <v>0.72727272727272696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49</v>
      </c>
      <c r="AN22">
        <v>1</v>
      </c>
      <c r="AO22">
        <v>2</v>
      </c>
      <c r="AP22">
        <v>2</v>
      </c>
      <c r="AQ22">
        <v>2</v>
      </c>
      <c r="AR22">
        <v>2</v>
      </c>
      <c r="AS22">
        <v>0</v>
      </c>
    </row>
    <row r="23" spans="1:45" x14ac:dyDescent="0.2">
      <c r="A23" t="s">
        <v>77</v>
      </c>
      <c r="B23" s="2">
        <f t="shared" si="0"/>
        <v>46082</v>
      </c>
      <c r="C23" t="s">
        <v>60</v>
      </c>
      <c r="D23" s="1">
        <v>2.2256944444444444E-2</v>
      </c>
      <c r="E23">
        <v>30</v>
      </c>
      <c r="F23" t="s">
        <v>46</v>
      </c>
      <c r="G23" t="s">
        <v>75</v>
      </c>
      <c r="H23" t="s">
        <v>48</v>
      </c>
      <c r="I23">
        <v>0.77777777777777701</v>
      </c>
      <c r="J23">
        <v>0.5</v>
      </c>
      <c r="K23">
        <v>0.5</v>
      </c>
      <c r="L23">
        <v>0.6</v>
      </c>
      <c r="M23">
        <v>0.54545454545454497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49</v>
      </c>
      <c r="AN23">
        <v>1</v>
      </c>
      <c r="AO23">
        <v>2</v>
      </c>
      <c r="AP23">
        <v>2</v>
      </c>
      <c r="AQ23">
        <v>2</v>
      </c>
      <c r="AR23">
        <v>2</v>
      </c>
      <c r="AS2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95F9-A8D5-5A47-8670-94C3D05C3C6E}">
  <dimension ref="A3:G42"/>
  <sheetViews>
    <sheetView topLeftCell="B27" workbookViewId="0">
      <selection activeCell="H63" sqref="H63"/>
    </sheetView>
  </sheetViews>
  <sheetFormatPr baseColWidth="10" defaultRowHeight="16" x14ac:dyDescent="0.2"/>
  <cols>
    <col min="1" max="1" width="13" bestFit="1" customWidth="1"/>
    <col min="2" max="2" width="22.6640625" bestFit="1" customWidth="1"/>
    <col min="3" max="3" width="14.5" bestFit="1" customWidth="1"/>
    <col min="4" max="4" width="14.83203125" bestFit="1" customWidth="1"/>
    <col min="5" max="5" width="17.33203125" bestFit="1" customWidth="1"/>
    <col min="6" max="6" width="12.6640625" bestFit="1" customWidth="1"/>
    <col min="7" max="7" width="20" bestFit="1" customWidth="1"/>
  </cols>
  <sheetData>
    <row r="3" spans="1:2" x14ac:dyDescent="0.2">
      <c r="A3" s="4" t="s">
        <v>80</v>
      </c>
      <c r="B3" t="s">
        <v>79</v>
      </c>
    </row>
    <row r="4" spans="1:2" x14ac:dyDescent="0.2">
      <c r="A4" s="5" t="s">
        <v>75</v>
      </c>
      <c r="B4" s="3">
        <v>2</v>
      </c>
    </row>
    <row r="5" spans="1:2" x14ac:dyDescent="0.2">
      <c r="A5" s="5" t="s">
        <v>72</v>
      </c>
      <c r="B5" s="3">
        <v>2</v>
      </c>
    </row>
    <row r="6" spans="1:2" x14ac:dyDescent="0.2">
      <c r="A6" s="5" t="s">
        <v>61</v>
      </c>
      <c r="B6" s="3">
        <v>2</v>
      </c>
    </row>
    <row r="7" spans="1:2" x14ac:dyDescent="0.2">
      <c r="A7" s="5" t="s">
        <v>47</v>
      </c>
      <c r="B7" s="3">
        <v>2</v>
      </c>
    </row>
    <row r="8" spans="1:2" x14ac:dyDescent="0.2">
      <c r="A8" s="5" t="s">
        <v>56</v>
      </c>
      <c r="B8" s="3">
        <v>3</v>
      </c>
    </row>
    <row r="9" spans="1:2" x14ac:dyDescent="0.2">
      <c r="A9" s="5" t="s">
        <v>57</v>
      </c>
      <c r="B9" s="3">
        <v>3</v>
      </c>
    </row>
    <row r="10" spans="1:2" x14ac:dyDescent="0.2">
      <c r="A10" s="5" t="s">
        <v>53</v>
      </c>
      <c r="B10" s="3">
        <v>4</v>
      </c>
    </row>
    <row r="11" spans="1:2" x14ac:dyDescent="0.2">
      <c r="A11" s="5" t="s">
        <v>58</v>
      </c>
      <c r="B11" s="3">
        <v>4</v>
      </c>
    </row>
    <row r="12" spans="1:2" x14ac:dyDescent="0.2">
      <c r="A12" s="5" t="s">
        <v>81</v>
      </c>
      <c r="B12" s="3">
        <v>22</v>
      </c>
    </row>
    <row r="21" spans="1:7" x14ac:dyDescent="0.2">
      <c r="A21" s="4" t="s">
        <v>80</v>
      </c>
      <c r="B21" t="s">
        <v>86</v>
      </c>
      <c r="C21" t="s">
        <v>82</v>
      </c>
      <c r="D21" t="s">
        <v>83</v>
      </c>
      <c r="E21" t="s">
        <v>84</v>
      </c>
      <c r="F21" t="s">
        <v>85</v>
      </c>
      <c r="G21" t="s">
        <v>79</v>
      </c>
    </row>
    <row r="22" spans="1:7" x14ac:dyDescent="0.2">
      <c r="A22" s="5" t="s">
        <v>75</v>
      </c>
      <c r="B22" s="3">
        <v>0.40909090909090851</v>
      </c>
      <c r="C22" s="3">
        <v>0.5</v>
      </c>
      <c r="D22" s="3">
        <v>0.5</v>
      </c>
      <c r="E22" s="3">
        <v>0.5</v>
      </c>
      <c r="F22" s="3">
        <v>0.72222222222222143</v>
      </c>
      <c r="G22" s="3">
        <v>2</v>
      </c>
    </row>
    <row r="23" spans="1:7" x14ac:dyDescent="0.2">
      <c r="A23" s="5" t="s">
        <v>72</v>
      </c>
      <c r="B23" s="3">
        <v>0.45454545454545403</v>
      </c>
      <c r="C23" s="3">
        <v>0.63333333333333297</v>
      </c>
      <c r="D23" s="3">
        <v>0.49999999999999944</v>
      </c>
      <c r="E23" s="3">
        <v>1</v>
      </c>
      <c r="F23" s="3">
        <v>0.77777777777777701</v>
      </c>
      <c r="G23" s="3">
        <v>2</v>
      </c>
    </row>
    <row r="24" spans="1:7" x14ac:dyDescent="0.2">
      <c r="A24" s="5" t="s">
        <v>61</v>
      </c>
      <c r="B24" s="3">
        <v>0.31818181818181746</v>
      </c>
      <c r="C24" s="3">
        <v>0.4999999999999995</v>
      </c>
      <c r="D24" s="3">
        <v>0.74999999999999956</v>
      </c>
      <c r="E24" s="3">
        <v>0.5</v>
      </c>
      <c r="F24" s="3">
        <v>0.66666666666666596</v>
      </c>
      <c r="G24" s="3">
        <v>2</v>
      </c>
    </row>
    <row r="25" spans="1:7" x14ac:dyDescent="0.2">
      <c r="A25" s="5" t="s">
        <v>47</v>
      </c>
      <c r="B25" s="3">
        <v>0.45454545454545398</v>
      </c>
      <c r="C25" s="3">
        <v>0.46666666666666651</v>
      </c>
      <c r="D25" s="3">
        <v>0.41666666666666652</v>
      </c>
      <c r="E25" s="3">
        <v>0.75</v>
      </c>
      <c r="F25" s="3">
        <v>0.66666666666666596</v>
      </c>
      <c r="G25" s="3">
        <v>2</v>
      </c>
    </row>
    <row r="26" spans="1:7" x14ac:dyDescent="0.2">
      <c r="A26" s="5" t="s">
        <v>56</v>
      </c>
      <c r="B26" s="3">
        <v>9.0909090909090898E-2</v>
      </c>
      <c r="C26" s="3">
        <v>0.24444444444444402</v>
      </c>
      <c r="D26" s="3">
        <v>0.5</v>
      </c>
      <c r="E26" s="3">
        <v>0.5</v>
      </c>
      <c r="F26" s="3">
        <v>0.55555555555555491</v>
      </c>
      <c r="G26" s="3">
        <v>3</v>
      </c>
    </row>
    <row r="27" spans="1:7" x14ac:dyDescent="0.2">
      <c r="A27" s="5" t="s">
        <v>57</v>
      </c>
      <c r="B27" s="3">
        <v>0.18181818181818132</v>
      </c>
      <c r="C27" s="3">
        <v>0.422222222222222</v>
      </c>
      <c r="D27" s="3">
        <v>0.66666666666666596</v>
      </c>
      <c r="E27" s="3">
        <v>0.66666666666666663</v>
      </c>
      <c r="F27" s="3">
        <v>0.70370370370370294</v>
      </c>
      <c r="G27" s="3">
        <v>3</v>
      </c>
    </row>
    <row r="28" spans="1:7" x14ac:dyDescent="0.2">
      <c r="A28" s="5" t="s">
        <v>53</v>
      </c>
      <c r="B28" s="3">
        <v>0.3181818181818179</v>
      </c>
      <c r="C28" s="3">
        <v>0.44999999999999973</v>
      </c>
      <c r="D28" s="3">
        <v>0.54166666666666652</v>
      </c>
      <c r="E28" s="3">
        <v>0.75</v>
      </c>
      <c r="F28" s="3">
        <v>0.61111111111111049</v>
      </c>
      <c r="G28" s="3">
        <v>4</v>
      </c>
    </row>
    <row r="29" spans="1:7" x14ac:dyDescent="0.2">
      <c r="A29" s="5" t="s">
        <v>58</v>
      </c>
      <c r="B29" s="3">
        <v>0.31818181818181773</v>
      </c>
      <c r="C29" s="3">
        <v>0.38333333333333275</v>
      </c>
      <c r="D29" s="3">
        <v>0.375</v>
      </c>
      <c r="E29" s="3">
        <v>0.5</v>
      </c>
      <c r="F29" s="3">
        <v>0.47222222222222177</v>
      </c>
      <c r="G29" s="3">
        <v>4</v>
      </c>
    </row>
    <row r="30" spans="1:7" x14ac:dyDescent="0.2">
      <c r="A30" s="5" t="s">
        <v>81</v>
      </c>
      <c r="B30" s="3">
        <v>0.30165289256198302</v>
      </c>
      <c r="C30" s="3">
        <v>0.4333333333333329</v>
      </c>
      <c r="D30" s="3">
        <v>0.5227272727272726</v>
      </c>
      <c r="E30" s="3">
        <v>0.63636363636363635</v>
      </c>
      <c r="F30" s="3">
        <v>0.62626262626262563</v>
      </c>
      <c r="G30" s="3">
        <v>22</v>
      </c>
    </row>
    <row r="34" spans="1:7" x14ac:dyDescent="0.2">
      <c r="A34" s="6" t="s">
        <v>80</v>
      </c>
      <c r="B34" s="6" t="s">
        <v>86</v>
      </c>
      <c r="C34" s="6" t="s">
        <v>82</v>
      </c>
      <c r="D34" s="6" t="s">
        <v>83</v>
      </c>
      <c r="E34" s="6" t="s">
        <v>84</v>
      </c>
      <c r="F34" s="6" t="s">
        <v>85</v>
      </c>
      <c r="G34" s="6" t="s">
        <v>79</v>
      </c>
    </row>
    <row r="35" spans="1:7" x14ac:dyDescent="0.2">
      <c r="A35" t="s">
        <v>75</v>
      </c>
      <c r="B35">
        <v>0.40909090909090851</v>
      </c>
      <c r="C35">
        <v>0.5</v>
      </c>
      <c r="D35">
        <v>0.5</v>
      </c>
      <c r="E35">
        <v>0.5</v>
      </c>
      <c r="F35">
        <v>0.72222222222222143</v>
      </c>
      <c r="G35">
        <v>2</v>
      </c>
    </row>
    <row r="36" spans="1:7" x14ac:dyDescent="0.2">
      <c r="A36" t="s">
        <v>72</v>
      </c>
      <c r="B36">
        <v>0.45454545454545403</v>
      </c>
      <c r="C36">
        <v>0.63333333333333297</v>
      </c>
      <c r="D36">
        <v>0.49999999999999944</v>
      </c>
      <c r="E36">
        <v>1</v>
      </c>
      <c r="F36">
        <v>0.77777777777777701</v>
      </c>
      <c r="G36">
        <v>2</v>
      </c>
    </row>
    <row r="37" spans="1:7" x14ac:dyDescent="0.2">
      <c r="A37" t="s">
        <v>61</v>
      </c>
      <c r="B37">
        <v>0.31818181818181746</v>
      </c>
      <c r="C37">
        <v>0.4999999999999995</v>
      </c>
      <c r="D37">
        <v>0.74999999999999956</v>
      </c>
      <c r="E37">
        <v>0.5</v>
      </c>
      <c r="F37">
        <v>0.66666666666666596</v>
      </c>
      <c r="G37">
        <v>2</v>
      </c>
    </row>
    <row r="38" spans="1:7" x14ac:dyDescent="0.2">
      <c r="A38" t="s">
        <v>47</v>
      </c>
      <c r="B38">
        <v>0.45454545454545398</v>
      </c>
      <c r="C38">
        <v>0.46666666666666651</v>
      </c>
      <c r="D38">
        <v>0.41666666666666652</v>
      </c>
      <c r="E38">
        <v>0.75</v>
      </c>
      <c r="F38">
        <v>0.66666666666666596</v>
      </c>
      <c r="G38">
        <v>2</v>
      </c>
    </row>
    <row r="39" spans="1:7" x14ac:dyDescent="0.2">
      <c r="A39" t="s">
        <v>56</v>
      </c>
      <c r="B39">
        <v>9.0909090909090898E-2</v>
      </c>
      <c r="C39">
        <v>0.24444444444444402</v>
      </c>
      <c r="D39">
        <v>0.5</v>
      </c>
      <c r="E39">
        <v>0.5</v>
      </c>
      <c r="F39">
        <v>0.55555555555555491</v>
      </c>
      <c r="G39">
        <v>3</v>
      </c>
    </row>
    <row r="40" spans="1:7" x14ac:dyDescent="0.2">
      <c r="A40" t="s">
        <v>57</v>
      </c>
      <c r="B40">
        <v>0.18181818181818132</v>
      </c>
      <c r="C40">
        <v>0.422222222222222</v>
      </c>
      <c r="D40">
        <v>0.66666666666666596</v>
      </c>
      <c r="E40">
        <v>0.66666666666666663</v>
      </c>
      <c r="F40">
        <v>0.70370370370370294</v>
      </c>
      <c r="G40">
        <v>3</v>
      </c>
    </row>
    <row r="41" spans="1:7" x14ac:dyDescent="0.2">
      <c r="A41" t="s">
        <v>53</v>
      </c>
      <c r="B41">
        <v>0.3181818181818179</v>
      </c>
      <c r="C41">
        <v>0.44999999999999973</v>
      </c>
      <c r="D41">
        <v>0.54166666666666652</v>
      </c>
      <c r="E41">
        <v>0.75</v>
      </c>
      <c r="F41">
        <v>0.61111111111111049</v>
      </c>
      <c r="G41">
        <v>4</v>
      </c>
    </row>
    <row r="42" spans="1:7" x14ac:dyDescent="0.2">
      <c r="A42" t="s">
        <v>58</v>
      </c>
      <c r="B42">
        <v>0.31818181818181773</v>
      </c>
      <c r="C42">
        <v>0.38333333333333275</v>
      </c>
      <c r="D42">
        <v>0.375</v>
      </c>
      <c r="E42">
        <v>0.5</v>
      </c>
      <c r="F42">
        <v>0.47222222222222177</v>
      </c>
      <c r="G42">
        <v>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77F4-49EB-2245-9E9E-75ED499F0890}">
  <dimension ref="A1"/>
  <sheetViews>
    <sheetView tabSelected="1" topLeftCell="A2" workbookViewId="0">
      <selection activeCell="L12" sqref="L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GUOT</vt:lpstr>
      <vt:lpstr>airtable</vt:lpstr>
      <vt:lpstr>gearset sessions</vt:lpstr>
      <vt:lpstr>pivot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2026-03-08T14:36:59Z</dcterms:created>
  <dcterms:modified xsi:type="dcterms:W3CDTF">2026-03-08T15:45:57Z</dcterms:modified>
</cp:coreProperties>
</file>